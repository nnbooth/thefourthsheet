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fourth sheet" sheetId="1" state="visible" r:id="rId1"/>
    <sheet xmlns:r="http://schemas.openxmlformats.org/officeDocument/2006/relationships" name="Chart lines" sheetId="2" state="hidden" r:id="rId2"/>
    <sheet xmlns:r="http://schemas.openxmlformats.org/officeDocument/2006/relationships" name="Profit and los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Jobs" sheetId="6" state="visible" r:id="rId6"/>
    <sheet xmlns:r="http://schemas.openxmlformats.org/officeDocument/2006/relationships" name="Workings" sheetId="7" state="visible" r:id="rId7"/>
    <sheet xmlns:r="http://schemas.openxmlformats.org/officeDocument/2006/relationships" name="Assumptions" sheetId="8" state="visible" r:id="rId8"/>
  </sheets>
  <definedNames>
    <definedName name="Gross_margin_P_L">'The fourth sheet'!$B$6</definedName>
    <definedName name="Cost_to_win_a_customer">'The fourth sheet'!$B$7</definedName>
    <definedName name="Technician_time_on_jobs">'The fourth sheet'!$B$8</definedName>
    <definedName name="_xlnm.Print_Titles" localSheetId="0">'The fourth sheet'!$5:$5</definedName>
    <definedName name="_xlnm.Print_Area" localSheetId="0">'The fourth sheet'!$A$1:$D$20</definedName>
    <definedName name="_xlnm.Print_Titles" localSheetId="2">'Profit and loss'!$4:$4</definedName>
    <definedName name="_xlnm.Print_Area" localSheetId="2">'Profit and loss'!$A$1:$D$31</definedName>
    <definedName name="_xlnm.Print_Titles" localSheetId="3">'Balance sheet'!$4:$4</definedName>
    <definedName name="_xlnm.Print_Area" localSheetId="3">'Balance sheet'!$A$1:$D$28</definedName>
    <definedName name="_xlnm.Print_Titles" localSheetId="4">'Cash flow'!$4:$4</definedName>
    <definedName name="_xlnm.Print_Area" localSheetId="4">'Cash flow'!$A$1:$D$20</definedName>
    <definedName name="_xlnm.Print_Titles" localSheetId="5">'Jobs'!$6:$6</definedName>
    <definedName name="_xlnm.Print_Area" localSheetId="5">'Jobs'!$A$1:$N$168</definedName>
    <definedName name="_xlnm.Print_Area" localSheetId="6">'Workings'!$A$1:$C$112</definedName>
    <definedName name="_xlnm.Print_Area" localSheetId="7">'Assumptions'!$A$1:$B$43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[Red](#,##0);&quot;-&quot;"/>
    <numFmt numFmtId="165" formatCode="0.0%;[Red](0.0%);&quot;-&quot;"/>
    <numFmt numFmtId="166" formatCode="#,##0.0;[Red](#,##0.0);&quot;-&quot;"/>
    <numFmt numFmtId="167" formatCode="+0.0&quot; pts&quot;;(0.0&quot; pts&quot;);&quot;-&quot;"/>
    <numFmt numFmtId="168" formatCode="+#,##0;(#,##0);&quot;-&quot;"/>
    <numFmt numFmtId="169" formatCode="yyyy-mm-dd"/>
    <numFmt numFmtId="170" formatCode="d mmm yyyy"/>
  </numFmts>
  <fonts count="13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5342A"/>
    </font>
    <font>
      <name val="Roboto"/>
      <b val="1"/>
      <color rgb="002F7A5D"/>
    </font>
    <font>
      <name val="Roboto"/>
      <color rgb="005F6F63"/>
    </font>
    <font>
      <name val="Roboto"/>
      <b val="1"/>
      <i val="1"/>
      <color rgb="0025342A"/>
    </font>
    <font>
      <name val="Roboto"/>
      <b val="1"/>
      <i val="1"/>
      <color rgb="002F7A5D"/>
    </font>
  </fonts>
  <fills count="4">
    <fill>
      <patternFill/>
    </fill>
    <fill>
      <patternFill patternType="gray125"/>
    </fill>
    <fill>
      <patternFill patternType="solid">
        <fgColor rgb="002F7A5D"/>
      </patternFill>
    </fill>
    <fill>
      <patternFill patternType="solid">
        <fgColor rgb="00EAF6EE"/>
      </patternFill>
    </fill>
  </fills>
  <borders count="3">
    <border>
      <left/>
      <right/>
      <top/>
      <bottom/>
      <diagonal/>
    </border>
    <border>
      <top style="thin">
        <color rgb="00DCE8DC"/>
      </top>
    </border>
    <border>
      <top style="thin">
        <color rgb="00DCE8DC"/>
      </top>
      <bottom style="double">
        <color rgb="0025342A"/>
      </bottom>
    </border>
  </borders>
  <cellStyleXfs count="1">
    <xf numFmtId="0" fontId="1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8" fontId="5" fillId="0" borderId="0" pivotButton="0" quotePrefix="0" xfId="0"/>
    <xf numFmtId="0" fontId="8" fillId="0" borderId="1" pivotButton="0" quotePrefix="0" xfId="0"/>
    <xf numFmtId="164" fontId="8" fillId="0" borderId="1" pivotButton="0" quotePrefix="0" xfId="0"/>
    <xf numFmtId="168" fontId="11" fillId="0" borderId="1" pivotButton="0" quotePrefix="0" xfId="0"/>
    <xf numFmtId="0" fontId="9" fillId="3" borderId="2" pivotButton="0" quotePrefix="0" xfId="0"/>
    <xf numFmtId="164" fontId="9" fillId="3" borderId="2" pivotButton="0" quotePrefix="0" xfId="0"/>
    <xf numFmtId="168" fontId="12" fillId="3" borderId="2" pivotButton="0" quotePrefix="0" xfId="0"/>
    <xf numFmtId="49" fontId="0" fillId="0" borderId="0" pivotButton="0" quotePrefix="0" xfId="0"/>
    <xf numFmtId="17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0" pivotButton="0" quotePrefix="0" xfId="0"/>
    <xf numFmtId="164" fontId="7" fillId="0" borderId="2" pivotButton="0" quotePrefix="0" xfId="0"/>
    <xf numFmtId="166" fontId="7" fillId="0" borderId="2" pivotButton="0" quotePrefix="0" xfId="0"/>
    <xf numFmtId="0" fontId="4" fillId="0" borderId="0" pivotButton="0" quotePrefix="0" xfId="0"/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0" fillId="0" borderId="0" applyAlignment="1" pivotButton="0" quotePrefix="0" xfId="0">
      <alignment vertical="top" inden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Roboto"/>
        <b val="1"/>
        <color rgb="002F7A5D"/>
      </font>
    </dxf>
    <dxf>
      <font>
        <name val="Roboto"/>
        <b val="1"/>
        <color rgb="00B423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Job gross margin on each installation invoiced in September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Gross margin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4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'The fourth sheet'!$A$14:$A$19</f>
            </numRef>
          </cat>
          <val>
            <numRef>
              <f>'The fourth sheet'!$B$14:$B$19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35.0%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5888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5888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Job gross margin %, September installations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Job gross margin %, September installations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'Jobs'!$B$71:$B$76</f>
            </numRef>
          </cat>
          <val>
            <numRef>
              <f>'Jobs'!$N$71:$N$76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11</row>
      <rowOff>0</rowOff>
    </from>
    <ext cx="5400000" cy="25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5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Jobs" displayName="Jobs" ref="A6:N167" headerRowCount="1">
  <autoFilter ref="A6:N167"/>
  <tableColumns count="14">
    <tableColumn id="1" name="Month"/>
    <tableColumn id="2" name="Job"/>
    <tableColumn id="3" name="Type"/>
    <tableColumn id="4" name="Invoiced"/>
    <tableColumn id="5" name="Paid"/>
    <tableColumn id="6" name="Revenue"/>
    <tableColumn id="7" name="Technician time charged (call-outs)"/>
    <tableColumn id="8" name="Materials charged (call-outs)"/>
    <tableColumn id="9" name="Materials"/>
    <tableColumn id="10" name="Subcontractors"/>
    <tableColumn id="11" name="Tech hours"/>
    <tableColumn id="12" name="Labour cost (incl. on-costs)"/>
    <tableColumn id="13" name="Job gross margin"/>
    <tableColumn id="14" name="Job 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The fourth sheet: September 2026 against August 2026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/>
    <row r="5">
      <c r="A5" s="3" t="inlineStr">
        <is>
          <t>Headline number</t>
        </is>
      </c>
      <c r="B5" s="4" t="inlineStr">
        <is>
          <t>Sep 2026</t>
        </is>
      </c>
      <c r="C5" s="4" t="inlineStr">
        <is>
          <t>Aug 2026</t>
        </is>
      </c>
      <c r="D5" s="4" t="inlineStr">
        <is>
          <t>Change</t>
        </is>
      </c>
    </row>
    <row r="6">
      <c r="A6" t="inlineStr">
        <is>
          <t>Gross margin (P&amp;L)</t>
        </is>
      </c>
      <c r="B6" s="5">
        <f>Workings!B13</f>
        <v/>
      </c>
      <c r="C6" s="5">
        <f>Workings!C13</f>
        <v/>
      </c>
      <c r="D6" s="6">
        <f>(B6-C6)*100</f>
        <v/>
      </c>
    </row>
    <row r="7">
      <c r="A7" t="inlineStr">
        <is>
          <t>Cost to win a customer</t>
        </is>
      </c>
      <c r="B7" s="7">
        <f>Workings!B22</f>
        <v/>
      </c>
      <c r="C7" s="7">
        <f>Workings!C22</f>
        <v/>
      </c>
      <c r="D7" s="8">
        <f>B7-C7</f>
        <v/>
      </c>
    </row>
    <row r="8">
      <c r="A8" t="inlineStr">
        <is>
          <t>Technician time on jobs</t>
        </is>
      </c>
      <c r="B8" s="5">
        <f>Workings!B33</f>
        <v/>
      </c>
      <c r="C8" s="5">
        <f>Workings!C33</f>
        <v/>
      </c>
      <c r="D8" s="6">
        <f>(B8-C8)*100</f>
        <v/>
      </c>
    </row>
    <row r="9"/>
    <row r="10"/>
    <row r="11">
      <c r="A11" s="9" t="inlineStr">
        <is>
          <t>Job gross margin on each installation invoiced in September 2026</t>
        </is>
      </c>
    </row>
    <row r="12">
      <c r="A12" s="2" t="inlineStr">
        <is>
          <t>Whole job, recognised when invoiced: revenue less materials, subcontractors and technician time at $68/hour. Before overheads: not profit. One 35.0% target for every job for now.</t>
        </is>
      </c>
    </row>
    <row r="13">
      <c r="A13" s="3" t="inlineStr"/>
      <c r="B13" s="4" t="inlineStr">
        <is>
          <t>Gross margin %</t>
        </is>
      </c>
      <c r="C13" s="4" t="inlineStr">
        <is>
          <t>Gross margin $</t>
        </is>
      </c>
    </row>
    <row r="14">
      <c r="A14" t="inlineStr">
        <is>
          <t>Bulimba EV chargers</t>
        </is>
      </c>
      <c r="B14" s="5">
        <f>Workings!B47</f>
        <v/>
      </c>
      <c r="C14" s="7">
        <f>Workings!B46</f>
        <v/>
      </c>
    </row>
    <row r="15">
      <c r="A15" t="inlineStr">
        <is>
          <t>Milton office LED lighting</t>
        </is>
      </c>
      <c r="B15" s="5">
        <f>Workings!B60</f>
        <v/>
      </c>
      <c r="C15" s="7">
        <f>Workings!B59</f>
        <v/>
      </c>
    </row>
    <row r="16">
      <c r="A16" t="inlineStr">
        <is>
          <t>Chermside clinic cabling</t>
        </is>
      </c>
      <c r="B16" s="5">
        <f>Workings!B73</f>
        <v/>
      </c>
      <c r="C16" s="7">
        <f>Workings!B72</f>
        <v/>
      </c>
    </row>
    <row r="17">
      <c r="A17" t="inlineStr">
        <is>
          <t>West End cafe air-con</t>
        </is>
      </c>
      <c r="B17" s="5">
        <f>Workings!B86</f>
        <v/>
      </c>
      <c r="C17" s="7">
        <f>Workings!B85</f>
        <v/>
      </c>
    </row>
    <row r="18">
      <c r="A18" t="inlineStr">
        <is>
          <t>Carindale solar and battery</t>
        </is>
      </c>
      <c r="B18" s="5">
        <f>Workings!B99</f>
        <v/>
      </c>
      <c r="C18" s="7">
        <f>Workings!B98</f>
        <v/>
      </c>
    </row>
    <row r="19">
      <c r="A19" t="inlineStr">
        <is>
          <t>Wacol warehouse switchboard</t>
        </is>
      </c>
      <c r="B19" s="5">
        <f>Workings!B112</f>
        <v/>
      </c>
      <c r="C19" s="7">
        <f>Workings!B111</f>
        <v/>
      </c>
    </row>
    <row r="20">
      <c r="A20" s="10" t="inlineStr">
        <is>
          <t>Target</t>
        </is>
      </c>
      <c r="B20" s="5" t="n">
        <v>0.35</v>
      </c>
    </row>
  </sheetData>
  <conditionalFormatting sqref="D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7">
    <cfRule type="cellIs" priority="3" operator="greaterThan" dxfId="1">
      <formula>0</formula>
    </cfRule>
    <cfRule type="cellIs" priority="4" operator="lessThan" dxfId="0">
      <formula>0</formula>
    </cfRule>
  </conditionalFormatting>
  <conditionalFormatting sqref="D8">
    <cfRule type="cellIs" priority="5" operator="greaterThan" dxfId="0">
      <formula>0</formula>
    </cfRule>
    <cfRule type="cellIs" priority="6" operator="lessThan" dxfId="1">
      <formula>0</formula>
    </cfRule>
  </conditionalFormatting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trades-sample-statements.xlsx&amp;C&amp;"Roboto,Regular"&amp;8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The fourth sheet: Job gross margin on each installation invoiced in September 2026: Target 35.0%</t>
        </is>
      </c>
    </row>
    <row r="4">
      <c r="B4" t="n">
        <v>0.35</v>
      </c>
      <c r="C4" t="n">
        <v>0</v>
      </c>
    </row>
    <row r="5">
      <c r="B5" t="n">
        <v>0.35</v>
      </c>
      <c r="C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Profit and loss, September 2026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11" t="inlineStr">
        <is>
          <t>Revenue</t>
        </is>
      </c>
    </row>
    <row r="6">
      <c r="A6" s="12" t="inlineStr">
        <is>
          <t>Maintenance contracts (14)</t>
        </is>
      </c>
      <c r="B6" s="7" t="n">
        <v>45350</v>
      </c>
      <c r="C6" s="7" t="n">
        <v>45350</v>
      </c>
      <c r="D6" s="13">
        <f>B6-C6</f>
        <v/>
      </c>
    </row>
    <row r="7">
      <c r="A7" s="12" t="inlineStr">
        <is>
          <t>Installations (jobs)</t>
        </is>
      </c>
      <c r="B7" s="7" t="n">
        <v>146300</v>
      </c>
      <c r="C7" s="7" t="n">
        <v>122800</v>
      </c>
      <c r="D7" s="13">
        <f>B7-C7</f>
        <v/>
      </c>
    </row>
    <row r="8">
      <c r="A8" s="12" t="inlineStr">
        <is>
          <t>Call-outs: technician time</t>
        </is>
      </c>
      <c r="B8" s="7" t="n">
        <v>24216</v>
      </c>
      <c r="C8" s="7" t="n">
        <v>22338</v>
      </c>
      <c r="D8" s="13">
        <f>B8-C8</f>
        <v/>
      </c>
    </row>
    <row r="9">
      <c r="A9" s="12" t="inlineStr">
        <is>
          <t>Call-outs: materials charged</t>
        </is>
      </c>
      <c r="B9" s="7" t="n">
        <v>9594</v>
      </c>
      <c r="C9" s="7" t="n">
        <v>9035</v>
      </c>
      <c r="D9" s="13">
        <f>B9-C9</f>
        <v/>
      </c>
    </row>
    <row r="10">
      <c r="A10" s="14" t="inlineStr">
        <is>
          <t>Total revenue</t>
        </is>
      </c>
      <c r="B10" s="15">
        <f>SUM(B6:B9)</f>
        <v/>
      </c>
      <c r="C10" s="15">
        <f>SUM(C6:C9)</f>
        <v/>
      </c>
      <c r="D10" s="16">
        <f>B10-C10</f>
        <v/>
      </c>
    </row>
    <row r="11">
      <c r="A11" s="11" t="inlineStr">
        <is>
          <t>Cost of sales</t>
        </is>
      </c>
    </row>
    <row r="12">
      <c r="A12" s="12" t="inlineStr">
        <is>
          <t>Materials</t>
        </is>
      </c>
      <c r="B12" s="7" t="n">
        <v>-64860</v>
      </c>
      <c r="C12" s="7" t="n">
        <v>-51530</v>
      </c>
      <c r="D12" s="13">
        <f>B12-C12</f>
        <v/>
      </c>
    </row>
    <row r="13">
      <c r="A13" s="12" t="inlineStr">
        <is>
          <t>Subcontractors</t>
        </is>
      </c>
      <c r="B13" s="7" t="n">
        <v>-13200</v>
      </c>
      <c r="C13" s="7" t="n">
        <v>-9300</v>
      </c>
      <c r="D13" s="13">
        <f>B13-C13</f>
        <v/>
      </c>
    </row>
    <row r="14">
      <c r="A14" s="12" t="inlineStr">
        <is>
          <t>Technician wages (incl. on-costs)</t>
        </is>
      </c>
      <c r="B14" s="7" t="n">
        <v>-79587</v>
      </c>
      <c r="C14" s="7" t="n">
        <v>-72352</v>
      </c>
      <c r="D14" s="13">
        <f>B14-C14</f>
        <v/>
      </c>
    </row>
    <row r="15">
      <c r="A15" s="14" t="inlineStr">
        <is>
          <t>Total cost of sales</t>
        </is>
      </c>
      <c r="B15" s="15">
        <f>SUM(B12:B14)</f>
        <v/>
      </c>
      <c r="C15" s="15">
        <f>SUM(C12:C14)</f>
        <v/>
      </c>
      <c r="D15" s="16">
        <f>B15-C15</f>
        <v/>
      </c>
    </row>
    <row r="16">
      <c r="A16" s="14" t="inlineStr">
        <is>
          <t>Gross profit</t>
        </is>
      </c>
      <c r="B16" s="15">
        <f>B10+B15</f>
        <v/>
      </c>
      <c r="C16" s="15">
        <f>C10+C15</f>
        <v/>
      </c>
      <c r="D16" s="16">
        <f>B16-C16</f>
        <v/>
      </c>
    </row>
    <row r="17">
      <c r="A17" s="11" t="inlineStr">
        <is>
          <t>Operating expenses</t>
        </is>
      </c>
    </row>
    <row r="18">
      <c r="A18" s="12" t="inlineStr">
        <is>
          <t>Office and admin wages</t>
        </is>
      </c>
      <c r="B18" s="7" t="n">
        <v>-21900</v>
      </c>
      <c r="C18" s="7" t="n">
        <v>-21900</v>
      </c>
      <c r="D18" s="13">
        <f>B18-C18</f>
        <v/>
      </c>
    </row>
    <row r="19">
      <c r="A19" s="12" t="inlineStr">
        <is>
          <t>Marketing</t>
        </is>
      </c>
      <c r="B19" s="7" t="n">
        <v>-7600</v>
      </c>
      <c r="C19" s="7" t="n">
        <v>-8400</v>
      </c>
      <c r="D19" s="13">
        <f>B19-C19</f>
        <v/>
      </c>
    </row>
    <row r="20">
      <c r="A20" s="12" t="inlineStr">
        <is>
          <t>Vehicles and fuel</t>
        </is>
      </c>
      <c r="B20" s="7" t="n">
        <v>-8300</v>
      </c>
      <c r="C20" s="7" t="n">
        <v>-7900</v>
      </c>
      <c r="D20" s="13">
        <f>B20-C20</f>
        <v/>
      </c>
    </row>
    <row r="21">
      <c r="A21" s="12" t="inlineStr">
        <is>
          <t>Rent and occupancy</t>
        </is>
      </c>
      <c r="B21" s="7" t="n">
        <v>-7000</v>
      </c>
      <c r="C21" s="7" t="n">
        <v>-7000</v>
      </c>
      <c r="D21" s="13">
        <f>B21-C21</f>
        <v/>
      </c>
    </row>
    <row r="22">
      <c r="A22" s="12" t="inlineStr">
        <is>
          <t>Insurance</t>
        </is>
      </c>
      <c r="B22" s="7" t="n">
        <v>-3000</v>
      </c>
      <c r="C22" s="7" t="n">
        <v>-3000</v>
      </c>
      <c r="D22" s="13">
        <f>B22-C22</f>
        <v/>
      </c>
    </row>
    <row r="23">
      <c r="A23" s="12" t="inlineStr">
        <is>
          <t>IT and software</t>
        </is>
      </c>
      <c r="B23" s="7" t="n">
        <v>-2300</v>
      </c>
      <c r="C23" s="7" t="n">
        <v>-2300</v>
      </c>
      <c r="D23" s="13">
        <f>B23-C23</f>
        <v/>
      </c>
    </row>
    <row r="24">
      <c r="A24" s="12" t="inlineStr">
        <is>
          <t>Other overheads</t>
        </is>
      </c>
      <c r="B24" s="7" t="n">
        <v>-3900</v>
      </c>
      <c r="C24" s="7" t="n">
        <v>-3600</v>
      </c>
      <c r="D24" s="13">
        <f>B24-C24</f>
        <v/>
      </c>
    </row>
    <row r="25">
      <c r="A25" s="14" t="inlineStr">
        <is>
          <t>Total operating expenses</t>
        </is>
      </c>
      <c r="B25" s="15">
        <f>SUM(B18:B24)</f>
        <v/>
      </c>
      <c r="C25" s="15">
        <f>SUM(C18:C24)</f>
        <v/>
      </c>
      <c r="D25" s="16">
        <f>B25-C25</f>
        <v/>
      </c>
    </row>
    <row r="26">
      <c r="A26" s="14" t="inlineStr">
        <is>
          <t>EBITDA</t>
        </is>
      </c>
      <c r="B26" s="15">
        <f>B16+B25</f>
        <v/>
      </c>
      <c r="C26" s="15">
        <f>C16+C25</f>
        <v/>
      </c>
      <c r="D26" s="16">
        <f>B26-C26</f>
        <v/>
      </c>
    </row>
    <row r="27">
      <c r="A27" s="14" t="inlineStr">
        <is>
          <t>Depreciation</t>
        </is>
      </c>
      <c r="B27" s="15" t="n">
        <v>-4500</v>
      </c>
      <c r="C27" s="15" t="n">
        <v>-4300</v>
      </c>
      <c r="D27" s="16">
        <f>B27-C27</f>
        <v/>
      </c>
    </row>
    <row r="28">
      <c r="A28" s="14" t="inlineStr">
        <is>
          <t>Interest</t>
        </is>
      </c>
      <c r="B28" s="15" t="n">
        <v>-1080</v>
      </c>
      <c r="C28" s="15" t="n">
        <v>-1100</v>
      </c>
      <c r="D28" s="16">
        <f>B28-C28</f>
        <v/>
      </c>
    </row>
    <row r="29">
      <c r="A29" s="14" t="inlineStr">
        <is>
          <t>Profit before tax</t>
        </is>
      </c>
      <c r="B29" s="15">
        <f>B26+B27+B28</f>
        <v/>
      </c>
      <c r="C29" s="15">
        <f>C26+C27+C28</f>
        <v/>
      </c>
      <c r="D29" s="16">
        <f>B29-C29</f>
        <v/>
      </c>
    </row>
    <row r="30">
      <c r="A30" s="14" t="inlineStr">
        <is>
          <t>Income tax provision (25%)</t>
        </is>
      </c>
      <c r="B30" s="15" t="n">
        <v>-2058</v>
      </c>
      <c r="C30" s="15" t="n">
        <v>-1710</v>
      </c>
      <c r="D30" s="16">
        <f>B30-C30</f>
        <v/>
      </c>
    </row>
    <row r="31">
      <c r="A31" s="17" t="inlineStr">
        <is>
          <t>Net profit after tax</t>
        </is>
      </c>
      <c r="B31" s="18">
        <f>B29+B30</f>
        <v/>
      </c>
      <c r="C31" s="18">
        <f>C29+C30</f>
        <v/>
      </c>
      <c r="D31" s="19">
        <f>B31-C31</f>
        <v/>
      </c>
    </row>
  </sheetData>
  <conditionalFormatting sqref="D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D8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D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D1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D1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1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D1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D1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D1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D18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D1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D2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D2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D2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D23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D2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D2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D26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D27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D28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D2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D3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D31">
    <cfRule type="cellIs" priority="47" operator="greaterThan" dxfId="0">
      <formula>0</formula>
    </cfRule>
    <cfRule type="cellIs" priority="48" operator="lessThan" dxfId="1">
      <formula>0</formula>
    </cfRule>
  </conditionalFormatting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trades-sample-statements.xlsx&amp;C&amp;"Roboto,Regular"&amp;8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Balance sheet at 30 September 2026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11" t="inlineStr">
        <is>
          <t>Current assets</t>
        </is>
      </c>
    </row>
    <row r="6">
      <c r="A6" s="12" t="inlineStr">
        <is>
          <t>Cash at bank</t>
        </is>
      </c>
      <c r="B6" s="7" t="n">
        <v>120228</v>
      </c>
      <c r="C6" s="7" t="n">
        <v>92859</v>
      </c>
      <c r="D6" s="13">
        <f>B6-C6</f>
        <v/>
      </c>
    </row>
    <row r="7">
      <c r="A7" s="12" t="inlineStr">
        <is>
          <t>Trade debtors (unpaid invoices)</t>
        </is>
      </c>
      <c r="B7" s="7" t="n">
        <v>185678</v>
      </c>
      <c r="C7" s="7" t="n">
        <v>159756</v>
      </c>
      <c r="D7" s="13">
        <f>B7-C7</f>
        <v/>
      </c>
    </row>
    <row r="8">
      <c r="A8" s="12" t="inlineStr">
        <is>
          <t>Materials on hand</t>
        </is>
      </c>
      <c r="B8" s="7" t="n">
        <v>66000</v>
      </c>
      <c r="C8" s="7" t="n">
        <v>66000</v>
      </c>
      <c r="D8" s="13">
        <f>B8-C8</f>
        <v/>
      </c>
    </row>
    <row r="9">
      <c r="A9" s="12" t="inlineStr">
        <is>
          <t>Prepayments</t>
        </is>
      </c>
      <c r="B9" s="7" t="n">
        <v>21000</v>
      </c>
      <c r="C9" s="7" t="n">
        <v>21000</v>
      </c>
      <c r="D9" s="13">
        <f>B9-C9</f>
        <v/>
      </c>
    </row>
    <row r="10">
      <c r="A10" s="14" t="inlineStr">
        <is>
          <t>Total current assets</t>
        </is>
      </c>
      <c r="B10" s="15">
        <f>SUM(B6:B9)</f>
        <v/>
      </c>
      <c r="C10" s="15">
        <f>SUM(C6:C9)</f>
        <v/>
      </c>
      <c r="D10" s="16">
        <f>B10-C10</f>
        <v/>
      </c>
    </row>
    <row r="11">
      <c r="A11" s="14" t="inlineStr">
        <is>
          <t>Vehicles and equipment</t>
        </is>
      </c>
      <c r="B11" s="15" t="n">
        <v>255200</v>
      </c>
      <c r="C11" s="15" t="n">
        <v>247700</v>
      </c>
      <c r="D11" s="16">
        <f>B11-C11</f>
        <v/>
      </c>
    </row>
    <row r="12">
      <c r="A12" s="14" t="inlineStr">
        <is>
          <t>Total assets</t>
        </is>
      </c>
      <c r="B12" s="15">
        <f>B10+B11</f>
        <v/>
      </c>
      <c r="C12" s="15">
        <f>C10+C11</f>
        <v/>
      </c>
      <c r="D12" s="16">
        <f>B12-C12</f>
        <v/>
      </c>
    </row>
    <row r="13">
      <c r="A13" s="11" t="inlineStr">
        <is>
          <t>Current liabilities</t>
        </is>
      </c>
    </row>
    <row r="14">
      <c r="A14" s="12" t="inlineStr">
        <is>
          <t>Trade creditors (bills due next month)</t>
        </is>
      </c>
      <c r="B14" s="7" t="n">
        <v>85866</v>
      </c>
      <c r="C14" s="7" t="n">
        <v>66913</v>
      </c>
      <c r="D14" s="13">
        <f>B14-C14</f>
        <v/>
      </c>
    </row>
    <row r="15">
      <c r="A15" s="12" t="inlineStr">
        <is>
          <t>Wages owed (since the last pay run)</t>
        </is>
      </c>
      <c r="B15" s="7" t="n">
        <v>37678</v>
      </c>
      <c r="C15" s="7" t="n">
        <v>27458</v>
      </c>
      <c r="D15" s="13">
        <f>B15-C15</f>
        <v/>
      </c>
    </row>
    <row r="16">
      <c r="A16" s="12" t="inlineStr">
        <is>
          <t>Super payable</t>
        </is>
      </c>
      <c r="B16" s="7" t="n">
        <v>4523</v>
      </c>
      <c r="C16" s="7" t="n">
        <v>3296</v>
      </c>
      <c r="D16" s="13">
        <f>B16-C16</f>
        <v/>
      </c>
    </row>
    <row r="17">
      <c r="A17" s="12" t="inlineStr">
        <is>
          <t>PAYG withholding payable</t>
        </is>
      </c>
      <c r="B17" s="7" t="n">
        <v>47754</v>
      </c>
      <c r="C17" s="7" t="n">
        <v>31836</v>
      </c>
      <c r="D17" s="13">
        <f>B17-C17</f>
        <v/>
      </c>
    </row>
    <row r="18">
      <c r="A18" s="12" t="inlineStr">
        <is>
          <t>GST payable (net)</t>
        </is>
      </c>
      <c r="B18" s="7" t="n">
        <v>32817</v>
      </c>
      <c r="C18" s="7" t="n">
        <v>22477</v>
      </c>
      <c r="D18" s="13">
        <f>B18-C18</f>
        <v/>
      </c>
    </row>
    <row r="19">
      <c r="A19" s="12" t="inlineStr">
        <is>
          <t>Employee leave provisions</t>
        </is>
      </c>
      <c r="B19" s="7" t="n">
        <v>106000</v>
      </c>
      <c r="C19" s="7" t="n">
        <v>105100</v>
      </c>
      <c r="D19" s="13">
        <f>B19-C19</f>
        <v/>
      </c>
    </row>
    <row r="20">
      <c r="A20" s="12" t="inlineStr">
        <is>
          <t>Income tax payable</t>
        </is>
      </c>
      <c r="B20" s="7" t="n">
        <v>35268</v>
      </c>
      <c r="C20" s="7" t="n">
        <v>33210</v>
      </c>
      <c r="D20" s="13">
        <f>B20-C20</f>
        <v/>
      </c>
    </row>
    <row r="21">
      <c r="A21" s="14" t="inlineStr">
        <is>
          <t>Total current liabilities</t>
        </is>
      </c>
      <c r="B21" s="15">
        <f>SUM(B14:B20)</f>
        <v/>
      </c>
      <c r="C21" s="15">
        <f>SUM(C14:C20)</f>
        <v/>
      </c>
      <c r="D21" s="16">
        <f>B21-C21</f>
        <v/>
      </c>
    </row>
    <row r="22">
      <c r="A22" s="14" t="inlineStr">
        <is>
          <t>Equipment finance</t>
        </is>
      </c>
      <c r="B22" s="15" t="n">
        <v>95000</v>
      </c>
      <c r="C22" s="15" t="n">
        <v>100000</v>
      </c>
      <c r="D22" s="16">
        <f>B22-C22</f>
        <v/>
      </c>
    </row>
    <row r="23">
      <c r="A23" s="14" t="inlineStr">
        <is>
          <t>Total liabilities</t>
        </is>
      </c>
      <c r="B23" s="15">
        <f>B21+B22</f>
        <v/>
      </c>
      <c r="C23" s="15">
        <f>C21+C22</f>
        <v/>
      </c>
      <c r="D23" s="16">
        <f>B23-C23</f>
        <v/>
      </c>
    </row>
    <row r="24">
      <c r="A24" s="17" t="inlineStr">
        <is>
          <t>Net assets</t>
        </is>
      </c>
      <c r="B24" s="18">
        <f>B12-B23</f>
        <v/>
      </c>
      <c r="C24" s="18">
        <f>C12-C23</f>
        <v/>
      </c>
      <c r="D24" s="19">
        <f>B24-C24</f>
        <v/>
      </c>
    </row>
    <row r="25">
      <c r="A25" s="11" t="inlineStr">
        <is>
          <t>Equity</t>
        </is>
      </c>
    </row>
    <row r="26">
      <c r="A26" s="12" t="inlineStr">
        <is>
          <t>Share capital</t>
        </is>
      </c>
      <c r="B26" s="7" t="n">
        <v>10000</v>
      </c>
      <c r="C26" s="7" t="n">
        <v>10000</v>
      </c>
      <c r="D26" s="13">
        <f>B26-C26</f>
        <v/>
      </c>
    </row>
    <row r="27">
      <c r="A27" s="12" t="inlineStr">
        <is>
          <t>Retained earnings</t>
        </is>
      </c>
      <c r="B27" s="7" t="n">
        <v>193200</v>
      </c>
      <c r="C27" s="7" t="n">
        <v>187025</v>
      </c>
      <c r="D27" s="13">
        <f>B27-C27</f>
        <v/>
      </c>
    </row>
    <row r="28">
      <c r="A28" s="17" t="inlineStr">
        <is>
          <t>Total equity</t>
        </is>
      </c>
      <c r="B28" s="18">
        <f>SUM(B26:B27)</f>
        <v/>
      </c>
      <c r="C28" s="18">
        <f>SUM(C26:C27)</f>
        <v/>
      </c>
      <c r="D28" s="19">
        <f>B28-C28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trades-sample-statements.xlsx&amp;C&amp;"Roboto,Regular"&amp;8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Cash flow, September 2026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11" t="inlineStr">
        <is>
          <t>Operating activities</t>
        </is>
      </c>
    </row>
    <row r="6">
      <c r="A6" s="12" t="inlineStr">
        <is>
          <t>Receipts from customers (invoices paid)</t>
        </is>
      </c>
      <c r="B6" s="7" t="n">
        <v>222094</v>
      </c>
      <c r="C6" s="7" t="n">
        <v>191442</v>
      </c>
      <c r="D6" s="13">
        <f>B6-C6</f>
        <v/>
      </c>
    </row>
    <row r="7">
      <c r="A7" s="12" t="inlineStr">
        <is>
          <t>Payments to suppliers</t>
        </is>
      </c>
      <c r="B7" s="7" t="n">
        <v>-102223</v>
      </c>
      <c r="C7" s="7" t="n">
        <v>-107261</v>
      </c>
      <c r="D7" s="13">
        <f>B7-C7</f>
        <v/>
      </c>
    </row>
    <row r="8">
      <c r="A8" s="12" t="inlineStr">
        <is>
          <t>Payments to employees</t>
        </is>
      </c>
      <c r="B8" s="7" t="n">
        <v>-73222</v>
      </c>
      <c r="C8" s="7" t="n">
        <v>-73222</v>
      </c>
      <c r="D8" s="13">
        <f>B8-C8</f>
        <v/>
      </c>
    </row>
    <row r="9">
      <c r="A9" s="12" t="inlineStr">
        <is>
          <t>Interest paid</t>
        </is>
      </c>
      <c r="B9" s="7" t="n">
        <v>-1080</v>
      </c>
      <c r="C9" s="7" t="n">
        <v>-1100</v>
      </c>
      <c r="D9" s="13">
        <f>B9-C9</f>
        <v/>
      </c>
    </row>
    <row r="10">
      <c r="A10" s="12" t="inlineStr">
        <is>
          <t>GST, PAYG and income tax paid (BAS)</t>
        </is>
      </c>
      <c r="B10" s="7" t="n">
        <v>0</v>
      </c>
      <c r="C10" s="7" t="n">
        <v>0</v>
      </c>
      <c r="D10" s="13">
        <f>B10-C10</f>
        <v/>
      </c>
    </row>
    <row r="11">
      <c r="A11" s="14" t="inlineStr">
        <is>
          <t>Net cash from operating activities</t>
        </is>
      </c>
      <c r="B11" s="15">
        <f>SUM(B6:B10)</f>
        <v/>
      </c>
      <c r="C11" s="15">
        <f>SUM(C6:C10)</f>
        <v/>
      </c>
      <c r="D11" s="16">
        <f>B11-C11</f>
        <v/>
      </c>
    </row>
    <row r="12">
      <c r="A12" s="11" t="inlineStr">
        <is>
          <t>Investing activities</t>
        </is>
      </c>
    </row>
    <row r="13">
      <c r="A13" s="12" t="inlineStr">
        <is>
          <t>Purchase of vehicles and equipment</t>
        </is>
      </c>
      <c r="B13" s="7" t="n">
        <v>-13200</v>
      </c>
      <c r="C13" s="7" t="n">
        <v>0</v>
      </c>
      <c r="D13" s="13">
        <f>B13-C13</f>
        <v/>
      </c>
    </row>
    <row r="14">
      <c r="A14" s="14" t="inlineStr">
        <is>
          <t>Net cash from investing activities</t>
        </is>
      </c>
      <c r="B14" s="15">
        <f>SUM(B13:B13)</f>
        <v/>
      </c>
      <c r="C14" s="15">
        <f>SUM(C13:C13)</f>
        <v/>
      </c>
      <c r="D14" s="16">
        <f>B14-C14</f>
        <v/>
      </c>
    </row>
    <row r="15">
      <c r="A15" s="11" t="inlineStr">
        <is>
          <t>Financing activities</t>
        </is>
      </c>
    </row>
    <row r="16">
      <c r="A16" s="12" t="inlineStr">
        <is>
          <t>Equipment finance repaid</t>
        </is>
      </c>
      <c r="B16" s="7" t="n">
        <v>-5000</v>
      </c>
      <c r="C16" s="7" t="n">
        <v>-5000</v>
      </c>
      <c r="D16" s="13">
        <f>B16-C16</f>
        <v/>
      </c>
    </row>
    <row r="17">
      <c r="A17" s="14" t="inlineStr">
        <is>
          <t>Net cash from financing activities</t>
        </is>
      </c>
      <c r="B17" s="15">
        <f>SUM(B16:B16)</f>
        <v/>
      </c>
      <c r="C17" s="15">
        <f>SUM(C16:C16)</f>
        <v/>
      </c>
      <c r="D17" s="16">
        <f>B17-C17</f>
        <v/>
      </c>
    </row>
    <row r="18">
      <c r="A18" s="14" t="inlineStr">
        <is>
          <t>Net change in cash</t>
        </is>
      </c>
      <c r="B18" s="15">
        <f>B11+B14+B17</f>
        <v/>
      </c>
      <c r="C18" s="15">
        <f>C11+C14+C17</f>
        <v/>
      </c>
      <c r="D18" s="16">
        <f>B18-C18</f>
        <v/>
      </c>
    </row>
    <row r="19">
      <c r="A19" s="14" t="inlineStr">
        <is>
          <t>Cash at start of month</t>
        </is>
      </c>
      <c r="B19" s="15" t="n">
        <v>92859</v>
      </c>
      <c r="C19" s="15" t="n">
        <v>88000</v>
      </c>
      <c r="D19" s="16">
        <f>B19-C19</f>
        <v/>
      </c>
    </row>
    <row r="20">
      <c r="A20" s="17" t="inlineStr">
        <is>
          <t>Cash at end of month</t>
        </is>
      </c>
      <c r="B20" s="18">
        <f>B19+B18</f>
        <v/>
      </c>
      <c r="C20" s="18">
        <f>C19+C18</f>
        <v/>
      </c>
      <c r="D20" s="19">
        <f>B20-C20</f>
        <v/>
      </c>
    </row>
  </sheetData>
  <conditionalFormatting sqref="D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D8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D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D1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D1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13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D1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D1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D1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D18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D1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D20">
    <cfRule type="cellIs" priority="25" operator="greaterThan" dxfId="0">
      <formula>0</formula>
    </cfRule>
    <cfRule type="cellIs" priority="26" operator="lessThan" dxfId="1">
      <formula>0</formula>
    </cfRule>
  </conditionalFormatting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trades-sample-statements.xlsx&amp;C&amp;"Roboto,Regular"&amp;8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6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Jobs, September and August 2026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>
      <c r="A4" t="inlineStr">
        <is>
          <t>Technician cost rate ($ per hour, wages and all on-costs)</t>
        </is>
      </c>
      <c r="B4" s="7" t="n">
        <v>68</v>
      </c>
    </row>
    <row r="5"/>
    <row r="6">
      <c r="A6" s="3" t="inlineStr">
        <is>
          <t>Month</t>
        </is>
      </c>
      <c r="B6" s="4" t="inlineStr">
        <is>
          <t>Job</t>
        </is>
      </c>
      <c r="C6" s="4" t="inlineStr">
        <is>
          <t>Type</t>
        </is>
      </c>
      <c r="D6" s="4" t="inlineStr">
        <is>
          <t>Invoiced</t>
        </is>
      </c>
      <c r="E6" s="4" t="inlineStr">
        <is>
          <t>Paid</t>
        </is>
      </c>
      <c r="F6" s="4" t="inlineStr">
        <is>
          <t>Revenue</t>
        </is>
      </c>
      <c r="G6" s="4" t="inlineStr">
        <is>
          <t>Technician time charged (call-outs)</t>
        </is>
      </c>
      <c r="H6" s="4" t="inlineStr">
        <is>
          <t>Materials charged (call-outs)</t>
        </is>
      </c>
      <c r="I6" s="4" t="inlineStr">
        <is>
          <t>Materials</t>
        </is>
      </c>
      <c r="J6" s="4" t="inlineStr">
        <is>
          <t>Subcontractors</t>
        </is>
      </c>
      <c r="K6" s="4" t="inlineStr">
        <is>
          <t>Tech hours</t>
        </is>
      </c>
      <c r="L6" s="4" t="inlineStr">
        <is>
          <t>Labour cost (incl. on-costs)</t>
        </is>
      </c>
      <c r="M6" s="4" t="inlineStr">
        <is>
          <t>Job gross margin</t>
        </is>
      </c>
      <c r="N6" s="4" t="inlineStr">
        <is>
          <t>Job gross margin %</t>
        </is>
      </c>
    </row>
    <row r="7">
      <c r="A7" s="20" t="inlineStr">
        <is>
          <t>2026-09</t>
        </is>
      </c>
      <c r="B7" s="20" t="inlineStr">
        <is>
          <t>Call-out CO-49224</t>
        </is>
      </c>
      <c r="C7" s="20" t="inlineStr">
        <is>
          <t>Call-out</t>
        </is>
      </c>
      <c r="D7" s="21" t="n">
        <v>46273</v>
      </c>
      <c r="E7" s="21" t="n">
        <v>46273</v>
      </c>
      <c r="F7" s="22" t="n">
        <v>625</v>
      </c>
      <c r="G7" s="22" t="n">
        <v>326</v>
      </c>
      <c r="H7" s="22" t="n">
        <v>299</v>
      </c>
      <c r="I7" s="22" t="n">
        <v>230</v>
      </c>
      <c r="J7" s="22" t="n">
        <v>0</v>
      </c>
      <c r="K7" s="23" t="n">
        <v>2</v>
      </c>
      <c r="L7" s="22">
        <f>K7*$B$4</f>
        <v/>
      </c>
      <c r="M7" s="22">
        <f>F7-I7-J7-L7</f>
        <v/>
      </c>
      <c r="N7" s="24">
        <f>IF(F7=0,"",M7/F7)</f>
        <v/>
      </c>
    </row>
    <row r="8">
      <c r="A8" s="20" t="inlineStr">
        <is>
          <t>2026-09</t>
        </is>
      </c>
      <c r="B8" s="20" t="inlineStr">
        <is>
          <t>Call-out CO-49225</t>
        </is>
      </c>
      <c r="C8" s="20" t="inlineStr">
        <is>
          <t>Call-out</t>
        </is>
      </c>
      <c r="D8" s="21" t="n">
        <v>46280</v>
      </c>
      <c r="E8" s="21" t="n">
        <v>46280</v>
      </c>
      <c r="F8" s="22" t="n">
        <v>658</v>
      </c>
      <c r="G8" s="22" t="n">
        <v>489</v>
      </c>
      <c r="H8" s="22" t="n">
        <v>169</v>
      </c>
      <c r="I8" s="22" t="n">
        <v>130</v>
      </c>
      <c r="J8" s="22" t="n">
        <v>0</v>
      </c>
      <c r="K8" s="23" t="n">
        <v>3</v>
      </c>
      <c r="L8" s="22">
        <f>K8*$B$4</f>
        <v/>
      </c>
      <c r="M8" s="22">
        <f>F8-I8-J8-L8</f>
        <v/>
      </c>
      <c r="N8" s="24">
        <f>IF(F8=0,"",M8/F8)</f>
        <v/>
      </c>
    </row>
    <row r="9">
      <c r="A9" s="20" t="inlineStr">
        <is>
          <t>2026-09</t>
        </is>
      </c>
      <c r="B9" s="20" t="inlineStr">
        <is>
          <t>Call-out CO-49226</t>
        </is>
      </c>
      <c r="C9" s="20" t="inlineStr">
        <is>
          <t>Call-out</t>
        </is>
      </c>
      <c r="D9" s="21" t="n">
        <v>46276</v>
      </c>
      <c r="E9" s="21" t="n">
        <v>46276</v>
      </c>
      <c r="F9" s="22" t="n">
        <v>619</v>
      </c>
      <c r="G9" s="22" t="n">
        <v>489</v>
      </c>
      <c r="H9" s="22" t="n">
        <v>130</v>
      </c>
      <c r="I9" s="22" t="n">
        <v>100</v>
      </c>
      <c r="J9" s="22" t="n">
        <v>0</v>
      </c>
      <c r="K9" s="23" t="n">
        <v>3</v>
      </c>
      <c r="L9" s="22">
        <f>K9*$B$4</f>
        <v/>
      </c>
      <c r="M9" s="22">
        <f>F9-I9-J9-L9</f>
        <v/>
      </c>
      <c r="N9" s="24">
        <f>IF(F9=0,"",M9/F9)</f>
        <v/>
      </c>
    </row>
    <row r="10">
      <c r="A10" s="20" t="inlineStr">
        <is>
          <t>2026-09</t>
        </is>
      </c>
      <c r="B10" s="20" t="inlineStr">
        <is>
          <t>Call-out CO-49227</t>
        </is>
      </c>
      <c r="C10" s="20" t="inlineStr">
        <is>
          <t>Call-out</t>
        </is>
      </c>
      <c r="D10" s="21" t="n">
        <v>46277</v>
      </c>
      <c r="E10" s="21" t="n">
        <v>46279</v>
      </c>
      <c r="F10" s="22" t="n">
        <v>508</v>
      </c>
      <c r="G10" s="22" t="n">
        <v>326</v>
      </c>
      <c r="H10" s="22" t="n">
        <v>182</v>
      </c>
      <c r="I10" s="22" t="n">
        <v>140</v>
      </c>
      <c r="J10" s="22" t="n">
        <v>0</v>
      </c>
      <c r="K10" s="23" t="n">
        <v>2</v>
      </c>
      <c r="L10" s="22">
        <f>K10*$B$4</f>
        <v/>
      </c>
      <c r="M10" s="22">
        <f>F10-I10-J10-L10</f>
        <v/>
      </c>
      <c r="N10" s="24">
        <f>IF(F10=0,"",M10/F10)</f>
        <v/>
      </c>
    </row>
    <row r="11">
      <c r="A11" s="20" t="inlineStr">
        <is>
          <t>2026-09</t>
        </is>
      </c>
      <c r="B11" s="20" t="inlineStr">
        <is>
          <t>Call-out CO-49228</t>
        </is>
      </c>
      <c r="C11" s="20" t="inlineStr">
        <is>
          <t>Call-out</t>
        </is>
      </c>
      <c r="D11" s="21" t="n">
        <v>46291</v>
      </c>
      <c r="E11" s="21" t="n">
        <v>46293</v>
      </c>
      <c r="F11" s="22" t="n">
        <v>508</v>
      </c>
      <c r="G11" s="22" t="n">
        <v>326</v>
      </c>
      <c r="H11" s="22" t="n">
        <v>182</v>
      </c>
      <c r="I11" s="22" t="n">
        <v>140</v>
      </c>
      <c r="J11" s="22" t="n">
        <v>0</v>
      </c>
      <c r="K11" s="23" t="n">
        <v>2</v>
      </c>
      <c r="L11" s="22">
        <f>K11*$B$4</f>
        <v/>
      </c>
      <c r="M11" s="22">
        <f>F11-I11-J11-L11</f>
        <v/>
      </c>
      <c r="N11" s="24">
        <f>IF(F11=0,"",M11/F11)</f>
        <v/>
      </c>
    </row>
    <row r="12">
      <c r="A12" s="20" t="inlineStr">
        <is>
          <t>2026-09</t>
        </is>
      </c>
      <c r="B12" s="20" t="inlineStr">
        <is>
          <t>Call-out CO-49229</t>
        </is>
      </c>
      <c r="C12" s="20" t="inlineStr">
        <is>
          <t>Call-out</t>
        </is>
      </c>
      <c r="D12" s="21" t="n">
        <v>46275</v>
      </c>
      <c r="E12" s="21" t="n">
        <v>46282</v>
      </c>
      <c r="F12" s="22" t="n">
        <v>499</v>
      </c>
      <c r="G12" s="22" t="n">
        <v>408</v>
      </c>
      <c r="H12" s="22" t="n">
        <v>91</v>
      </c>
      <c r="I12" s="22" t="n">
        <v>70</v>
      </c>
      <c r="J12" s="22" t="n">
        <v>0</v>
      </c>
      <c r="K12" s="23" t="n">
        <v>2.5</v>
      </c>
      <c r="L12" s="22">
        <f>K12*$B$4</f>
        <v/>
      </c>
      <c r="M12" s="22">
        <f>F12-I12-J12-L12</f>
        <v/>
      </c>
      <c r="N12" s="24">
        <f>IF(F12=0,"",M12/F12)</f>
        <v/>
      </c>
    </row>
    <row r="13">
      <c r="A13" s="20" t="inlineStr">
        <is>
          <t>2026-09</t>
        </is>
      </c>
      <c r="B13" s="20" t="inlineStr">
        <is>
          <t>Call-out CO-49231</t>
        </is>
      </c>
      <c r="C13" s="20" t="inlineStr">
        <is>
          <t>Call-out</t>
        </is>
      </c>
      <c r="D13" s="21" t="n">
        <v>46280</v>
      </c>
      <c r="E13" s="21" t="n">
        <v>46294</v>
      </c>
      <c r="F13" s="22" t="n">
        <v>788</v>
      </c>
      <c r="G13" s="22" t="n">
        <v>489</v>
      </c>
      <c r="H13" s="22" t="n">
        <v>299</v>
      </c>
      <c r="I13" s="22" t="n">
        <v>230</v>
      </c>
      <c r="J13" s="22" t="n">
        <v>0</v>
      </c>
      <c r="K13" s="23" t="n">
        <v>3</v>
      </c>
      <c r="L13" s="22">
        <f>K13*$B$4</f>
        <v/>
      </c>
      <c r="M13" s="22">
        <f>F13-I13-J13-L13</f>
        <v/>
      </c>
      <c r="N13" s="24">
        <f>IF(F13=0,"",M13/F13)</f>
        <v/>
      </c>
    </row>
    <row r="14">
      <c r="A14" s="20" t="inlineStr">
        <is>
          <t>2026-09</t>
        </is>
      </c>
      <c r="B14" s="20" t="inlineStr">
        <is>
          <t>Call-out CO-49232</t>
        </is>
      </c>
      <c r="C14" s="20" t="inlineStr">
        <is>
          <t>Call-out</t>
        </is>
      </c>
      <c r="D14" s="21" t="n">
        <v>46267</v>
      </c>
      <c r="E14" s="21" t="n">
        <v>46269</v>
      </c>
      <c r="F14" s="22" t="n">
        <v>462</v>
      </c>
      <c r="G14" s="22" t="n">
        <v>163</v>
      </c>
      <c r="H14" s="22" t="n">
        <v>299</v>
      </c>
      <c r="I14" s="22" t="n">
        <v>230</v>
      </c>
      <c r="J14" s="22" t="n">
        <v>0</v>
      </c>
      <c r="K14" s="23" t="n">
        <v>1</v>
      </c>
      <c r="L14" s="22">
        <f>K14*$B$4</f>
        <v/>
      </c>
      <c r="M14" s="22">
        <f>F14-I14-J14-L14</f>
        <v/>
      </c>
      <c r="N14" s="24">
        <f>IF(F14=0,"",M14/F14)</f>
        <v/>
      </c>
    </row>
    <row r="15">
      <c r="A15" s="20" t="inlineStr">
        <is>
          <t>2026-09</t>
        </is>
      </c>
      <c r="B15" s="20" t="inlineStr">
        <is>
          <t>Call-out CO-49233</t>
        </is>
      </c>
      <c r="C15" s="20" t="inlineStr">
        <is>
          <t>Call-out</t>
        </is>
      </c>
      <c r="D15" s="21" t="n">
        <v>46287</v>
      </c>
      <c r="E15" s="21" t="n">
        <v>46317</v>
      </c>
      <c r="F15" s="22" t="n">
        <v>834</v>
      </c>
      <c r="G15" s="22" t="n">
        <v>652</v>
      </c>
      <c r="H15" s="22" t="n">
        <v>182</v>
      </c>
      <c r="I15" s="22" t="n">
        <v>140</v>
      </c>
      <c r="J15" s="22" t="n">
        <v>0</v>
      </c>
      <c r="K15" s="23" t="n">
        <v>4</v>
      </c>
      <c r="L15" s="22">
        <f>K15*$B$4</f>
        <v/>
      </c>
      <c r="M15" s="22">
        <f>F15-I15-J15-L15</f>
        <v/>
      </c>
      <c r="N15" s="24">
        <f>IF(F15=0,"",M15/F15)</f>
        <v/>
      </c>
    </row>
    <row r="16">
      <c r="A16" s="20" t="inlineStr">
        <is>
          <t>2026-09</t>
        </is>
      </c>
      <c r="B16" s="20" t="inlineStr">
        <is>
          <t>Call-out CO-49234</t>
        </is>
      </c>
      <c r="C16" s="20" t="inlineStr">
        <is>
          <t>Call-out</t>
        </is>
      </c>
      <c r="D16" s="21" t="n">
        <v>46282</v>
      </c>
      <c r="E16" s="21" t="n">
        <v>46286</v>
      </c>
      <c r="F16" s="22" t="n">
        <v>593</v>
      </c>
      <c r="G16" s="22" t="n">
        <v>489</v>
      </c>
      <c r="H16" s="22" t="n">
        <v>104</v>
      </c>
      <c r="I16" s="22" t="n">
        <v>80</v>
      </c>
      <c r="J16" s="22" t="n">
        <v>0</v>
      </c>
      <c r="K16" s="23" t="n">
        <v>3</v>
      </c>
      <c r="L16" s="22">
        <f>K16*$B$4</f>
        <v/>
      </c>
      <c r="M16" s="22">
        <f>F16-I16-J16-L16</f>
        <v/>
      </c>
      <c r="N16" s="24">
        <f>IF(F16=0,"",M16/F16)</f>
        <v/>
      </c>
    </row>
    <row r="17">
      <c r="A17" s="20" t="inlineStr">
        <is>
          <t>2026-09</t>
        </is>
      </c>
      <c r="B17" s="20" t="inlineStr">
        <is>
          <t>Call-out CO-49235</t>
        </is>
      </c>
      <c r="C17" s="20" t="inlineStr">
        <is>
          <t>Call-out</t>
        </is>
      </c>
      <c r="D17" s="21" t="n">
        <v>46289</v>
      </c>
      <c r="E17" s="21" t="n">
        <v>46296</v>
      </c>
      <c r="F17" s="22" t="n">
        <v>580</v>
      </c>
      <c r="G17" s="22" t="n">
        <v>489</v>
      </c>
      <c r="H17" s="22" t="n">
        <v>91</v>
      </c>
      <c r="I17" s="22" t="n">
        <v>70</v>
      </c>
      <c r="J17" s="22" t="n">
        <v>0</v>
      </c>
      <c r="K17" s="23" t="n">
        <v>3</v>
      </c>
      <c r="L17" s="22">
        <f>K17*$B$4</f>
        <v/>
      </c>
      <c r="M17" s="22">
        <f>F17-I17-J17-L17</f>
        <v/>
      </c>
      <c r="N17" s="24">
        <f>IF(F17=0,"",M17/F17)</f>
        <v/>
      </c>
    </row>
    <row r="18">
      <c r="A18" s="20" t="inlineStr">
        <is>
          <t>2026-09</t>
        </is>
      </c>
      <c r="B18" s="20" t="inlineStr">
        <is>
          <t>Call-out CO-49236</t>
        </is>
      </c>
      <c r="C18" s="20" t="inlineStr">
        <is>
          <t>Call-out</t>
        </is>
      </c>
      <c r="D18" s="21" t="n">
        <v>46282</v>
      </c>
      <c r="E18" s="21" t="n">
        <v>46289</v>
      </c>
      <c r="F18" s="22" t="n">
        <v>440</v>
      </c>
      <c r="G18" s="22" t="n">
        <v>245</v>
      </c>
      <c r="H18" s="22" t="n">
        <v>195</v>
      </c>
      <c r="I18" s="22" t="n">
        <v>150</v>
      </c>
      <c r="J18" s="22" t="n">
        <v>0</v>
      </c>
      <c r="K18" s="23" t="n">
        <v>1.5</v>
      </c>
      <c r="L18" s="22">
        <f>K18*$B$4</f>
        <v/>
      </c>
      <c r="M18" s="22">
        <f>F18-I18-J18-L18</f>
        <v/>
      </c>
      <c r="N18" s="24">
        <f>IF(F18=0,"",M18/F18)</f>
        <v/>
      </c>
    </row>
    <row r="19">
      <c r="A19" s="20" t="inlineStr">
        <is>
          <t>2026-09</t>
        </is>
      </c>
      <c r="B19" s="20" t="inlineStr">
        <is>
          <t>Call-out CO-49238</t>
        </is>
      </c>
      <c r="C19" s="20" t="inlineStr">
        <is>
          <t>Call-out</t>
        </is>
      </c>
      <c r="D19" s="21" t="n">
        <v>46269</v>
      </c>
      <c r="E19" s="21" t="n">
        <v>46269</v>
      </c>
      <c r="F19" s="22" t="n">
        <v>847</v>
      </c>
      <c r="G19" s="22" t="n">
        <v>652</v>
      </c>
      <c r="H19" s="22" t="n">
        <v>195</v>
      </c>
      <c r="I19" s="22" t="n">
        <v>150</v>
      </c>
      <c r="J19" s="22" t="n">
        <v>0</v>
      </c>
      <c r="K19" s="23" t="n">
        <v>4</v>
      </c>
      <c r="L19" s="22">
        <f>K19*$B$4</f>
        <v/>
      </c>
      <c r="M19" s="22">
        <f>F19-I19-J19-L19</f>
        <v/>
      </c>
      <c r="N19" s="24">
        <f>IF(F19=0,"",M19/F19)</f>
        <v/>
      </c>
    </row>
    <row r="20">
      <c r="A20" s="20" t="inlineStr">
        <is>
          <t>2026-09</t>
        </is>
      </c>
      <c r="B20" s="20" t="inlineStr">
        <is>
          <t>Call-out CO-49239</t>
        </is>
      </c>
      <c r="C20" s="20" t="inlineStr">
        <is>
          <t>Call-out</t>
        </is>
      </c>
      <c r="D20" s="21" t="n">
        <v>46269</v>
      </c>
      <c r="E20" s="21" t="n">
        <v>46269</v>
      </c>
      <c r="F20" s="22" t="n">
        <v>375</v>
      </c>
      <c r="G20" s="22" t="n">
        <v>245</v>
      </c>
      <c r="H20" s="22" t="n">
        <v>130</v>
      </c>
      <c r="I20" s="22" t="n">
        <v>100</v>
      </c>
      <c r="J20" s="22" t="n">
        <v>0</v>
      </c>
      <c r="K20" s="23" t="n">
        <v>1.5</v>
      </c>
      <c r="L20" s="22">
        <f>K20*$B$4</f>
        <v/>
      </c>
      <c r="M20" s="22">
        <f>F20-I20-J20-L20</f>
        <v/>
      </c>
      <c r="N20" s="24">
        <f>IF(F20=0,"",M20/F20)</f>
        <v/>
      </c>
    </row>
    <row r="21">
      <c r="A21" s="20" t="inlineStr">
        <is>
          <t>2026-09</t>
        </is>
      </c>
      <c r="B21" s="20" t="inlineStr">
        <is>
          <t>Call-out CO-49240</t>
        </is>
      </c>
      <c r="C21" s="20" t="inlineStr">
        <is>
          <t>Call-out</t>
        </is>
      </c>
      <c r="D21" s="21" t="n">
        <v>46280</v>
      </c>
      <c r="E21" s="21" t="n">
        <v>46310</v>
      </c>
      <c r="F21" s="22" t="n">
        <v>847</v>
      </c>
      <c r="G21" s="22" t="n">
        <v>652</v>
      </c>
      <c r="H21" s="22" t="n">
        <v>195</v>
      </c>
      <c r="I21" s="22" t="n">
        <v>150</v>
      </c>
      <c r="J21" s="22" t="n">
        <v>0</v>
      </c>
      <c r="K21" s="23" t="n">
        <v>4</v>
      </c>
      <c r="L21" s="22">
        <f>K21*$B$4</f>
        <v/>
      </c>
      <c r="M21" s="22">
        <f>F21-I21-J21-L21</f>
        <v/>
      </c>
      <c r="N21" s="24">
        <f>IF(F21=0,"",M21/F21)</f>
        <v/>
      </c>
    </row>
    <row r="22">
      <c r="A22" s="20" t="inlineStr">
        <is>
          <t>2026-09</t>
        </is>
      </c>
      <c r="B22" s="20" t="inlineStr">
        <is>
          <t>Call-out CO-49241</t>
        </is>
      </c>
      <c r="C22" s="20" t="inlineStr">
        <is>
          <t>Call-out</t>
        </is>
      </c>
      <c r="D22" s="21" t="n">
        <v>46266</v>
      </c>
      <c r="E22" s="21" t="n">
        <v>46273</v>
      </c>
      <c r="F22" s="22" t="n">
        <v>404</v>
      </c>
      <c r="G22" s="22" t="n">
        <v>326</v>
      </c>
      <c r="H22" s="22" t="n">
        <v>78</v>
      </c>
      <c r="I22" s="22" t="n">
        <v>60</v>
      </c>
      <c r="J22" s="22" t="n">
        <v>0</v>
      </c>
      <c r="K22" s="23" t="n">
        <v>2</v>
      </c>
      <c r="L22" s="22">
        <f>K22*$B$4</f>
        <v/>
      </c>
      <c r="M22" s="22">
        <f>F22-I22-J22-L22</f>
        <v/>
      </c>
      <c r="N22" s="24">
        <f>IF(F22=0,"",M22/F22)</f>
        <v/>
      </c>
    </row>
    <row r="23">
      <c r="A23" s="20" t="inlineStr">
        <is>
          <t>2026-09</t>
        </is>
      </c>
      <c r="B23" s="20" t="inlineStr">
        <is>
          <t>Call-out CO-49242</t>
        </is>
      </c>
      <c r="C23" s="20" t="inlineStr">
        <is>
          <t>Call-out</t>
        </is>
      </c>
      <c r="D23" s="21" t="n">
        <v>46273</v>
      </c>
      <c r="E23" s="21" t="n">
        <v>46280</v>
      </c>
      <c r="F23" s="22" t="n">
        <v>580</v>
      </c>
      <c r="G23" s="22" t="n">
        <v>489</v>
      </c>
      <c r="H23" s="22" t="n">
        <v>91</v>
      </c>
      <c r="I23" s="22" t="n">
        <v>70</v>
      </c>
      <c r="J23" s="22" t="n">
        <v>0</v>
      </c>
      <c r="K23" s="23" t="n">
        <v>3</v>
      </c>
      <c r="L23" s="22">
        <f>K23*$B$4</f>
        <v/>
      </c>
      <c r="M23" s="22">
        <f>F23-I23-J23-L23</f>
        <v/>
      </c>
      <c r="N23" s="24">
        <f>IF(F23=0,"",M23/F23)</f>
        <v/>
      </c>
    </row>
    <row r="24">
      <c r="A24" s="20" t="inlineStr">
        <is>
          <t>2026-09</t>
        </is>
      </c>
      <c r="B24" s="20" t="inlineStr">
        <is>
          <t>Call-out CO-49244</t>
        </is>
      </c>
      <c r="C24" s="20" t="inlineStr">
        <is>
          <t>Call-out</t>
        </is>
      </c>
      <c r="D24" s="21" t="n">
        <v>46271</v>
      </c>
      <c r="E24" s="21" t="n">
        <v>46272</v>
      </c>
      <c r="F24" s="22" t="n">
        <v>512</v>
      </c>
      <c r="G24" s="22" t="n">
        <v>408</v>
      </c>
      <c r="H24" s="22" t="n">
        <v>104</v>
      </c>
      <c r="I24" s="22" t="n">
        <v>80</v>
      </c>
      <c r="J24" s="22" t="n">
        <v>0</v>
      </c>
      <c r="K24" s="23" t="n">
        <v>2.5</v>
      </c>
      <c r="L24" s="22">
        <f>K24*$B$4</f>
        <v/>
      </c>
      <c r="M24" s="22">
        <f>F24-I24-J24-L24</f>
        <v/>
      </c>
      <c r="N24" s="24">
        <f>IF(F24=0,"",M24/F24)</f>
        <v/>
      </c>
    </row>
    <row r="25">
      <c r="A25" s="20" t="inlineStr">
        <is>
          <t>2026-09</t>
        </is>
      </c>
      <c r="B25" s="20" t="inlineStr">
        <is>
          <t>Call-out CO-49245</t>
        </is>
      </c>
      <c r="C25" s="20" t="inlineStr">
        <is>
          <t>Call-out</t>
        </is>
      </c>
      <c r="D25" s="21" t="n">
        <v>46288</v>
      </c>
      <c r="E25" s="21" t="n">
        <v>46288</v>
      </c>
      <c r="F25" s="22" t="n">
        <v>625</v>
      </c>
      <c r="G25" s="22" t="n">
        <v>326</v>
      </c>
      <c r="H25" s="22" t="n">
        <v>299</v>
      </c>
      <c r="I25" s="22" t="n">
        <v>230</v>
      </c>
      <c r="J25" s="22" t="n">
        <v>0</v>
      </c>
      <c r="K25" s="23" t="n">
        <v>2</v>
      </c>
      <c r="L25" s="22">
        <f>K25*$B$4</f>
        <v/>
      </c>
      <c r="M25" s="22">
        <f>F25-I25-J25-L25</f>
        <v/>
      </c>
      <c r="N25" s="24">
        <f>IF(F25=0,"",M25/F25)</f>
        <v/>
      </c>
    </row>
    <row r="26">
      <c r="A26" s="20" t="inlineStr">
        <is>
          <t>2026-09</t>
        </is>
      </c>
      <c r="B26" s="20" t="inlineStr">
        <is>
          <t>Call-out CO-49246</t>
        </is>
      </c>
      <c r="C26" s="20" t="inlineStr">
        <is>
          <t>Call-out</t>
        </is>
      </c>
      <c r="D26" s="21" t="n">
        <v>46289</v>
      </c>
      <c r="E26" s="21" t="n">
        <v>46296</v>
      </c>
      <c r="F26" s="22" t="n">
        <v>378</v>
      </c>
      <c r="G26" s="22" t="n">
        <v>326</v>
      </c>
      <c r="H26" s="22" t="n">
        <v>52</v>
      </c>
      <c r="I26" s="22" t="n">
        <v>40</v>
      </c>
      <c r="J26" s="22" t="n">
        <v>0</v>
      </c>
      <c r="K26" s="23" t="n">
        <v>2</v>
      </c>
      <c r="L26" s="22">
        <f>K26*$B$4</f>
        <v/>
      </c>
      <c r="M26" s="22">
        <f>F26-I26-J26-L26</f>
        <v/>
      </c>
      <c r="N26" s="24">
        <f>IF(F26=0,"",M26/F26)</f>
        <v/>
      </c>
    </row>
    <row r="27">
      <c r="A27" s="20" t="inlineStr">
        <is>
          <t>2026-09</t>
        </is>
      </c>
      <c r="B27" s="20" t="inlineStr">
        <is>
          <t>Call-out CO-49247</t>
        </is>
      </c>
      <c r="C27" s="20" t="inlineStr">
        <is>
          <t>Call-out</t>
        </is>
      </c>
      <c r="D27" s="21" t="n">
        <v>46290</v>
      </c>
      <c r="E27" s="21" t="n">
        <v>46297</v>
      </c>
      <c r="F27" s="22" t="n">
        <v>515</v>
      </c>
      <c r="G27" s="22" t="n">
        <v>489</v>
      </c>
      <c r="H27" s="22" t="n">
        <v>26</v>
      </c>
      <c r="I27" s="22" t="n">
        <v>20</v>
      </c>
      <c r="J27" s="22" t="n">
        <v>0</v>
      </c>
      <c r="K27" s="23" t="n">
        <v>3</v>
      </c>
      <c r="L27" s="22">
        <f>K27*$B$4</f>
        <v/>
      </c>
      <c r="M27" s="22">
        <f>F27-I27-J27-L27</f>
        <v/>
      </c>
      <c r="N27" s="24">
        <f>IF(F27=0,"",M27/F27)</f>
        <v/>
      </c>
    </row>
    <row r="28">
      <c r="A28" s="20" t="inlineStr">
        <is>
          <t>2026-09</t>
        </is>
      </c>
      <c r="B28" s="20" t="inlineStr">
        <is>
          <t>Call-out CO-49248</t>
        </is>
      </c>
      <c r="C28" s="20" t="inlineStr">
        <is>
          <t>Call-out</t>
        </is>
      </c>
      <c r="D28" s="21" t="n">
        <v>46282</v>
      </c>
      <c r="E28" s="21" t="n">
        <v>46314</v>
      </c>
      <c r="F28" s="22" t="n">
        <v>486</v>
      </c>
      <c r="G28" s="22" t="n">
        <v>408</v>
      </c>
      <c r="H28" s="22" t="n">
        <v>78</v>
      </c>
      <c r="I28" s="22" t="n">
        <v>60</v>
      </c>
      <c r="J28" s="22" t="n">
        <v>0</v>
      </c>
      <c r="K28" s="23" t="n">
        <v>2.5</v>
      </c>
      <c r="L28" s="22">
        <f>K28*$B$4</f>
        <v/>
      </c>
      <c r="M28" s="22">
        <f>F28-I28-J28-L28</f>
        <v/>
      </c>
      <c r="N28" s="24">
        <f>IF(F28=0,"",M28/F28)</f>
        <v/>
      </c>
    </row>
    <row r="29">
      <c r="A29" s="20" t="inlineStr">
        <is>
          <t>2026-09</t>
        </is>
      </c>
      <c r="B29" s="20" t="inlineStr">
        <is>
          <t>Call-out CO-49249</t>
        </is>
      </c>
      <c r="C29" s="20" t="inlineStr">
        <is>
          <t>Call-out</t>
        </is>
      </c>
      <c r="D29" s="21" t="n">
        <v>46287</v>
      </c>
      <c r="E29" s="21" t="n">
        <v>46287</v>
      </c>
      <c r="F29" s="22" t="n">
        <v>821</v>
      </c>
      <c r="G29" s="22" t="n">
        <v>652</v>
      </c>
      <c r="H29" s="22" t="n">
        <v>169</v>
      </c>
      <c r="I29" s="22" t="n">
        <v>130</v>
      </c>
      <c r="J29" s="22" t="n">
        <v>0</v>
      </c>
      <c r="K29" s="23" t="n">
        <v>4</v>
      </c>
      <c r="L29" s="22">
        <f>K29*$B$4</f>
        <v/>
      </c>
      <c r="M29" s="22">
        <f>F29-I29-J29-L29</f>
        <v/>
      </c>
      <c r="N29" s="24">
        <f>IF(F29=0,"",M29/F29)</f>
        <v/>
      </c>
    </row>
    <row r="30">
      <c r="A30" s="20" t="inlineStr">
        <is>
          <t>2026-09</t>
        </is>
      </c>
      <c r="B30" s="20" t="inlineStr">
        <is>
          <t>Call-out CO-49251</t>
        </is>
      </c>
      <c r="C30" s="20" t="inlineStr">
        <is>
          <t>Call-out</t>
        </is>
      </c>
      <c r="D30" s="21" t="n">
        <v>46293</v>
      </c>
      <c r="E30" s="21" t="n">
        <v>46293</v>
      </c>
      <c r="F30" s="22" t="n">
        <v>873</v>
      </c>
      <c r="G30" s="22" t="n">
        <v>652</v>
      </c>
      <c r="H30" s="22" t="n">
        <v>221</v>
      </c>
      <c r="I30" s="22" t="n">
        <v>170</v>
      </c>
      <c r="J30" s="22" t="n">
        <v>0</v>
      </c>
      <c r="K30" s="23" t="n">
        <v>4</v>
      </c>
      <c r="L30" s="22">
        <f>K30*$B$4</f>
        <v/>
      </c>
      <c r="M30" s="22">
        <f>F30-I30-J30-L30</f>
        <v/>
      </c>
      <c r="N30" s="24">
        <f>IF(F30=0,"",M30/F30)</f>
        <v/>
      </c>
    </row>
    <row r="31">
      <c r="A31" s="20" t="inlineStr">
        <is>
          <t>2026-09</t>
        </is>
      </c>
      <c r="B31" s="20" t="inlineStr">
        <is>
          <t>Call-out CO-49252</t>
        </is>
      </c>
      <c r="C31" s="20" t="inlineStr">
        <is>
          <t>Call-out</t>
        </is>
      </c>
      <c r="D31" s="21" t="n">
        <v>46291</v>
      </c>
      <c r="E31" s="21" t="n">
        <v>46293</v>
      </c>
      <c r="F31" s="22" t="n">
        <v>349</v>
      </c>
      <c r="G31" s="22" t="n">
        <v>245</v>
      </c>
      <c r="H31" s="22" t="n">
        <v>104</v>
      </c>
      <c r="I31" s="22" t="n">
        <v>80</v>
      </c>
      <c r="J31" s="22" t="n">
        <v>0</v>
      </c>
      <c r="K31" s="23" t="n">
        <v>1.5</v>
      </c>
      <c r="L31" s="22">
        <f>K31*$B$4</f>
        <v/>
      </c>
      <c r="M31" s="22">
        <f>F31-I31-J31-L31</f>
        <v/>
      </c>
      <c r="N31" s="24">
        <f>IF(F31=0,"",M31/F31)</f>
        <v/>
      </c>
    </row>
    <row r="32">
      <c r="A32" s="20" t="inlineStr">
        <is>
          <t>2026-09</t>
        </is>
      </c>
      <c r="B32" s="20" t="inlineStr">
        <is>
          <t>Call-out CO-49253</t>
        </is>
      </c>
      <c r="C32" s="20" t="inlineStr">
        <is>
          <t>Call-out</t>
        </is>
      </c>
      <c r="D32" s="21" t="n">
        <v>46291</v>
      </c>
      <c r="E32" s="21" t="n">
        <v>46307</v>
      </c>
      <c r="F32" s="22" t="n">
        <v>401</v>
      </c>
      <c r="G32" s="22" t="n">
        <v>245</v>
      </c>
      <c r="H32" s="22" t="n">
        <v>156</v>
      </c>
      <c r="I32" s="22" t="n">
        <v>120</v>
      </c>
      <c r="J32" s="22" t="n">
        <v>0</v>
      </c>
      <c r="K32" s="23" t="n">
        <v>1.5</v>
      </c>
      <c r="L32" s="22">
        <f>K32*$B$4</f>
        <v/>
      </c>
      <c r="M32" s="22">
        <f>F32-I32-J32-L32</f>
        <v/>
      </c>
      <c r="N32" s="24">
        <f>IF(F32=0,"",M32/F32)</f>
        <v/>
      </c>
    </row>
    <row r="33">
      <c r="A33" s="20" t="inlineStr">
        <is>
          <t>2026-09</t>
        </is>
      </c>
      <c r="B33" s="20" t="inlineStr">
        <is>
          <t>Call-out CO-49254</t>
        </is>
      </c>
      <c r="C33" s="20" t="inlineStr">
        <is>
          <t>Call-out</t>
        </is>
      </c>
      <c r="D33" s="21" t="n">
        <v>46269</v>
      </c>
      <c r="E33" s="21" t="n">
        <v>46276</v>
      </c>
      <c r="F33" s="22" t="n">
        <v>586</v>
      </c>
      <c r="G33" s="22" t="n">
        <v>326</v>
      </c>
      <c r="H33" s="22" t="n">
        <v>260</v>
      </c>
      <c r="I33" s="22" t="n">
        <v>200</v>
      </c>
      <c r="J33" s="22" t="n">
        <v>0</v>
      </c>
      <c r="K33" s="23" t="n">
        <v>2</v>
      </c>
      <c r="L33" s="22">
        <f>K33*$B$4</f>
        <v/>
      </c>
      <c r="M33" s="22">
        <f>F33-I33-J33-L33</f>
        <v/>
      </c>
      <c r="N33" s="24">
        <f>IF(F33=0,"",M33/F33)</f>
        <v/>
      </c>
    </row>
    <row r="34">
      <c r="A34" s="20" t="inlineStr">
        <is>
          <t>2026-09</t>
        </is>
      </c>
      <c r="B34" s="20" t="inlineStr">
        <is>
          <t>Call-out CO-49255</t>
        </is>
      </c>
      <c r="C34" s="20" t="inlineStr">
        <is>
          <t>Call-out</t>
        </is>
      </c>
      <c r="D34" s="21" t="n">
        <v>46290</v>
      </c>
      <c r="E34" s="21" t="n">
        <v>46304</v>
      </c>
      <c r="F34" s="22" t="n">
        <v>599</v>
      </c>
      <c r="G34" s="22" t="n">
        <v>326</v>
      </c>
      <c r="H34" s="22" t="n">
        <v>273</v>
      </c>
      <c r="I34" s="22" t="n">
        <v>210</v>
      </c>
      <c r="J34" s="22" t="n">
        <v>0</v>
      </c>
      <c r="K34" s="23" t="n">
        <v>2</v>
      </c>
      <c r="L34" s="22">
        <f>K34*$B$4</f>
        <v/>
      </c>
      <c r="M34" s="22">
        <f>F34-I34-J34-L34</f>
        <v/>
      </c>
      <c r="N34" s="24">
        <f>IF(F34=0,"",M34/F34)</f>
        <v/>
      </c>
    </row>
    <row r="35">
      <c r="A35" s="20" t="inlineStr">
        <is>
          <t>2026-09</t>
        </is>
      </c>
      <c r="B35" s="20" t="inlineStr">
        <is>
          <t>Call-out CO-49256</t>
        </is>
      </c>
      <c r="C35" s="20" t="inlineStr">
        <is>
          <t>Call-out</t>
        </is>
      </c>
      <c r="D35" s="21" t="n">
        <v>46293</v>
      </c>
      <c r="E35" s="21" t="n">
        <v>46301</v>
      </c>
      <c r="F35" s="22" t="n">
        <v>678</v>
      </c>
      <c r="G35" s="22" t="n">
        <v>652</v>
      </c>
      <c r="H35" s="22" t="n">
        <v>26</v>
      </c>
      <c r="I35" s="22" t="n">
        <v>20</v>
      </c>
      <c r="J35" s="22" t="n">
        <v>0</v>
      </c>
      <c r="K35" s="23" t="n">
        <v>4</v>
      </c>
      <c r="L35" s="22">
        <f>K35*$B$4</f>
        <v/>
      </c>
      <c r="M35" s="22">
        <f>F35-I35-J35-L35</f>
        <v/>
      </c>
      <c r="N35" s="24">
        <f>IF(F35=0,"",M35/F35)</f>
        <v/>
      </c>
    </row>
    <row r="36">
      <c r="A36" s="20" t="inlineStr">
        <is>
          <t>2026-09</t>
        </is>
      </c>
      <c r="B36" s="20" t="inlineStr">
        <is>
          <t>Call-out CO-49258</t>
        </is>
      </c>
      <c r="C36" s="20" t="inlineStr">
        <is>
          <t>Call-out</t>
        </is>
      </c>
      <c r="D36" s="21" t="n">
        <v>46278</v>
      </c>
      <c r="E36" s="21" t="n">
        <v>46279</v>
      </c>
      <c r="F36" s="22" t="n">
        <v>697</v>
      </c>
      <c r="G36" s="22" t="n">
        <v>489</v>
      </c>
      <c r="H36" s="22" t="n">
        <v>208</v>
      </c>
      <c r="I36" s="22" t="n">
        <v>160</v>
      </c>
      <c r="J36" s="22" t="n">
        <v>0</v>
      </c>
      <c r="K36" s="23" t="n">
        <v>3</v>
      </c>
      <c r="L36" s="22">
        <f>K36*$B$4</f>
        <v/>
      </c>
      <c r="M36" s="22">
        <f>F36-I36-J36-L36</f>
        <v/>
      </c>
      <c r="N36" s="24">
        <f>IF(F36=0,"",M36/F36)</f>
        <v/>
      </c>
    </row>
    <row r="37">
      <c r="A37" s="20" t="inlineStr">
        <is>
          <t>2026-09</t>
        </is>
      </c>
      <c r="B37" s="20" t="inlineStr">
        <is>
          <t>Call-out CO-49259</t>
        </is>
      </c>
      <c r="C37" s="20" t="inlineStr">
        <is>
          <t>Call-out</t>
        </is>
      </c>
      <c r="D37" s="21" t="n">
        <v>46278</v>
      </c>
      <c r="E37" s="21" t="n">
        <v>46308</v>
      </c>
      <c r="F37" s="22" t="n">
        <v>378</v>
      </c>
      <c r="G37" s="22" t="n">
        <v>326</v>
      </c>
      <c r="H37" s="22" t="n">
        <v>52</v>
      </c>
      <c r="I37" s="22" t="n">
        <v>40</v>
      </c>
      <c r="J37" s="22" t="n">
        <v>0</v>
      </c>
      <c r="K37" s="23" t="n">
        <v>2</v>
      </c>
      <c r="L37" s="22">
        <f>K37*$B$4</f>
        <v/>
      </c>
      <c r="M37" s="22">
        <f>F37-I37-J37-L37</f>
        <v/>
      </c>
      <c r="N37" s="24">
        <f>IF(F37=0,"",M37/F37)</f>
        <v/>
      </c>
    </row>
    <row r="38">
      <c r="A38" s="20" t="inlineStr">
        <is>
          <t>2026-09</t>
        </is>
      </c>
      <c r="B38" s="20" t="inlineStr">
        <is>
          <t>Call-out CO-49260</t>
        </is>
      </c>
      <c r="C38" s="20" t="inlineStr">
        <is>
          <t>Call-out</t>
        </is>
      </c>
      <c r="D38" s="21" t="n">
        <v>46286</v>
      </c>
      <c r="E38" s="21" t="n">
        <v>46316</v>
      </c>
      <c r="F38" s="22" t="n">
        <v>642</v>
      </c>
      <c r="G38" s="22" t="n">
        <v>408</v>
      </c>
      <c r="H38" s="22" t="n">
        <v>234</v>
      </c>
      <c r="I38" s="22" t="n">
        <v>180</v>
      </c>
      <c r="J38" s="22" t="n">
        <v>0</v>
      </c>
      <c r="K38" s="23" t="n">
        <v>2.5</v>
      </c>
      <c r="L38" s="22">
        <f>K38*$B$4</f>
        <v/>
      </c>
      <c r="M38" s="22">
        <f>F38-I38-J38-L38</f>
        <v/>
      </c>
      <c r="N38" s="24">
        <f>IF(F38=0,"",M38/F38)</f>
        <v/>
      </c>
    </row>
    <row r="39">
      <c r="A39" s="20" t="inlineStr">
        <is>
          <t>2026-09</t>
        </is>
      </c>
      <c r="B39" s="20" t="inlineStr">
        <is>
          <t>Call-out CO-49261</t>
        </is>
      </c>
      <c r="C39" s="20" t="inlineStr">
        <is>
          <t>Call-out</t>
        </is>
      </c>
      <c r="D39" s="21" t="n">
        <v>46273</v>
      </c>
      <c r="E39" s="21" t="n">
        <v>46273</v>
      </c>
      <c r="F39" s="22" t="n">
        <v>479</v>
      </c>
      <c r="G39" s="22" t="n">
        <v>245</v>
      </c>
      <c r="H39" s="22" t="n">
        <v>234</v>
      </c>
      <c r="I39" s="22" t="n">
        <v>180</v>
      </c>
      <c r="J39" s="22" t="n">
        <v>0</v>
      </c>
      <c r="K39" s="23" t="n">
        <v>1.5</v>
      </c>
      <c r="L39" s="22">
        <f>K39*$B$4</f>
        <v/>
      </c>
      <c r="M39" s="22">
        <f>F39-I39-J39-L39</f>
        <v/>
      </c>
      <c r="N39" s="24">
        <f>IF(F39=0,"",M39/F39)</f>
        <v/>
      </c>
    </row>
    <row r="40">
      <c r="A40" s="20" t="inlineStr">
        <is>
          <t>2026-09</t>
        </is>
      </c>
      <c r="B40" s="20" t="inlineStr">
        <is>
          <t>Call-out CO-49262</t>
        </is>
      </c>
      <c r="C40" s="20" t="inlineStr">
        <is>
          <t>Call-out</t>
        </is>
      </c>
      <c r="D40" s="21" t="n">
        <v>46267</v>
      </c>
      <c r="E40" s="21" t="n">
        <v>46274</v>
      </c>
      <c r="F40" s="22" t="n">
        <v>486</v>
      </c>
      <c r="G40" s="22" t="n">
        <v>408</v>
      </c>
      <c r="H40" s="22" t="n">
        <v>78</v>
      </c>
      <c r="I40" s="22" t="n">
        <v>60</v>
      </c>
      <c r="J40" s="22" t="n">
        <v>0</v>
      </c>
      <c r="K40" s="23" t="n">
        <v>2.5</v>
      </c>
      <c r="L40" s="22">
        <f>K40*$B$4</f>
        <v/>
      </c>
      <c r="M40" s="22">
        <f>F40-I40-J40-L40</f>
        <v/>
      </c>
      <c r="N40" s="24">
        <f>IF(F40=0,"",M40/F40)</f>
        <v/>
      </c>
    </row>
    <row r="41">
      <c r="A41" s="20" t="inlineStr">
        <is>
          <t>2026-09</t>
        </is>
      </c>
      <c r="B41" s="20" t="inlineStr">
        <is>
          <t>Call-out CO-49264</t>
        </is>
      </c>
      <c r="C41" s="20" t="inlineStr">
        <is>
          <t>Call-out</t>
        </is>
      </c>
      <c r="D41" s="21" t="n">
        <v>46270</v>
      </c>
      <c r="E41" s="21" t="n">
        <v>46279</v>
      </c>
      <c r="F41" s="22" t="n">
        <v>352</v>
      </c>
      <c r="G41" s="22" t="n">
        <v>326</v>
      </c>
      <c r="H41" s="22" t="n">
        <v>26</v>
      </c>
      <c r="I41" s="22" t="n">
        <v>20</v>
      </c>
      <c r="J41" s="22" t="n">
        <v>0</v>
      </c>
      <c r="K41" s="23" t="n">
        <v>2</v>
      </c>
      <c r="L41" s="22">
        <f>K41*$B$4</f>
        <v/>
      </c>
      <c r="M41" s="22">
        <f>F41-I41-J41-L41</f>
        <v/>
      </c>
      <c r="N41" s="24">
        <f>IF(F41=0,"",M41/F41)</f>
        <v/>
      </c>
    </row>
    <row r="42">
      <c r="A42" s="20" t="inlineStr">
        <is>
          <t>2026-09</t>
        </is>
      </c>
      <c r="B42" s="20" t="inlineStr">
        <is>
          <t>Call-out CO-49265</t>
        </is>
      </c>
      <c r="C42" s="20" t="inlineStr">
        <is>
          <t>Call-out</t>
        </is>
      </c>
      <c r="D42" s="21" t="n">
        <v>46278</v>
      </c>
      <c r="E42" s="21" t="n">
        <v>46279</v>
      </c>
      <c r="F42" s="22" t="n">
        <v>362</v>
      </c>
      <c r="G42" s="22" t="n">
        <v>245</v>
      </c>
      <c r="H42" s="22" t="n">
        <v>117</v>
      </c>
      <c r="I42" s="22" t="n">
        <v>90</v>
      </c>
      <c r="J42" s="22" t="n">
        <v>0</v>
      </c>
      <c r="K42" s="23" t="n">
        <v>1.5</v>
      </c>
      <c r="L42" s="22">
        <f>K42*$B$4</f>
        <v/>
      </c>
      <c r="M42" s="22">
        <f>F42-I42-J42-L42</f>
        <v/>
      </c>
      <c r="N42" s="24">
        <f>IF(F42=0,"",M42/F42)</f>
        <v/>
      </c>
    </row>
    <row r="43">
      <c r="A43" s="20" t="inlineStr">
        <is>
          <t>2026-09</t>
        </is>
      </c>
      <c r="B43" s="20" t="inlineStr">
        <is>
          <t>Call-out CO-49266</t>
        </is>
      </c>
      <c r="C43" s="20" t="inlineStr">
        <is>
          <t>Call-out</t>
        </is>
      </c>
      <c r="D43" s="21" t="n">
        <v>46283</v>
      </c>
      <c r="E43" s="21" t="n">
        <v>46286</v>
      </c>
      <c r="F43" s="22" t="n">
        <v>349</v>
      </c>
      <c r="G43" s="22" t="n">
        <v>245</v>
      </c>
      <c r="H43" s="22" t="n">
        <v>104</v>
      </c>
      <c r="I43" s="22" t="n">
        <v>80</v>
      </c>
      <c r="J43" s="22" t="n">
        <v>0</v>
      </c>
      <c r="K43" s="23" t="n">
        <v>1.5</v>
      </c>
      <c r="L43" s="22">
        <f>K43*$B$4</f>
        <v/>
      </c>
      <c r="M43" s="22">
        <f>F43-I43-J43-L43</f>
        <v/>
      </c>
      <c r="N43" s="24">
        <f>IF(F43=0,"",M43/F43)</f>
        <v/>
      </c>
    </row>
    <row r="44">
      <c r="A44" s="20" t="inlineStr">
        <is>
          <t>2026-09</t>
        </is>
      </c>
      <c r="B44" s="20" t="inlineStr">
        <is>
          <t>Call-out CO-49267</t>
        </is>
      </c>
      <c r="C44" s="20" t="inlineStr">
        <is>
          <t>Call-out</t>
        </is>
      </c>
      <c r="D44" s="21" t="n">
        <v>46288</v>
      </c>
      <c r="E44" s="21" t="n">
        <v>46302</v>
      </c>
      <c r="F44" s="22" t="n">
        <v>417</v>
      </c>
      <c r="G44" s="22" t="n">
        <v>326</v>
      </c>
      <c r="H44" s="22" t="n">
        <v>91</v>
      </c>
      <c r="I44" s="22" t="n">
        <v>70</v>
      </c>
      <c r="J44" s="22" t="n">
        <v>0</v>
      </c>
      <c r="K44" s="23" t="n">
        <v>2</v>
      </c>
      <c r="L44" s="22">
        <f>K44*$B$4</f>
        <v/>
      </c>
      <c r="M44" s="22">
        <f>F44-I44-J44-L44</f>
        <v/>
      </c>
      <c r="N44" s="24">
        <f>IF(F44=0,"",M44/F44)</f>
        <v/>
      </c>
    </row>
    <row r="45">
      <c r="A45" s="20" t="inlineStr">
        <is>
          <t>2026-09</t>
        </is>
      </c>
      <c r="B45" s="20" t="inlineStr">
        <is>
          <t>Call-out CO-49268</t>
        </is>
      </c>
      <c r="C45" s="20" t="inlineStr">
        <is>
          <t>Call-out</t>
        </is>
      </c>
      <c r="D45" s="21" t="n">
        <v>46288</v>
      </c>
      <c r="E45" s="21" t="n">
        <v>46288</v>
      </c>
      <c r="F45" s="22" t="n">
        <v>280</v>
      </c>
      <c r="G45" s="22" t="n">
        <v>163</v>
      </c>
      <c r="H45" s="22" t="n">
        <v>117</v>
      </c>
      <c r="I45" s="22" t="n">
        <v>90</v>
      </c>
      <c r="J45" s="22" t="n">
        <v>0</v>
      </c>
      <c r="K45" s="23" t="n">
        <v>1</v>
      </c>
      <c r="L45" s="22">
        <f>K45*$B$4</f>
        <v/>
      </c>
      <c r="M45" s="22">
        <f>F45-I45-J45-L45</f>
        <v/>
      </c>
      <c r="N45" s="24">
        <f>IF(F45=0,"",M45/F45)</f>
        <v/>
      </c>
    </row>
    <row r="46">
      <c r="A46" s="20" t="inlineStr">
        <is>
          <t>2026-09</t>
        </is>
      </c>
      <c r="B46" s="20" t="inlineStr">
        <is>
          <t>Call-out CO-49269</t>
        </is>
      </c>
      <c r="C46" s="20" t="inlineStr">
        <is>
          <t>Call-out</t>
        </is>
      </c>
      <c r="D46" s="21" t="n">
        <v>46266</v>
      </c>
      <c r="E46" s="21" t="n">
        <v>46296</v>
      </c>
      <c r="F46" s="22" t="n">
        <v>668</v>
      </c>
      <c r="G46" s="22" t="n">
        <v>408</v>
      </c>
      <c r="H46" s="22" t="n">
        <v>260</v>
      </c>
      <c r="I46" s="22" t="n">
        <v>200</v>
      </c>
      <c r="J46" s="22" t="n">
        <v>0</v>
      </c>
      <c r="K46" s="23" t="n">
        <v>2.5</v>
      </c>
      <c r="L46" s="22">
        <f>K46*$B$4</f>
        <v/>
      </c>
      <c r="M46" s="22">
        <f>F46-I46-J46-L46</f>
        <v/>
      </c>
      <c r="N46" s="24">
        <f>IF(F46=0,"",M46/F46)</f>
        <v/>
      </c>
    </row>
    <row r="47">
      <c r="A47" s="20" t="inlineStr">
        <is>
          <t>2026-09</t>
        </is>
      </c>
      <c r="B47" s="20" t="inlineStr">
        <is>
          <t>Call-out CO-49271</t>
        </is>
      </c>
      <c r="C47" s="20" t="inlineStr">
        <is>
          <t>Call-out</t>
        </is>
      </c>
      <c r="D47" s="21" t="n">
        <v>46283</v>
      </c>
      <c r="E47" s="21" t="n">
        <v>46290</v>
      </c>
      <c r="F47" s="22" t="n">
        <v>306</v>
      </c>
      <c r="G47" s="22" t="n">
        <v>163</v>
      </c>
      <c r="H47" s="22" t="n">
        <v>143</v>
      </c>
      <c r="I47" s="22" t="n">
        <v>110</v>
      </c>
      <c r="J47" s="22" t="n">
        <v>0</v>
      </c>
      <c r="K47" s="23" t="n">
        <v>1</v>
      </c>
      <c r="L47" s="22">
        <f>K47*$B$4</f>
        <v/>
      </c>
      <c r="M47" s="22">
        <f>F47-I47-J47-L47</f>
        <v/>
      </c>
      <c r="N47" s="24">
        <f>IF(F47=0,"",M47/F47)</f>
        <v/>
      </c>
    </row>
    <row r="48">
      <c r="A48" s="20" t="inlineStr">
        <is>
          <t>2026-09</t>
        </is>
      </c>
      <c r="B48" s="20" t="inlineStr">
        <is>
          <t>Call-out CO-49272</t>
        </is>
      </c>
      <c r="C48" s="20" t="inlineStr">
        <is>
          <t>Call-out</t>
        </is>
      </c>
      <c r="D48" s="21" t="n">
        <v>46278</v>
      </c>
      <c r="E48" s="21" t="n">
        <v>46293</v>
      </c>
      <c r="F48" s="22" t="n">
        <v>606</v>
      </c>
      <c r="G48" s="22" t="n">
        <v>489</v>
      </c>
      <c r="H48" s="22" t="n">
        <v>117</v>
      </c>
      <c r="I48" s="22" t="n">
        <v>90</v>
      </c>
      <c r="J48" s="22" t="n">
        <v>0</v>
      </c>
      <c r="K48" s="23" t="n">
        <v>3</v>
      </c>
      <c r="L48" s="22">
        <f>K48*$B$4</f>
        <v/>
      </c>
      <c r="M48" s="22">
        <f>F48-I48-J48-L48</f>
        <v/>
      </c>
      <c r="N48" s="24">
        <f>IF(F48=0,"",M48/F48)</f>
        <v/>
      </c>
    </row>
    <row r="49">
      <c r="A49" s="20" t="inlineStr">
        <is>
          <t>2026-09</t>
        </is>
      </c>
      <c r="B49" s="20" t="inlineStr">
        <is>
          <t>Call-out CO-49273</t>
        </is>
      </c>
      <c r="C49" s="20" t="inlineStr">
        <is>
          <t>Call-out</t>
        </is>
      </c>
      <c r="D49" s="21" t="n">
        <v>46281</v>
      </c>
      <c r="E49" s="21" t="n">
        <v>46311</v>
      </c>
      <c r="F49" s="22" t="n">
        <v>297</v>
      </c>
      <c r="G49" s="22" t="n">
        <v>245</v>
      </c>
      <c r="H49" s="22" t="n">
        <v>52</v>
      </c>
      <c r="I49" s="22" t="n">
        <v>40</v>
      </c>
      <c r="J49" s="22" t="n">
        <v>0</v>
      </c>
      <c r="K49" s="23" t="n">
        <v>1.5</v>
      </c>
      <c r="L49" s="22">
        <f>K49*$B$4</f>
        <v/>
      </c>
      <c r="M49" s="22">
        <f>F49-I49-J49-L49</f>
        <v/>
      </c>
      <c r="N49" s="24">
        <f>IF(F49=0,"",M49/F49)</f>
        <v/>
      </c>
    </row>
    <row r="50">
      <c r="A50" s="20" t="inlineStr">
        <is>
          <t>2026-09</t>
        </is>
      </c>
      <c r="B50" s="20" t="inlineStr">
        <is>
          <t>Call-out CO-49274</t>
        </is>
      </c>
      <c r="C50" s="20" t="inlineStr">
        <is>
          <t>Call-out</t>
        </is>
      </c>
      <c r="D50" s="21" t="n">
        <v>46286</v>
      </c>
      <c r="E50" s="21" t="n">
        <v>46293</v>
      </c>
      <c r="F50" s="22" t="n">
        <v>756</v>
      </c>
      <c r="G50" s="22" t="n">
        <v>652</v>
      </c>
      <c r="H50" s="22" t="n">
        <v>104</v>
      </c>
      <c r="I50" s="22" t="n">
        <v>80</v>
      </c>
      <c r="J50" s="22" t="n">
        <v>0</v>
      </c>
      <c r="K50" s="23" t="n">
        <v>4</v>
      </c>
      <c r="L50" s="22">
        <f>K50*$B$4</f>
        <v/>
      </c>
      <c r="M50" s="22">
        <f>F50-I50-J50-L50</f>
        <v/>
      </c>
      <c r="N50" s="24">
        <f>IF(F50=0,"",M50/F50)</f>
        <v/>
      </c>
    </row>
    <row r="51">
      <c r="A51" s="20" t="inlineStr">
        <is>
          <t>2026-09</t>
        </is>
      </c>
      <c r="B51" s="20" t="inlineStr">
        <is>
          <t>Call-out CO-49275</t>
        </is>
      </c>
      <c r="C51" s="20" t="inlineStr">
        <is>
          <t>Call-out</t>
        </is>
      </c>
      <c r="D51" s="21" t="n">
        <v>46282</v>
      </c>
      <c r="E51" s="21" t="n">
        <v>46282</v>
      </c>
      <c r="F51" s="22" t="n">
        <v>717</v>
      </c>
      <c r="G51" s="22" t="n">
        <v>652</v>
      </c>
      <c r="H51" s="22" t="n">
        <v>65</v>
      </c>
      <c r="I51" s="22" t="n">
        <v>50</v>
      </c>
      <c r="J51" s="22" t="n">
        <v>0</v>
      </c>
      <c r="K51" s="23" t="n">
        <v>4</v>
      </c>
      <c r="L51" s="22">
        <f>K51*$B$4</f>
        <v/>
      </c>
      <c r="M51" s="22">
        <f>F51-I51-J51-L51</f>
        <v/>
      </c>
      <c r="N51" s="24">
        <f>IF(F51=0,"",M51/F51)</f>
        <v/>
      </c>
    </row>
    <row r="52">
      <c r="A52" s="20" t="inlineStr">
        <is>
          <t>2026-09</t>
        </is>
      </c>
      <c r="B52" s="20" t="inlineStr">
        <is>
          <t>Call-out CO-49276</t>
        </is>
      </c>
      <c r="C52" s="20" t="inlineStr">
        <is>
          <t>Call-out</t>
        </is>
      </c>
      <c r="D52" s="21" t="n">
        <v>46273</v>
      </c>
      <c r="E52" s="21" t="n">
        <v>46273</v>
      </c>
      <c r="F52" s="22" t="n">
        <v>619</v>
      </c>
      <c r="G52" s="22" t="n">
        <v>489</v>
      </c>
      <c r="H52" s="22" t="n">
        <v>130</v>
      </c>
      <c r="I52" s="22" t="n">
        <v>100</v>
      </c>
      <c r="J52" s="22" t="n">
        <v>0</v>
      </c>
      <c r="K52" s="23" t="n">
        <v>3</v>
      </c>
      <c r="L52" s="22">
        <f>K52*$B$4</f>
        <v/>
      </c>
      <c r="M52" s="22">
        <f>F52-I52-J52-L52</f>
        <v/>
      </c>
      <c r="N52" s="24">
        <f>IF(F52=0,"",M52/F52)</f>
        <v/>
      </c>
    </row>
    <row r="53">
      <c r="A53" s="20" t="inlineStr">
        <is>
          <t>2026-09</t>
        </is>
      </c>
      <c r="B53" s="20" t="inlineStr">
        <is>
          <t>Call-out CO-49278</t>
        </is>
      </c>
      <c r="C53" s="20" t="inlineStr">
        <is>
          <t>Call-out</t>
        </is>
      </c>
      <c r="D53" s="21" t="n">
        <v>46266</v>
      </c>
      <c r="E53" s="21" t="n">
        <v>46273</v>
      </c>
      <c r="F53" s="22" t="n">
        <v>486</v>
      </c>
      <c r="G53" s="22" t="n">
        <v>408</v>
      </c>
      <c r="H53" s="22" t="n">
        <v>78</v>
      </c>
      <c r="I53" s="22" t="n">
        <v>60</v>
      </c>
      <c r="J53" s="22" t="n">
        <v>0</v>
      </c>
      <c r="K53" s="23" t="n">
        <v>2.5</v>
      </c>
      <c r="L53" s="22">
        <f>K53*$B$4</f>
        <v/>
      </c>
      <c r="M53" s="22">
        <f>F53-I53-J53-L53</f>
        <v/>
      </c>
      <c r="N53" s="24">
        <f>IF(F53=0,"",M53/F53)</f>
        <v/>
      </c>
    </row>
    <row r="54">
      <c r="A54" s="20" t="inlineStr">
        <is>
          <t>2026-09</t>
        </is>
      </c>
      <c r="B54" s="20" t="inlineStr">
        <is>
          <t>Call-out CO-49279</t>
        </is>
      </c>
      <c r="C54" s="20" t="inlineStr">
        <is>
          <t>Call-out</t>
        </is>
      </c>
      <c r="D54" s="21" t="n">
        <v>46281</v>
      </c>
      <c r="E54" s="21" t="n">
        <v>46283</v>
      </c>
      <c r="F54" s="22" t="n">
        <v>345</v>
      </c>
      <c r="G54" s="22" t="n">
        <v>163</v>
      </c>
      <c r="H54" s="22" t="n">
        <v>182</v>
      </c>
      <c r="I54" s="22" t="n">
        <v>140</v>
      </c>
      <c r="J54" s="22" t="n">
        <v>0</v>
      </c>
      <c r="K54" s="23" t="n">
        <v>1</v>
      </c>
      <c r="L54" s="22">
        <f>K54*$B$4</f>
        <v/>
      </c>
      <c r="M54" s="22">
        <f>F54-I54-J54-L54</f>
        <v/>
      </c>
      <c r="N54" s="24">
        <f>IF(F54=0,"",M54/F54)</f>
        <v/>
      </c>
    </row>
    <row r="55">
      <c r="A55" s="20" t="inlineStr">
        <is>
          <t>2026-09</t>
        </is>
      </c>
      <c r="B55" s="20" t="inlineStr">
        <is>
          <t>Call-out CO-49280</t>
        </is>
      </c>
      <c r="C55" s="20" t="inlineStr">
        <is>
          <t>Call-out</t>
        </is>
      </c>
      <c r="D55" s="21" t="n">
        <v>46292</v>
      </c>
      <c r="E55" s="21" t="n">
        <v>46307</v>
      </c>
      <c r="F55" s="22" t="n">
        <v>586</v>
      </c>
      <c r="G55" s="22" t="n">
        <v>326</v>
      </c>
      <c r="H55" s="22" t="n">
        <v>260</v>
      </c>
      <c r="I55" s="22" t="n">
        <v>200</v>
      </c>
      <c r="J55" s="22" t="n">
        <v>0</v>
      </c>
      <c r="K55" s="23" t="n">
        <v>2</v>
      </c>
      <c r="L55" s="22">
        <f>K55*$B$4</f>
        <v/>
      </c>
      <c r="M55" s="22">
        <f>F55-I55-J55-L55</f>
        <v/>
      </c>
      <c r="N55" s="24">
        <f>IF(F55=0,"",M55/F55)</f>
        <v/>
      </c>
    </row>
    <row r="56">
      <c r="A56" s="20" t="inlineStr">
        <is>
          <t>2026-09</t>
        </is>
      </c>
      <c r="B56" s="20" t="inlineStr">
        <is>
          <t>Call-out CO-49281</t>
        </is>
      </c>
      <c r="C56" s="20" t="inlineStr">
        <is>
          <t>Call-out</t>
        </is>
      </c>
      <c r="D56" s="21" t="n">
        <v>46293</v>
      </c>
      <c r="E56" s="21" t="n">
        <v>46323</v>
      </c>
      <c r="F56" s="22" t="n">
        <v>544</v>
      </c>
      <c r="G56" s="22" t="n">
        <v>245</v>
      </c>
      <c r="H56" s="22" t="n">
        <v>299</v>
      </c>
      <c r="I56" s="22" t="n">
        <v>230</v>
      </c>
      <c r="J56" s="22" t="n">
        <v>0</v>
      </c>
      <c r="K56" s="23" t="n">
        <v>1.5</v>
      </c>
      <c r="L56" s="22">
        <f>K56*$B$4</f>
        <v/>
      </c>
      <c r="M56" s="22">
        <f>F56-I56-J56-L56</f>
        <v/>
      </c>
      <c r="N56" s="24">
        <f>IF(F56=0,"",M56/F56)</f>
        <v/>
      </c>
    </row>
    <row r="57">
      <c r="A57" s="20" t="inlineStr">
        <is>
          <t>2026-09</t>
        </is>
      </c>
      <c r="B57" s="20" t="inlineStr">
        <is>
          <t>Call-out CO-49282</t>
        </is>
      </c>
      <c r="C57" s="20" t="inlineStr">
        <is>
          <t>Call-out</t>
        </is>
      </c>
      <c r="D57" s="21" t="n">
        <v>46287</v>
      </c>
      <c r="E57" s="21" t="n">
        <v>46287</v>
      </c>
      <c r="F57" s="22" t="n">
        <v>697</v>
      </c>
      <c r="G57" s="22" t="n">
        <v>489</v>
      </c>
      <c r="H57" s="22" t="n">
        <v>208</v>
      </c>
      <c r="I57" s="22" t="n">
        <v>160</v>
      </c>
      <c r="J57" s="22" t="n">
        <v>0</v>
      </c>
      <c r="K57" s="23" t="n">
        <v>3</v>
      </c>
      <c r="L57" s="22">
        <f>K57*$B$4</f>
        <v/>
      </c>
      <c r="M57" s="22">
        <f>F57-I57-J57-L57</f>
        <v/>
      </c>
      <c r="N57" s="24">
        <f>IF(F57=0,"",M57/F57)</f>
        <v/>
      </c>
    </row>
    <row r="58">
      <c r="A58" s="20" t="inlineStr">
        <is>
          <t>2026-09</t>
        </is>
      </c>
      <c r="B58" s="20" t="inlineStr">
        <is>
          <t>Call-out CO-49284</t>
        </is>
      </c>
      <c r="C58" s="20" t="inlineStr">
        <is>
          <t>Call-out</t>
        </is>
      </c>
      <c r="D58" s="21" t="n">
        <v>46287</v>
      </c>
      <c r="E58" s="21" t="n">
        <v>46294</v>
      </c>
      <c r="F58" s="22" t="n">
        <v>456</v>
      </c>
      <c r="G58" s="22" t="n">
        <v>326</v>
      </c>
      <c r="H58" s="22" t="n">
        <v>130</v>
      </c>
      <c r="I58" s="22" t="n">
        <v>100</v>
      </c>
      <c r="J58" s="22" t="n">
        <v>0</v>
      </c>
      <c r="K58" s="23" t="n">
        <v>2</v>
      </c>
      <c r="L58" s="22">
        <f>K58*$B$4</f>
        <v/>
      </c>
      <c r="M58" s="22">
        <f>F58-I58-J58-L58</f>
        <v/>
      </c>
      <c r="N58" s="24">
        <f>IF(F58=0,"",M58/F58)</f>
        <v/>
      </c>
    </row>
    <row r="59">
      <c r="A59" s="20" t="inlineStr">
        <is>
          <t>2026-09</t>
        </is>
      </c>
      <c r="B59" s="20" t="inlineStr">
        <is>
          <t>Call-out CO-49285</t>
        </is>
      </c>
      <c r="C59" s="20" t="inlineStr">
        <is>
          <t>Call-out</t>
        </is>
      </c>
      <c r="D59" s="21" t="n">
        <v>46267</v>
      </c>
      <c r="E59" s="21" t="n">
        <v>46267</v>
      </c>
      <c r="F59" s="22" t="n">
        <v>336</v>
      </c>
      <c r="G59" s="22" t="n">
        <v>245</v>
      </c>
      <c r="H59" s="22" t="n">
        <v>91</v>
      </c>
      <c r="I59" s="22" t="n">
        <v>70</v>
      </c>
      <c r="J59" s="22" t="n">
        <v>0</v>
      </c>
      <c r="K59" s="23" t="n">
        <v>1.5</v>
      </c>
      <c r="L59" s="22">
        <f>K59*$B$4</f>
        <v/>
      </c>
      <c r="M59" s="22">
        <f>F59-I59-J59-L59</f>
        <v/>
      </c>
      <c r="N59" s="24">
        <f>IF(F59=0,"",M59/F59)</f>
        <v/>
      </c>
    </row>
    <row r="60">
      <c r="A60" s="20" t="inlineStr">
        <is>
          <t>2026-09</t>
        </is>
      </c>
      <c r="B60" s="20" t="inlineStr">
        <is>
          <t>Call-out CO-49286</t>
        </is>
      </c>
      <c r="C60" s="20" t="inlineStr">
        <is>
          <t>Call-out</t>
        </is>
      </c>
      <c r="D60" s="21" t="n">
        <v>46271</v>
      </c>
      <c r="E60" s="21" t="n">
        <v>46272</v>
      </c>
      <c r="F60" s="22" t="n">
        <v>482</v>
      </c>
      <c r="G60" s="22" t="n">
        <v>326</v>
      </c>
      <c r="H60" s="22" t="n">
        <v>156</v>
      </c>
      <c r="I60" s="22" t="n">
        <v>120</v>
      </c>
      <c r="J60" s="22" t="n">
        <v>0</v>
      </c>
      <c r="K60" s="23" t="n">
        <v>2</v>
      </c>
      <c r="L60" s="22">
        <f>K60*$B$4</f>
        <v/>
      </c>
      <c r="M60" s="22">
        <f>F60-I60-J60-L60</f>
        <v/>
      </c>
      <c r="N60" s="24">
        <f>IF(F60=0,"",M60/F60)</f>
        <v/>
      </c>
    </row>
    <row r="61">
      <c r="A61" s="20" t="inlineStr">
        <is>
          <t>2026-09</t>
        </is>
      </c>
      <c r="B61" s="20" t="inlineStr">
        <is>
          <t>Call-out CO-49287</t>
        </is>
      </c>
      <c r="C61" s="20" t="inlineStr">
        <is>
          <t>Call-out</t>
        </is>
      </c>
      <c r="D61" s="21" t="n">
        <v>46279</v>
      </c>
      <c r="E61" s="21" t="n">
        <v>46279</v>
      </c>
      <c r="F61" s="22" t="n">
        <v>189</v>
      </c>
      <c r="G61" s="22" t="n">
        <v>163</v>
      </c>
      <c r="H61" s="22" t="n">
        <v>26</v>
      </c>
      <c r="I61" s="22" t="n">
        <v>20</v>
      </c>
      <c r="J61" s="22" t="n">
        <v>0</v>
      </c>
      <c r="K61" s="23" t="n">
        <v>1</v>
      </c>
      <c r="L61" s="22">
        <f>K61*$B$4</f>
        <v/>
      </c>
      <c r="M61" s="22">
        <f>F61-I61-J61-L61</f>
        <v/>
      </c>
      <c r="N61" s="24">
        <f>IF(F61=0,"",M61/F61)</f>
        <v/>
      </c>
    </row>
    <row r="62">
      <c r="A62" s="20" t="inlineStr">
        <is>
          <t>2026-09</t>
        </is>
      </c>
      <c r="B62" s="20" t="inlineStr">
        <is>
          <t>Call-out CO-49288</t>
        </is>
      </c>
      <c r="C62" s="20" t="inlineStr">
        <is>
          <t>Call-out</t>
        </is>
      </c>
      <c r="D62" s="21" t="n">
        <v>46275</v>
      </c>
      <c r="E62" s="21" t="n">
        <v>46275</v>
      </c>
      <c r="F62" s="22" t="n">
        <v>808</v>
      </c>
      <c r="G62" s="22" t="n">
        <v>652</v>
      </c>
      <c r="H62" s="22" t="n">
        <v>156</v>
      </c>
      <c r="I62" s="22" t="n">
        <v>120</v>
      </c>
      <c r="J62" s="22" t="n">
        <v>0</v>
      </c>
      <c r="K62" s="23" t="n">
        <v>4</v>
      </c>
      <c r="L62" s="22">
        <f>K62*$B$4</f>
        <v/>
      </c>
      <c r="M62" s="22">
        <f>F62-I62-J62-L62</f>
        <v/>
      </c>
      <c r="N62" s="24">
        <f>IF(F62=0,"",M62/F62)</f>
        <v/>
      </c>
    </row>
    <row r="63">
      <c r="A63" s="20" t="inlineStr">
        <is>
          <t>2026-09</t>
        </is>
      </c>
      <c r="B63" s="20" t="inlineStr">
        <is>
          <t>Call-out CO-49289</t>
        </is>
      </c>
      <c r="C63" s="20" t="inlineStr">
        <is>
          <t>Call-out</t>
        </is>
      </c>
      <c r="D63" s="21" t="n">
        <v>46292</v>
      </c>
      <c r="E63" s="21" t="n">
        <v>46293</v>
      </c>
      <c r="F63" s="22" t="n">
        <v>586</v>
      </c>
      <c r="G63" s="22" t="n">
        <v>326</v>
      </c>
      <c r="H63" s="22" t="n">
        <v>260</v>
      </c>
      <c r="I63" s="22" t="n">
        <v>200</v>
      </c>
      <c r="J63" s="22" t="n">
        <v>0</v>
      </c>
      <c r="K63" s="23" t="n">
        <v>2</v>
      </c>
      <c r="L63" s="22">
        <f>K63*$B$4</f>
        <v/>
      </c>
      <c r="M63" s="22">
        <f>F63-I63-J63-L63</f>
        <v/>
      </c>
      <c r="N63" s="24">
        <f>IF(F63=0,"",M63/F63)</f>
        <v/>
      </c>
    </row>
    <row r="64">
      <c r="A64" s="20" t="inlineStr">
        <is>
          <t>2026-09</t>
        </is>
      </c>
      <c r="B64" s="20" t="inlineStr">
        <is>
          <t>Call-out CO-49291</t>
        </is>
      </c>
      <c r="C64" s="20" t="inlineStr">
        <is>
          <t>Call-out</t>
        </is>
      </c>
      <c r="D64" s="21" t="n">
        <v>46282</v>
      </c>
      <c r="E64" s="21" t="n">
        <v>46289</v>
      </c>
      <c r="F64" s="22" t="n">
        <v>349</v>
      </c>
      <c r="G64" s="22" t="n">
        <v>245</v>
      </c>
      <c r="H64" s="22" t="n">
        <v>104</v>
      </c>
      <c r="I64" s="22" t="n">
        <v>80</v>
      </c>
      <c r="J64" s="22" t="n">
        <v>0</v>
      </c>
      <c r="K64" s="23" t="n">
        <v>1.5</v>
      </c>
      <c r="L64" s="22">
        <f>K64*$B$4</f>
        <v/>
      </c>
      <c r="M64" s="22">
        <f>F64-I64-J64-L64</f>
        <v/>
      </c>
      <c r="N64" s="24">
        <f>IF(F64=0,"",M64/F64)</f>
        <v/>
      </c>
    </row>
    <row r="65">
      <c r="A65" s="20" t="inlineStr">
        <is>
          <t>2026-09</t>
        </is>
      </c>
      <c r="B65" s="20" t="inlineStr">
        <is>
          <t>Call-out CO-49292</t>
        </is>
      </c>
      <c r="C65" s="20" t="inlineStr">
        <is>
          <t>Call-out</t>
        </is>
      </c>
      <c r="D65" s="21" t="n">
        <v>46292</v>
      </c>
      <c r="E65" s="21" t="n">
        <v>46294</v>
      </c>
      <c r="F65" s="22" t="n">
        <v>375</v>
      </c>
      <c r="G65" s="22" t="n">
        <v>245</v>
      </c>
      <c r="H65" s="22" t="n">
        <v>130</v>
      </c>
      <c r="I65" s="22" t="n">
        <v>100</v>
      </c>
      <c r="J65" s="22" t="n">
        <v>0</v>
      </c>
      <c r="K65" s="23" t="n">
        <v>1.5</v>
      </c>
      <c r="L65" s="22">
        <f>K65*$B$4</f>
        <v/>
      </c>
      <c r="M65" s="22">
        <f>F65-I65-J65-L65</f>
        <v/>
      </c>
      <c r="N65" s="24">
        <f>IF(F65=0,"",M65/F65)</f>
        <v/>
      </c>
    </row>
    <row r="66">
      <c r="A66" s="20" t="inlineStr">
        <is>
          <t>2026-09</t>
        </is>
      </c>
      <c r="B66" s="20" t="inlineStr">
        <is>
          <t>Call-out CO-49293</t>
        </is>
      </c>
      <c r="C66" s="20" t="inlineStr">
        <is>
          <t>Call-out</t>
        </is>
      </c>
      <c r="D66" s="21" t="n">
        <v>46284</v>
      </c>
      <c r="E66" s="21" t="n">
        <v>46286</v>
      </c>
      <c r="F66" s="22" t="n">
        <v>417</v>
      </c>
      <c r="G66" s="22" t="n">
        <v>326</v>
      </c>
      <c r="H66" s="22" t="n">
        <v>91</v>
      </c>
      <c r="I66" s="22" t="n">
        <v>70</v>
      </c>
      <c r="J66" s="22" t="n">
        <v>0</v>
      </c>
      <c r="K66" s="23" t="n">
        <v>2</v>
      </c>
      <c r="L66" s="22">
        <f>K66*$B$4</f>
        <v/>
      </c>
      <c r="M66" s="22">
        <f>F66-I66-J66-L66</f>
        <v/>
      </c>
      <c r="N66" s="24">
        <f>IF(F66=0,"",M66/F66)</f>
        <v/>
      </c>
    </row>
    <row r="67">
      <c r="A67" s="20" t="inlineStr">
        <is>
          <t>2026-09</t>
        </is>
      </c>
      <c r="B67" s="20" t="inlineStr">
        <is>
          <t>Call-out CO-49294</t>
        </is>
      </c>
      <c r="C67" s="20" t="inlineStr">
        <is>
          <t>Call-out</t>
        </is>
      </c>
      <c r="D67" s="21" t="n">
        <v>46284</v>
      </c>
      <c r="E67" s="21" t="n">
        <v>46301</v>
      </c>
      <c r="F67" s="22" t="n">
        <v>319</v>
      </c>
      <c r="G67" s="22" t="n">
        <v>163</v>
      </c>
      <c r="H67" s="22" t="n">
        <v>156</v>
      </c>
      <c r="I67" s="22" t="n">
        <v>120</v>
      </c>
      <c r="J67" s="22" t="n">
        <v>0</v>
      </c>
      <c r="K67" s="23" t="n">
        <v>1</v>
      </c>
      <c r="L67" s="22">
        <f>K67*$B$4</f>
        <v/>
      </c>
      <c r="M67" s="22">
        <f>F67-I67-J67-L67</f>
        <v/>
      </c>
      <c r="N67" s="24">
        <f>IF(F67=0,"",M67/F67)</f>
        <v/>
      </c>
    </row>
    <row r="68">
      <c r="A68" s="20" t="inlineStr">
        <is>
          <t>2026-09</t>
        </is>
      </c>
      <c r="B68" s="20" t="inlineStr">
        <is>
          <t>Call-out CO-49295</t>
        </is>
      </c>
      <c r="C68" s="20" t="inlineStr">
        <is>
          <t>Call-out</t>
        </is>
      </c>
      <c r="D68" s="21" t="n">
        <v>46281</v>
      </c>
      <c r="E68" s="21" t="n">
        <v>46281</v>
      </c>
      <c r="F68" s="22" t="n">
        <v>362</v>
      </c>
      <c r="G68" s="22" t="n">
        <v>245</v>
      </c>
      <c r="H68" s="22" t="n">
        <v>117</v>
      </c>
      <c r="I68" s="22" t="n">
        <v>90</v>
      </c>
      <c r="J68" s="22" t="n">
        <v>0</v>
      </c>
      <c r="K68" s="23" t="n">
        <v>1.5</v>
      </c>
      <c r="L68" s="22">
        <f>K68*$B$4</f>
        <v/>
      </c>
      <c r="M68" s="22">
        <f>F68-I68-J68-L68</f>
        <v/>
      </c>
      <c r="N68" s="24">
        <f>IF(F68=0,"",M68/F68)</f>
        <v/>
      </c>
    </row>
    <row r="69">
      <c r="A69" s="20" t="inlineStr">
        <is>
          <t>2026-09</t>
        </is>
      </c>
      <c r="B69" s="20" t="inlineStr">
        <is>
          <t>Call-out CO-49296</t>
        </is>
      </c>
      <c r="C69" s="20" t="inlineStr">
        <is>
          <t>Call-out</t>
        </is>
      </c>
      <c r="D69" s="21" t="n">
        <v>46280</v>
      </c>
      <c r="E69" s="21" t="n">
        <v>46310</v>
      </c>
      <c r="F69" s="22" t="n">
        <v>577</v>
      </c>
      <c r="G69" s="22" t="n">
        <v>408</v>
      </c>
      <c r="H69" s="22" t="n">
        <v>169</v>
      </c>
      <c r="I69" s="22" t="n">
        <v>130</v>
      </c>
      <c r="J69" s="22" t="n">
        <v>0</v>
      </c>
      <c r="K69" s="23" t="n">
        <v>2.5</v>
      </c>
      <c r="L69" s="22">
        <f>K69*$B$4</f>
        <v/>
      </c>
      <c r="M69" s="22">
        <f>F69-I69-J69-L69</f>
        <v/>
      </c>
      <c r="N69" s="24">
        <f>IF(F69=0,"",M69/F69)</f>
        <v/>
      </c>
    </row>
    <row r="70">
      <c r="A70" s="20" t="inlineStr">
        <is>
          <t>2026-09</t>
        </is>
      </c>
      <c r="B70" s="20" t="inlineStr">
        <is>
          <t>Call-out CO-49298</t>
        </is>
      </c>
      <c r="C70" s="20" t="inlineStr">
        <is>
          <t>Call-out</t>
        </is>
      </c>
      <c r="D70" s="21" t="n">
        <v>46270</v>
      </c>
      <c r="E70" s="21" t="n">
        <v>46279</v>
      </c>
      <c r="F70" s="22" t="n">
        <v>495</v>
      </c>
      <c r="G70" s="22" t="n">
        <v>326</v>
      </c>
      <c r="H70" s="22" t="n">
        <v>169</v>
      </c>
      <c r="I70" s="22" t="n">
        <v>130</v>
      </c>
      <c r="J70" s="22" t="n">
        <v>0</v>
      </c>
      <c r="K70" s="23" t="n">
        <v>2</v>
      </c>
      <c r="L70" s="22">
        <f>K70*$B$4</f>
        <v/>
      </c>
      <c r="M70" s="22">
        <f>F70-I70-J70-L70</f>
        <v/>
      </c>
      <c r="N70" s="24">
        <f>IF(F70=0,"",M70/F70)</f>
        <v/>
      </c>
    </row>
    <row r="71">
      <c r="A71" s="20" t="inlineStr">
        <is>
          <t>2026-09</t>
        </is>
      </c>
      <c r="B71" s="20" t="inlineStr">
        <is>
          <t>Bulimba EV chargers</t>
        </is>
      </c>
      <c r="C71" s="20" t="inlineStr">
        <is>
          <t>Installation</t>
        </is>
      </c>
      <c r="D71" s="21" t="n">
        <v>46288</v>
      </c>
      <c r="E71" s="21" t="n">
        <v>46318</v>
      </c>
      <c r="F71" s="22" t="n">
        <v>11000</v>
      </c>
      <c r="G71" s="22" t="n"/>
      <c r="H71" s="22" t="n"/>
      <c r="I71" s="22" t="n">
        <v>3600</v>
      </c>
      <c r="J71" s="22" t="n">
        <v>0</v>
      </c>
      <c r="K71" s="23" t="n">
        <v>26</v>
      </c>
      <c r="L71" s="22">
        <f>K71*$B$4</f>
        <v/>
      </c>
      <c r="M71" s="22">
        <f>F71-I71-J71-L71</f>
        <v/>
      </c>
      <c r="N71" s="24">
        <f>IF(F71=0,"",M71/F71)</f>
        <v/>
      </c>
    </row>
    <row r="72">
      <c r="A72" s="20" t="inlineStr">
        <is>
          <t>2026-09</t>
        </is>
      </c>
      <c r="B72" s="20" t="inlineStr">
        <is>
          <t>Carindale solar and battery</t>
        </is>
      </c>
      <c r="C72" s="20" t="inlineStr">
        <is>
          <t>Installation</t>
        </is>
      </c>
      <c r="D72" s="21" t="n">
        <v>46280</v>
      </c>
      <c r="E72" s="21" t="n">
        <v>46294</v>
      </c>
      <c r="F72" s="22" t="n">
        <v>30700</v>
      </c>
      <c r="G72" s="22" t="n"/>
      <c r="H72" s="22" t="n"/>
      <c r="I72" s="22" t="n">
        <v>13800</v>
      </c>
      <c r="J72" s="22" t="n">
        <v>3100</v>
      </c>
      <c r="K72" s="23" t="n">
        <v>46</v>
      </c>
      <c r="L72" s="22">
        <f>K72*$B$4</f>
        <v/>
      </c>
      <c r="M72" s="22">
        <f>F72-I72-J72-L72</f>
        <v/>
      </c>
      <c r="N72" s="24">
        <f>IF(F72=0,"",M72/F72)</f>
        <v/>
      </c>
    </row>
    <row r="73">
      <c r="A73" s="20" t="inlineStr">
        <is>
          <t>2026-09</t>
        </is>
      </c>
      <c r="B73" s="20" t="inlineStr">
        <is>
          <t>Chermside clinic cabling</t>
        </is>
      </c>
      <c r="C73" s="20" t="inlineStr">
        <is>
          <t>Installation</t>
        </is>
      </c>
      <c r="D73" s="21" t="n">
        <v>46294</v>
      </c>
      <c r="E73" s="21" t="n">
        <v>46324</v>
      </c>
      <c r="F73" s="22" t="n">
        <v>17000</v>
      </c>
      <c r="G73" s="22" t="n"/>
      <c r="H73" s="22" t="n"/>
      <c r="I73" s="22" t="n">
        <v>4300</v>
      </c>
      <c r="J73" s="22" t="n">
        <v>1800</v>
      </c>
      <c r="K73" s="23" t="n">
        <v>52</v>
      </c>
      <c r="L73" s="22">
        <f>K73*$B$4</f>
        <v/>
      </c>
      <c r="M73" s="22">
        <f>F73-I73-J73-L73</f>
        <v/>
      </c>
      <c r="N73" s="24">
        <f>IF(F73=0,"",M73/F73)</f>
        <v/>
      </c>
    </row>
    <row r="74">
      <c r="A74" s="20" t="inlineStr">
        <is>
          <t>2026-09</t>
        </is>
      </c>
      <c r="B74" s="20" t="inlineStr">
        <is>
          <t>Milton office LED lighting</t>
        </is>
      </c>
      <c r="C74" s="20" t="inlineStr">
        <is>
          <t>Installation</t>
        </is>
      </c>
      <c r="D74" s="21" t="n">
        <v>46274</v>
      </c>
      <c r="E74" s="21" t="n">
        <v>46304</v>
      </c>
      <c r="F74" s="22" t="n">
        <v>20800</v>
      </c>
      <c r="G74" s="22" t="n"/>
      <c r="H74" s="22" t="n"/>
      <c r="I74" s="22" t="n">
        <v>6900</v>
      </c>
      <c r="J74" s="22" t="n">
        <v>0</v>
      </c>
      <c r="K74" s="23" t="n">
        <v>64</v>
      </c>
      <c r="L74" s="22">
        <f>K74*$B$4</f>
        <v/>
      </c>
      <c r="M74" s="22">
        <f>F74-I74-J74-L74</f>
        <v/>
      </c>
      <c r="N74" s="24">
        <f>IF(F74=0,"",M74/F74)</f>
        <v/>
      </c>
    </row>
    <row r="75">
      <c r="A75" s="20" t="inlineStr">
        <is>
          <t>2026-09</t>
        </is>
      </c>
      <c r="B75" s="20" t="inlineStr">
        <is>
          <t>Wacol warehouse switchboard</t>
        </is>
      </c>
      <c r="C75" s="20" t="inlineStr">
        <is>
          <t>Installation</t>
        </is>
      </c>
      <c r="D75" s="21" t="n">
        <v>46269</v>
      </c>
      <c r="E75" s="21" t="n">
        <v>46314</v>
      </c>
      <c r="F75" s="22" t="n">
        <v>52400</v>
      </c>
      <c r="G75" s="22" t="n"/>
      <c r="H75" s="22" t="n"/>
      <c r="I75" s="22" t="n">
        <v>22900</v>
      </c>
      <c r="J75" s="22" t="n">
        <v>7400</v>
      </c>
      <c r="K75" s="23" t="n">
        <v>150</v>
      </c>
      <c r="L75" s="22">
        <f>K75*$B$4</f>
        <v/>
      </c>
      <c r="M75" s="22">
        <f>F75-I75-J75-L75</f>
        <v/>
      </c>
      <c r="N75" s="24">
        <f>IF(F75=0,"",M75/F75)</f>
        <v/>
      </c>
    </row>
    <row r="76">
      <c r="A76" s="20" t="inlineStr">
        <is>
          <t>2026-09</t>
        </is>
      </c>
      <c r="B76" s="20" t="inlineStr">
        <is>
          <t>West End cafe air-con</t>
        </is>
      </c>
      <c r="C76" s="20" t="inlineStr">
        <is>
          <t>Installation</t>
        </is>
      </c>
      <c r="D76" s="21" t="n">
        <v>46283</v>
      </c>
      <c r="E76" s="21" t="n">
        <v>46304</v>
      </c>
      <c r="F76" s="22" t="n">
        <v>14400</v>
      </c>
      <c r="G76" s="22" t="n"/>
      <c r="H76" s="22" t="n"/>
      <c r="I76" s="22" t="n">
        <v>5100</v>
      </c>
      <c r="J76" s="22" t="n">
        <v>900</v>
      </c>
      <c r="K76" s="23" t="n">
        <v>38</v>
      </c>
      <c r="L76" s="22">
        <f>K76*$B$4</f>
        <v/>
      </c>
      <c r="M76" s="22">
        <f>F76-I76-J76-L76</f>
        <v/>
      </c>
      <c r="N76" s="24">
        <f>IF(F76=0,"",M76/F76)</f>
        <v/>
      </c>
    </row>
    <row r="77">
      <c r="A77" s="20" t="inlineStr">
        <is>
          <t>2026-09</t>
        </is>
      </c>
      <c r="B77" s="20" t="inlineStr">
        <is>
          <t>Ashgrove aged care</t>
        </is>
      </c>
      <c r="C77" s="20" t="inlineStr">
        <is>
          <t>Maintenance contract</t>
        </is>
      </c>
      <c r="D77" s="21" t="n">
        <v>46266</v>
      </c>
      <c r="E77" s="21" t="n">
        <v>46296</v>
      </c>
      <c r="F77" s="22" t="n">
        <v>4050</v>
      </c>
      <c r="G77" s="22" t="n"/>
      <c r="H77" s="22" t="n"/>
      <c r="I77" s="22" t="n">
        <v>80</v>
      </c>
      <c r="J77" s="22" t="n">
        <v>0</v>
      </c>
      <c r="K77" s="23" t="n">
        <v>20</v>
      </c>
      <c r="L77" s="22">
        <f>K77*$B$4</f>
        <v/>
      </c>
      <c r="M77" s="22">
        <f>F77-I77-J77-L77</f>
        <v/>
      </c>
      <c r="N77" s="24">
        <f>IF(F77=0,"",M77/F77)</f>
        <v/>
      </c>
    </row>
    <row r="78">
      <c r="A78" s="20" t="inlineStr">
        <is>
          <t>2026-09</t>
        </is>
      </c>
      <c r="B78" s="20" t="inlineStr">
        <is>
          <t>Bulimba school</t>
        </is>
      </c>
      <c r="C78" s="20" t="inlineStr">
        <is>
          <t>Maintenance contract</t>
        </is>
      </c>
      <c r="D78" s="21" t="n">
        <v>46266</v>
      </c>
      <c r="E78" s="21" t="n">
        <v>46304</v>
      </c>
      <c r="F78" s="22" t="n">
        <v>3150</v>
      </c>
      <c r="G78" s="22" t="n"/>
      <c r="H78" s="22" t="n"/>
      <c r="I78" s="22" t="n">
        <v>60</v>
      </c>
      <c r="J78" s="22" t="n">
        <v>0</v>
      </c>
      <c r="K78" s="23" t="n">
        <v>16</v>
      </c>
      <c r="L78" s="22">
        <f>K78*$B$4</f>
        <v/>
      </c>
      <c r="M78" s="22">
        <f>F78-I78-J78-L78</f>
        <v/>
      </c>
      <c r="N78" s="24">
        <f>IF(F78=0,"",M78/F78)</f>
        <v/>
      </c>
    </row>
    <row r="79">
      <c r="A79" s="20" t="inlineStr">
        <is>
          <t>2026-09</t>
        </is>
      </c>
      <c r="B79" s="20" t="inlineStr">
        <is>
          <t>Carindale vet clinic</t>
        </is>
      </c>
      <c r="C79" s="20" t="inlineStr">
        <is>
          <t>Maintenance contract</t>
        </is>
      </c>
      <c r="D79" s="21" t="n">
        <v>46266</v>
      </c>
      <c r="E79" s="21" t="n">
        <v>46293</v>
      </c>
      <c r="F79" s="22" t="n">
        <v>1900</v>
      </c>
      <c r="G79" s="22" t="n"/>
      <c r="H79" s="22" t="n"/>
      <c r="I79" s="22" t="n">
        <v>30</v>
      </c>
      <c r="J79" s="22" t="n">
        <v>0</v>
      </c>
      <c r="K79" s="23" t="n">
        <v>9</v>
      </c>
      <c r="L79" s="22">
        <f>K79*$B$4</f>
        <v/>
      </c>
      <c r="M79" s="22">
        <f>F79-I79-J79-L79</f>
        <v/>
      </c>
      <c r="N79" s="24">
        <f>IF(F79=0,"",M79/F79)</f>
        <v/>
      </c>
    </row>
    <row r="80">
      <c r="A80" s="20" t="inlineStr">
        <is>
          <t>2026-09</t>
        </is>
      </c>
      <c r="B80" s="20" t="inlineStr">
        <is>
          <t>Chermside retail centre</t>
        </is>
      </c>
      <c r="C80" s="20" t="inlineStr">
        <is>
          <t>Maintenance contract</t>
        </is>
      </c>
      <c r="D80" s="21" t="n">
        <v>46266</v>
      </c>
      <c r="E80" s="21" t="n">
        <v>46301</v>
      </c>
      <c r="F80" s="22" t="n">
        <v>4600</v>
      </c>
      <c r="G80" s="22" t="n"/>
      <c r="H80" s="22" t="n"/>
      <c r="I80" s="22" t="n">
        <v>100</v>
      </c>
      <c r="J80" s="22" t="n">
        <v>0</v>
      </c>
      <c r="K80" s="23" t="n">
        <v>23</v>
      </c>
      <c r="L80" s="22">
        <f>K80*$B$4</f>
        <v/>
      </c>
      <c r="M80" s="22">
        <f>F80-I80-J80-L80</f>
        <v/>
      </c>
      <c r="N80" s="24">
        <f>IF(F80=0,"",M80/F80)</f>
        <v/>
      </c>
    </row>
    <row r="81">
      <c r="A81" s="20" t="inlineStr">
        <is>
          <t>2026-09</t>
        </is>
      </c>
      <c r="B81" s="20" t="inlineStr">
        <is>
          <t>Fortitude Valley hotel</t>
        </is>
      </c>
      <c r="C81" s="20" t="inlineStr">
        <is>
          <t>Maintenance contract</t>
        </is>
      </c>
      <c r="D81" s="21" t="n">
        <v>46266</v>
      </c>
      <c r="E81" s="21" t="n">
        <v>46296</v>
      </c>
      <c r="F81" s="22" t="n">
        <v>3800</v>
      </c>
      <c r="G81" s="22" t="n"/>
      <c r="H81" s="22" t="n"/>
      <c r="I81" s="22" t="n">
        <v>70</v>
      </c>
      <c r="J81" s="22" t="n">
        <v>0</v>
      </c>
      <c r="K81" s="23" t="n">
        <v>19</v>
      </c>
      <c r="L81" s="22">
        <f>K81*$B$4</f>
        <v/>
      </c>
      <c r="M81" s="22">
        <f>F81-I81-J81-L81</f>
        <v/>
      </c>
      <c r="N81" s="24">
        <f>IF(F81=0,"",M81/F81)</f>
        <v/>
      </c>
    </row>
    <row r="82">
      <c r="A82" s="20" t="inlineStr">
        <is>
          <t>2026-09</t>
        </is>
      </c>
      <c r="B82" s="20" t="inlineStr">
        <is>
          <t>Kangaroo Point townhouses</t>
        </is>
      </c>
      <c r="C82" s="20" t="inlineStr">
        <is>
          <t>Maintenance contract</t>
        </is>
      </c>
      <c r="D82" s="21" t="n">
        <v>46266</v>
      </c>
      <c r="E82" s="21" t="n">
        <v>46304</v>
      </c>
      <c r="F82" s="22" t="n">
        <v>2700</v>
      </c>
      <c r="G82" s="22" t="n"/>
      <c r="H82" s="22" t="n"/>
      <c r="I82" s="22" t="n">
        <v>50</v>
      </c>
      <c r="J82" s="22" t="n">
        <v>0</v>
      </c>
      <c r="K82" s="23" t="n">
        <v>14</v>
      </c>
      <c r="L82" s="22">
        <f>K82*$B$4</f>
        <v/>
      </c>
      <c r="M82" s="22">
        <f>F82-I82-J82-L82</f>
        <v/>
      </c>
      <c r="N82" s="24">
        <f>IF(F82=0,"",M82/F82)</f>
        <v/>
      </c>
    </row>
    <row r="83">
      <c r="A83" s="20" t="inlineStr">
        <is>
          <t>2026-09</t>
        </is>
      </c>
      <c r="B83" s="20" t="inlineStr">
        <is>
          <t>Milton office tower</t>
        </is>
      </c>
      <c r="C83" s="20" t="inlineStr">
        <is>
          <t>Maintenance contract</t>
        </is>
      </c>
      <c r="D83" s="21" t="n">
        <v>46266</v>
      </c>
      <c r="E83" s="21" t="n">
        <v>46304</v>
      </c>
      <c r="F83" s="22" t="n">
        <v>4700</v>
      </c>
      <c r="G83" s="22" t="n"/>
      <c r="H83" s="22" t="n"/>
      <c r="I83" s="22" t="n">
        <v>90</v>
      </c>
      <c r="J83" s="22" t="n">
        <v>0</v>
      </c>
      <c r="K83" s="23" t="n">
        <v>24</v>
      </c>
      <c r="L83" s="22">
        <f>K83*$B$4</f>
        <v/>
      </c>
      <c r="M83" s="22">
        <f>F83-I83-J83-L83</f>
        <v/>
      </c>
      <c r="N83" s="24">
        <f>IF(F83=0,"",M83/F83)</f>
        <v/>
      </c>
    </row>
    <row r="84">
      <c r="A84" s="20" t="inlineStr">
        <is>
          <t>2026-09</t>
        </is>
      </c>
      <c r="B84" s="20" t="inlineStr">
        <is>
          <t>Newstead gym</t>
        </is>
      </c>
      <c r="C84" s="20" t="inlineStr">
        <is>
          <t>Maintenance contract</t>
        </is>
      </c>
      <c r="D84" s="21" t="n">
        <v>46266</v>
      </c>
      <c r="E84" s="21" t="n">
        <v>46304</v>
      </c>
      <c r="F84" s="22" t="n">
        <v>1800</v>
      </c>
      <c r="G84" s="22" t="n"/>
      <c r="H84" s="22" t="n"/>
      <c r="I84" s="22" t="n">
        <v>30</v>
      </c>
      <c r="J84" s="22" t="n">
        <v>0</v>
      </c>
      <c r="K84" s="23" t="n">
        <v>9</v>
      </c>
      <c r="L84" s="22">
        <f>K84*$B$4</f>
        <v/>
      </c>
      <c r="M84" s="22">
        <f>F84-I84-J84-L84</f>
        <v/>
      </c>
      <c r="N84" s="24">
        <f>IF(F84=0,"",M84/F84)</f>
        <v/>
      </c>
    </row>
    <row r="85">
      <c r="A85" s="20" t="inlineStr">
        <is>
          <t>2026-09</t>
        </is>
      </c>
      <c r="B85" s="20" t="inlineStr">
        <is>
          <t>Riverside Apartments (strata)</t>
        </is>
      </c>
      <c r="C85" s="20" t="inlineStr">
        <is>
          <t>Maintenance contract</t>
        </is>
      </c>
      <c r="D85" s="21" t="n">
        <v>46266</v>
      </c>
      <c r="E85" s="21" t="n">
        <v>46296</v>
      </c>
      <c r="F85" s="22" t="n">
        <v>3600</v>
      </c>
      <c r="G85" s="22" t="n"/>
      <c r="H85" s="22" t="n"/>
      <c r="I85" s="22" t="n">
        <v>60</v>
      </c>
      <c r="J85" s="22" t="n">
        <v>0</v>
      </c>
      <c r="K85" s="23" t="n">
        <v>18</v>
      </c>
      <c r="L85" s="22">
        <f>K85*$B$4</f>
        <v/>
      </c>
      <c r="M85" s="22">
        <f>F85-I85-J85-L85</f>
        <v/>
      </c>
      <c r="N85" s="24">
        <f>IF(F85=0,"",M85/F85)</f>
        <v/>
      </c>
    </row>
    <row r="86">
      <c r="A86" s="20" t="inlineStr">
        <is>
          <t>2026-09</t>
        </is>
      </c>
      <c r="B86" s="20" t="inlineStr">
        <is>
          <t>Rocklea factory</t>
        </is>
      </c>
      <c r="C86" s="20" t="inlineStr">
        <is>
          <t>Maintenance contract</t>
        </is>
      </c>
      <c r="D86" s="21" t="n">
        <v>46266</v>
      </c>
      <c r="E86" s="21" t="n">
        <v>46304</v>
      </c>
      <c r="F86" s="22" t="n">
        <v>4350</v>
      </c>
      <c r="G86" s="22" t="n"/>
      <c r="H86" s="22" t="n"/>
      <c r="I86" s="22" t="n">
        <v>110</v>
      </c>
      <c r="J86" s="22" t="n">
        <v>0</v>
      </c>
      <c r="K86" s="23" t="n">
        <v>22</v>
      </c>
      <c r="L86" s="22">
        <f>K86*$B$4</f>
        <v/>
      </c>
      <c r="M86" s="22">
        <f>F86-I86-J86-L86</f>
        <v/>
      </c>
      <c r="N86" s="24">
        <f>IF(F86=0,"",M86/F86)</f>
        <v/>
      </c>
    </row>
    <row r="87">
      <c r="A87" s="20" t="inlineStr">
        <is>
          <t>2026-09</t>
        </is>
      </c>
      <c r="B87" s="20" t="inlineStr">
        <is>
          <t>Southbank cafe group</t>
        </is>
      </c>
      <c r="C87" s="20" t="inlineStr">
        <is>
          <t>Maintenance contract</t>
        </is>
      </c>
      <c r="D87" s="21" t="n">
        <v>46266</v>
      </c>
      <c r="E87" s="21" t="n">
        <v>46296</v>
      </c>
      <c r="F87" s="22" t="n">
        <v>2000</v>
      </c>
      <c r="G87" s="22" t="n"/>
      <c r="H87" s="22" t="n"/>
      <c r="I87" s="22" t="n">
        <v>40</v>
      </c>
      <c r="J87" s="22" t="n">
        <v>0</v>
      </c>
      <c r="K87" s="23" t="n">
        <v>10</v>
      </c>
      <c r="L87" s="22">
        <f>K87*$B$4</f>
        <v/>
      </c>
      <c r="M87" s="22">
        <f>F87-I87-J87-L87</f>
        <v/>
      </c>
      <c r="N87" s="24">
        <f>IF(F87=0,"",M87/F87)</f>
        <v/>
      </c>
    </row>
    <row r="88">
      <c r="A88" s="20" t="inlineStr">
        <is>
          <t>2026-09</t>
        </is>
      </c>
      <c r="B88" s="20" t="inlineStr">
        <is>
          <t>Wacol logistics depot</t>
        </is>
      </c>
      <c r="C88" s="20" t="inlineStr">
        <is>
          <t>Maintenance contract</t>
        </is>
      </c>
      <c r="D88" s="21" t="n">
        <v>46266</v>
      </c>
      <c r="E88" s="21" t="n">
        <v>46296</v>
      </c>
      <c r="F88" s="22" t="n">
        <v>3350</v>
      </c>
      <c r="G88" s="22" t="n"/>
      <c r="H88" s="22" t="n"/>
      <c r="I88" s="22" t="n">
        <v>70</v>
      </c>
      <c r="J88" s="22" t="n">
        <v>0</v>
      </c>
      <c r="K88" s="23" t="n">
        <v>17</v>
      </c>
      <c r="L88" s="22">
        <f>K88*$B$4</f>
        <v/>
      </c>
      <c r="M88" s="22">
        <f>F88-I88-J88-L88</f>
        <v/>
      </c>
      <c r="N88" s="24">
        <f>IF(F88=0,"",M88/F88)</f>
        <v/>
      </c>
    </row>
    <row r="89">
      <c r="A89" s="20" t="inlineStr">
        <is>
          <t>2026-09</t>
        </is>
      </c>
      <c r="B89" s="20" t="inlineStr">
        <is>
          <t>West End brewery</t>
        </is>
      </c>
      <c r="C89" s="20" t="inlineStr">
        <is>
          <t>Maintenance contract</t>
        </is>
      </c>
      <c r="D89" s="21" t="n">
        <v>46266</v>
      </c>
      <c r="E89" s="21" t="n">
        <v>46304</v>
      </c>
      <c r="F89" s="22" t="n">
        <v>2900</v>
      </c>
      <c r="G89" s="22" t="n"/>
      <c r="H89" s="22" t="n"/>
      <c r="I89" s="22" t="n">
        <v>50</v>
      </c>
      <c r="J89" s="22" t="n">
        <v>0</v>
      </c>
      <c r="K89" s="23" t="n">
        <v>15</v>
      </c>
      <c r="L89" s="22">
        <f>K89*$B$4</f>
        <v/>
      </c>
      <c r="M89" s="22">
        <f>F89-I89-J89-L89</f>
        <v/>
      </c>
      <c r="N89" s="24">
        <f>IF(F89=0,"",M89/F89)</f>
        <v/>
      </c>
    </row>
    <row r="90">
      <c r="A90" s="20" t="inlineStr">
        <is>
          <t>2026-09</t>
        </is>
      </c>
      <c r="B90" s="20" t="inlineStr">
        <is>
          <t>Wynnum medical centre</t>
        </is>
      </c>
      <c r="C90" s="20" t="inlineStr">
        <is>
          <t>Maintenance contract</t>
        </is>
      </c>
      <c r="D90" s="21" t="n">
        <v>46266</v>
      </c>
      <c r="E90" s="21" t="n">
        <v>46301</v>
      </c>
      <c r="F90" s="22" t="n">
        <v>2450</v>
      </c>
      <c r="G90" s="22" t="n"/>
      <c r="H90" s="22" t="n"/>
      <c r="I90" s="22" t="n">
        <v>40</v>
      </c>
      <c r="J90" s="22" t="n">
        <v>0</v>
      </c>
      <c r="K90" s="23" t="n">
        <v>12</v>
      </c>
      <c r="L90" s="22">
        <f>K90*$B$4</f>
        <v/>
      </c>
      <c r="M90" s="22">
        <f>F90-I90-J90-L90</f>
        <v/>
      </c>
      <c r="N90" s="24">
        <f>IF(F90=0,"",M90/F90)</f>
        <v/>
      </c>
    </row>
    <row r="91">
      <c r="A91" s="20" t="inlineStr">
        <is>
          <t>2026-08</t>
        </is>
      </c>
      <c r="B91" s="20" t="inlineStr">
        <is>
          <t>Call-out CO-49132</t>
        </is>
      </c>
      <c r="C91" s="20" t="inlineStr">
        <is>
          <t>Call-out</t>
        </is>
      </c>
      <c r="D91" s="21" t="n">
        <v>46258</v>
      </c>
      <c r="E91" s="21" t="n">
        <v>46272</v>
      </c>
      <c r="F91" s="22" t="n">
        <v>925</v>
      </c>
      <c r="G91" s="22" t="n">
        <v>652</v>
      </c>
      <c r="H91" s="22" t="n">
        <v>273</v>
      </c>
      <c r="I91" s="22" t="n">
        <v>210</v>
      </c>
      <c r="J91" s="22" t="n">
        <v>0</v>
      </c>
      <c r="K91" s="23" t="n">
        <v>4</v>
      </c>
      <c r="L91" s="22">
        <f>K91*$B$4</f>
        <v/>
      </c>
      <c r="M91" s="22">
        <f>F91-I91-J91-L91</f>
        <v/>
      </c>
      <c r="N91" s="24">
        <f>IF(F91=0,"",M91/F91)</f>
        <v/>
      </c>
    </row>
    <row r="92">
      <c r="A92" s="20" t="inlineStr">
        <is>
          <t>2026-08</t>
        </is>
      </c>
      <c r="B92" s="20" t="inlineStr">
        <is>
          <t>Call-out CO-49133</t>
        </is>
      </c>
      <c r="C92" s="20" t="inlineStr">
        <is>
          <t>Call-out</t>
        </is>
      </c>
      <c r="D92" s="21" t="n">
        <v>46253</v>
      </c>
      <c r="E92" s="21" t="n">
        <v>46253</v>
      </c>
      <c r="F92" s="22" t="n">
        <v>404</v>
      </c>
      <c r="G92" s="22" t="n">
        <v>326</v>
      </c>
      <c r="H92" s="22" t="n">
        <v>78</v>
      </c>
      <c r="I92" s="22" t="n">
        <v>60</v>
      </c>
      <c r="J92" s="22" t="n">
        <v>0</v>
      </c>
      <c r="K92" s="23" t="n">
        <v>2</v>
      </c>
      <c r="L92" s="22">
        <f>K92*$B$4</f>
        <v/>
      </c>
      <c r="M92" s="22">
        <f>F92-I92-J92-L92</f>
        <v/>
      </c>
      <c r="N92" s="24">
        <f>IF(F92=0,"",M92/F92)</f>
        <v/>
      </c>
    </row>
    <row r="93">
      <c r="A93" s="20" t="inlineStr">
        <is>
          <t>2026-08</t>
        </is>
      </c>
      <c r="B93" s="20" t="inlineStr">
        <is>
          <t>Call-out CO-49134</t>
        </is>
      </c>
      <c r="C93" s="20" t="inlineStr">
        <is>
          <t>Call-out</t>
        </is>
      </c>
      <c r="D93" s="21" t="n">
        <v>46235</v>
      </c>
      <c r="E93" s="21" t="n">
        <v>46244</v>
      </c>
      <c r="F93" s="22" t="n">
        <v>349</v>
      </c>
      <c r="G93" s="22" t="n">
        <v>245</v>
      </c>
      <c r="H93" s="22" t="n">
        <v>104</v>
      </c>
      <c r="I93" s="22" t="n">
        <v>80</v>
      </c>
      <c r="J93" s="22" t="n">
        <v>0</v>
      </c>
      <c r="K93" s="23" t="n">
        <v>1.5</v>
      </c>
      <c r="L93" s="22">
        <f>K93*$B$4</f>
        <v/>
      </c>
      <c r="M93" s="22">
        <f>F93-I93-J93-L93</f>
        <v/>
      </c>
      <c r="N93" s="24">
        <f>IF(F93=0,"",M93/F93)</f>
        <v/>
      </c>
    </row>
    <row r="94">
      <c r="A94" s="20" t="inlineStr">
        <is>
          <t>2026-08</t>
        </is>
      </c>
      <c r="B94" s="20" t="inlineStr">
        <is>
          <t>Call-out CO-49135</t>
        </is>
      </c>
      <c r="C94" s="20" t="inlineStr">
        <is>
          <t>Call-out</t>
        </is>
      </c>
      <c r="D94" s="21" t="n">
        <v>46240</v>
      </c>
      <c r="E94" s="21" t="n">
        <v>46240</v>
      </c>
      <c r="F94" s="22" t="n">
        <v>345</v>
      </c>
      <c r="G94" s="22" t="n">
        <v>163</v>
      </c>
      <c r="H94" s="22" t="n">
        <v>182</v>
      </c>
      <c r="I94" s="22" t="n">
        <v>140</v>
      </c>
      <c r="J94" s="22" t="n">
        <v>0</v>
      </c>
      <c r="K94" s="23" t="n">
        <v>1</v>
      </c>
      <c r="L94" s="22">
        <f>K94*$B$4</f>
        <v/>
      </c>
      <c r="M94" s="22">
        <f>F94-I94-J94-L94</f>
        <v/>
      </c>
      <c r="N94" s="24">
        <f>IF(F94=0,"",M94/F94)</f>
        <v/>
      </c>
    </row>
    <row r="95">
      <c r="A95" s="20" t="inlineStr">
        <is>
          <t>2026-08</t>
        </is>
      </c>
      <c r="B95" s="20" t="inlineStr">
        <is>
          <t>Call-out CO-49136</t>
        </is>
      </c>
      <c r="C95" s="20" t="inlineStr">
        <is>
          <t>Call-out</t>
        </is>
      </c>
      <c r="D95" s="21" t="n">
        <v>46260</v>
      </c>
      <c r="E95" s="21" t="n">
        <v>46267</v>
      </c>
      <c r="F95" s="22" t="n">
        <v>538</v>
      </c>
      <c r="G95" s="22" t="n">
        <v>408</v>
      </c>
      <c r="H95" s="22" t="n">
        <v>130</v>
      </c>
      <c r="I95" s="22" t="n">
        <v>100</v>
      </c>
      <c r="J95" s="22" t="n">
        <v>0</v>
      </c>
      <c r="K95" s="23" t="n">
        <v>2.5</v>
      </c>
      <c r="L95" s="22">
        <f>K95*$B$4</f>
        <v/>
      </c>
      <c r="M95" s="22">
        <f>F95-I95-J95-L95</f>
        <v/>
      </c>
      <c r="N95" s="24">
        <f>IF(F95=0,"",M95/F95)</f>
        <v/>
      </c>
    </row>
    <row r="96">
      <c r="A96" s="20" t="inlineStr">
        <is>
          <t>2026-08</t>
        </is>
      </c>
      <c r="B96" s="20" t="inlineStr">
        <is>
          <t>Call-out CO-49137</t>
        </is>
      </c>
      <c r="C96" s="20" t="inlineStr">
        <is>
          <t>Call-out</t>
        </is>
      </c>
      <c r="D96" s="21" t="n">
        <v>46245</v>
      </c>
      <c r="E96" s="21" t="n">
        <v>46245</v>
      </c>
      <c r="F96" s="22" t="n">
        <v>606</v>
      </c>
      <c r="G96" s="22" t="n">
        <v>489</v>
      </c>
      <c r="H96" s="22" t="n">
        <v>117</v>
      </c>
      <c r="I96" s="22" t="n">
        <v>90</v>
      </c>
      <c r="J96" s="22" t="n">
        <v>0</v>
      </c>
      <c r="K96" s="23" t="n">
        <v>3</v>
      </c>
      <c r="L96" s="22">
        <f>K96*$B$4</f>
        <v/>
      </c>
      <c r="M96" s="22">
        <f>F96-I96-J96-L96</f>
        <v/>
      </c>
      <c r="N96" s="24">
        <f>IF(F96=0,"",M96/F96)</f>
        <v/>
      </c>
    </row>
    <row r="97">
      <c r="A97" s="20" t="inlineStr">
        <is>
          <t>2026-08</t>
        </is>
      </c>
      <c r="B97" s="20" t="inlineStr">
        <is>
          <t>Call-out CO-49139</t>
        </is>
      </c>
      <c r="C97" s="20" t="inlineStr">
        <is>
          <t>Call-out</t>
        </is>
      </c>
      <c r="D97" s="21" t="n">
        <v>46247</v>
      </c>
      <c r="E97" s="21" t="n">
        <v>46254</v>
      </c>
      <c r="F97" s="22" t="n">
        <v>189</v>
      </c>
      <c r="G97" s="22" t="n">
        <v>163</v>
      </c>
      <c r="H97" s="22" t="n">
        <v>26</v>
      </c>
      <c r="I97" s="22" t="n">
        <v>20</v>
      </c>
      <c r="J97" s="22" t="n">
        <v>0</v>
      </c>
      <c r="K97" s="23" t="n">
        <v>1</v>
      </c>
      <c r="L97" s="22">
        <f>K97*$B$4</f>
        <v/>
      </c>
      <c r="M97" s="22">
        <f>F97-I97-J97-L97</f>
        <v/>
      </c>
      <c r="N97" s="24">
        <f>IF(F97=0,"",M97/F97)</f>
        <v/>
      </c>
    </row>
    <row r="98">
      <c r="A98" s="20" t="inlineStr">
        <is>
          <t>2026-08</t>
        </is>
      </c>
      <c r="B98" s="20" t="inlineStr">
        <is>
          <t>Call-out CO-49140</t>
        </is>
      </c>
      <c r="C98" s="20" t="inlineStr">
        <is>
          <t>Call-out</t>
        </is>
      </c>
      <c r="D98" s="21" t="n">
        <v>46237</v>
      </c>
      <c r="E98" s="21" t="n">
        <v>46251</v>
      </c>
      <c r="F98" s="22" t="n">
        <v>749</v>
      </c>
      <c r="G98" s="22" t="n">
        <v>489</v>
      </c>
      <c r="H98" s="22" t="n">
        <v>260</v>
      </c>
      <c r="I98" s="22" t="n">
        <v>200</v>
      </c>
      <c r="J98" s="22" t="n">
        <v>0</v>
      </c>
      <c r="K98" s="23" t="n">
        <v>3</v>
      </c>
      <c r="L98" s="22">
        <f>K98*$B$4</f>
        <v/>
      </c>
      <c r="M98" s="22">
        <f>F98-I98-J98-L98</f>
        <v/>
      </c>
      <c r="N98" s="24">
        <f>IF(F98=0,"",M98/F98)</f>
        <v/>
      </c>
    </row>
    <row r="99">
      <c r="A99" s="20" t="inlineStr">
        <is>
          <t>2026-08</t>
        </is>
      </c>
      <c r="B99" s="20" t="inlineStr">
        <is>
          <t>Call-out CO-49141</t>
        </is>
      </c>
      <c r="C99" s="20" t="inlineStr">
        <is>
          <t>Call-out</t>
        </is>
      </c>
      <c r="D99" s="21" t="n">
        <v>46255</v>
      </c>
      <c r="E99" s="21" t="n">
        <v>46258</v>
      </c>
      <c r="F99" s="22" t="n">
        <v>860</v>
      </c>
      <c r="G99" s="22" t="n">
        <v>652</v>
      </c>
      <c r="H99" s="22" t="n">
        <v>208</v>
      </c>
      <c r="I99" s="22" t="n">
        <v>160</v>
      </c>
      <c r="J99" s="22" t="n">
        <v>0</v>
      </c>
      <c r="K99" s="23" t="n">
        <v>4</v>
      </c>
      <c r="L99" s="22">
        <f>K99*$B$4</f>
        <v/>
      </c>
      <c r="M99" s="22">
        <f>F99-I99-J99-L99</f>
        <v/>
      </c>
      <c r="N99" s="24">
        <f>IF(F99=0,"",M99/F99)</f>
        <v/>
      </c>
    </row>
    <row r="100">
      <c r="A100" s="20" t="inlineStr">
        <is>
          <t>2026-08</t>
        </is>
      </c>
      <c r="B100" s="20" t="inlineStr">
        <is>
          <t>Call-out CO-49142</t>
        </is>
      </c>
      <c r="C100" s="20" t="inlineStr">
        <is>
          <t>Call-out</t>
        </is>
      </c>
      <c r="D100" s="21" t="n">
        <v>46242</v>
      </c>
      <c r="E100" s="21" t="n">
        <v>46272</v>
      </c>
      <c r="F100" s="22" t="n">
        <v>378</v>
      </c>
      <c r="G100" s="22" t="n">
        <v>326</v>
      </c>
      <c r="H100" s="22" t="n">
        <v>52</v>
      </c>
      <c r="I100" s="22" t="n">
        <v>40</v>
      </c>
      <c r="J100" s="22" t="n">
        <v>0</v>
      </c>
      <c r="K100" s="23" t="n">
        <v>2</v>
      </c>
      <c r="L100" s="22">
        <f>K100*$B$4</f>
        <v/>
      </c>
      <c r="M100" s="22">
        <f>F100-I100-J100-L100</f>
        <v/>
      </c>
      <c r="N100" s="24">
        <f>IF(F100=0,"",M100/F100)</f>
        <v/>
      </c>
    </row>
    <row r="101">
      <c r="A101" s="20" t="inlineStr">
        <is>
          <t>2026-08</t>
        </is>
      </c>
      <c r="B101" s="20" t="inlineStr">
        <is>
          <t>Call-out CO-49143</t>
        </is>
      </c>
      <c r="C101" s="20" t="inlineStr">
        <is>
          <t>Call-out</t>
        </is>
      </c>
      <c r="D101" s="21" t="n">
        <v>46237</v>
      </c>
      <c r="E101" s="21" t="n">
        <v>46244</v>
      </c>
      <c r="F101" s="22" t="n">
        <v>528</v>
      </c>
      <c r="G101" s="22" t="n">
        <v>489</v>
      </c>
      <c r="H101" s="22" t="n">
        <v>39</v>
      </c>
      <c r="I101" s="22" t="n">
        <v>30</v>
      </c>
      <c r="J101" s="22" t="n">
        <v>0</v>
      </c>
      <c r="K101" s="23" t="n">
        <v>3</v>
      </c>
      <c r="L101" s="22">
        <f>K101*$B$4</f>
        <v/>
      </c>
      <c r="M101" s="22">
        <f>F101-I101-J101-L101</f>
        <v/>
      </c>
      <c r="N101" s="24">
        <f>IF(F101=0,"",M101/F101)</f>
        <v/>
      </c>
    </row>
    <row r="102">
      <c r="A102" s="20" t="inlineStr">
        <is>
          <t>2026-08</t>
        </is>
      </c>
      <c r="B102" s="20" t="inlineStr">
        <is>
          <t>Call-out CO-49144</t>
        </is>
      </c>
      <c r="C102" s="20" t="inlineStr">
        <is>
          <t>Call-out</t>
        </is>
      </c>
      <c r="D102" s="21" t="n">
        <v>46261</v>
      </c>
      <c r="E102" s="21" t="n">
        <v>46265</v>
      </c>
      <c r="F102" s="22" t="n">
        <v>762</v>
      </c>
      <c r="G102" s="22" t="n">
        <v>489</v>
      </c>
      <c r="H102" s="22" t="n">
        <v>273</v>
      </c>
      <c r="I102" s="22" t="n">
        <v>210</v>
      </c>
      <c r="J102" s="22" t="n">
        <v>0</v>
      </c>
      <c r="K102" s="23" t="n">
        <v>3</v>
      </c>
      <c r="L102" s="22">
        <f>K102*$B$4</f>
        <v/>
      </c>
      <c r="M102" s="22">
        <f>F102-I102-J102-L102</f>
        <v/>
      </c>
      <c r="N102" s="24">
        <f>IF(F102=0,"",M102/F102)</f>
        <v/>
      </c>
    </row>
    <row r="103">
      <c r="A103" s="20" t="inlineStr">
        <is>
          <t>2026-08</t>
        </is>
      </c>
      <c r="B103" s="20" t="inlineStr">
        <is>
          <t>Call-out CO-49146</t>
        </is>
      </c>
      <c r="C103" s="20" t="inlineStr">
        <is>
          <t>Call-out</t>
        </is>
      </c>
      <c r="D103" s="21" t="n">
        <v>46246</v>
      </c>
      <c r="E103" s="21" t="n">
        <v>46247</v>
      </c>
      <c r="F103" s="22" t="n">
        <v>417</v>
      </c>
      <c r="G103" s="22" t="n">
        <v>326</v>
      </c>
      <c r="H103" s="22" t="n">
        <v>91</v>
      </c>
      <c r="I103" s="22" t="n">
        <v>70</v>
      </c>
      <c r="J103" s="22" t="n">
        <v>0</v>
      </c>
      <c r="K103" s="23" t="n">
        <v>2</v>
      </c>
      <c r="L103" s="22">
        <f>K103*$B$4</f>
        <v/>
      </c>
      <c r="M103" s="22">
        <f>F103-I103-J103-L103</f>
        <v/>
      </c>
      <c r="N103" s="24">
        <f>IF(F103=0,"",M103/F103)</f>
        <v/>
      </c>
    </row>
    <row r="104">
      <c r="A104" s="20" t="inlineStr">
        <is>
          <t>2026-08</t>
        </is>
      </c>
      <c r="B104" s="20" t="inlineStr">
        <is>
          <t>Call-out CO-49147</t>
        </is>
      </c>
      <c r="C104" s="20" t="inlineStr">
        <is>
          <t>Call-out</t>
        </is>
      </c>
      <c r="D104" s="21" t="n">
        <v>46239</v>
      </c>
      <c r="E104" s="21" t="n">
        <v>46269</v>
      </c>
      <c r="F104" s="22" t="n">
        <v>749</v>
      </c>
      <c r="G104" s="22" t="n">
        <v>489</v>
      </c>
      <c r="H104" s="22" t="n">
        <v>260</v>
      </c>
      <c r="I104" s="22" t="n">
        <v>200</v>
      </c>
      <c r="J104" s="22" t="n">
        <v>0</v>
      </c>
      <c r="K104" s="23" t="n">
        <v>3</v>
      </c>
      <c r="L104" s="22">
        <f>K104*$B$4</f>
        <v/>
      </c>
      <c r="M104" s="22">
        <f>F104-I104-J104-L104</f>
        <v/>
      </c>
      <c r="N104" s="24">
        <f>IF(F104=0,"",M104/F104)</f>
        <v/>
      </c>
    </row>
    <row r="105">
      <c r="A105" s="20" t="inlineStr">
        <is>
          <t>2026-08</t>
        </is>
      </c>
      <c r="B105" s="20" t="inlineStr">
        <is>
          <t>Call-out CO-49148</t>
        </is>
      </c>
      <c r="C105" s="20" t="inlineStr">
        <is>
          <t>Call-out</t>
        </is>
      </c>
      <c r="D105" s="21" t="n">
        <v>46243</v>
      </c>
      <c r="E105" s="21" t="n">
        <v>46258</v>
      </c>
      <c r="F105" s="22" t="n">
        <v>593</v>
      </c>
      <c r="G105" s="22" t="n">
        <v>489</v>
      </c>
      <c r="H105" s="22" t="n">
        <v>104</v>
      </c>
      <c r="I105" s="22" t="n">
        <v>80</v>
      </c>
      <c r="J105" s="22" t="n">
        <v>0</v>
      </c>
      <c r="K105" s="23" t="n">
        <v>3</v>
      </c>
      <c r="L105" s="22">
        <f>K105*$B$4</f>
        <v/>
      </c>
      <c r="M105" s="22">
        <f>F105-I105-J105-L105</f>
        <v/>
      </c>
      <c r="N105" s="24">
        <f>IF(F105=0,"",M105/F105)</f>
        <v/>
      </c>
    </row>
    <row r="106">
      <c r="A106" s="20" t="inlineStr">
        <is>
          <t>2026-08</t>
        </is>
      </c>
      <c r="B106" s="20" t="inlineStr">
        <is>
          <t>Call-out CO-49149</t>
        </is>
      </c>
      <c r="C106" s="20" t="inlineStr">
        <is>
          <t>Call-out</t>
        </is>
      </c>
      <c r="D106" s="21" t="n">
        <v>46256</v>
      </c>
      <c r="E106" s="21" t="n">
        <v>46286</v>
      </c>
      <c r="F106" s="22" t="n">
        <v>912</v>
      </c>
      <c r="G106" s="22" t="n">
        <v>652</v>
      </c>
      <c r="H106" s="22" t="n">
        <v>260</v>
      </c>
      <c r="I106" s="22" t="n">
        <v>200</v>
      </c>
      <c r="J106" s="22" t="n">
        <v>0</v>
      </c>
      <c r="K106" s="23" t="n">
        <v>4</v>
      </c>
      <c r="L106" s="22">
        <f>K106*$B$4</f>
        <v/>
      </c>
      <c r="M106" s="22">
        <f>F106-I106-J106-L106</f>
        <v/>
      </c>
      <c r="N106" s="24">
        <f>IF(F106=0,"",M106/F106)</f>
        <v/>
      </c>
    </row>
    <row r="107">
      <c r="A107" s="20" t="inlineStr">
        <is>
          <t>2026-08</t>
        </is>
      </c>
      <c r="B107" s="20" t="inlineStr">
        <is>
          <t>Call-out CO-49150</t>
        </is>
      </c>
      <c r="C107" s="20" t="inlineStr">
        <is>
          <t>Call-out</t>
        </is>
      </c>
      <c r="D107" s="21" t="n">
        <v>46251</v>
      </c>
      <c r="E107" s="21" t="n">
        <v>46251</v>
      </c>
      <c r="F107" s="22" t="n">
        <v>938</v>
      </c>
      <c r="G107" s="22" t="n">
        <v>652</v>
      </c>
      <c r="H107" s="22" t="n">
        <v>286</v>
      </c>
      <c r="I107" s="22" t="n">
        <v>220</v>
      </c>
      <c r="J107" s="22" t="n">
        <v>0</v>
      </c>
      <c r="K107" s="23" t="n">
        <v>4</v>
      </c>
      <c r="L107" s="22">
        <f>K107*$B$4</f>
        <v/>
      </c>
      <c r="M107" s="22">
        <f>F107-I107-J107-L107</f>
        <v/>
      </c>
      <c r="N107" s="24">
        <f>IF(F107=0,"",M107/F107)</f>
        <v/>
      </c>
    </row>
    <row r="108">
      <c r="A108" s="20" t="inlineStr">
        <is>
          <t>2026-08</t>
        </is>
      </c>
      <c r="B108" s="20" t="inlineStr">
        <is>
          <t>Call-out CO-49152</t>
        </is>
      </c>
      <c r="C108" s="20" t="inlineStr">
        <is>
          <t>Call-out</t>
        </is>
      </c>
      <c r="D108" s="21" t="n">
        <v>46253</v>
      </c>
      <c r="E108" s="21" t="n">
        <v>46260</v>
      </c>
      <c r="F108" s="22" t="n">
        <v>658</v>
      </c>
      <c r="G108" s="22" t="n">
        <v>489</v>
      </c>
      <c r="H108" s="22" t="n">
        <v>169</v>
      </c>
      <c r="I108" s="22" t="n">
        <v>130</v>
      </c>
      <c r="J108" s="22" t="n">
        <v>0</v>
      </c>
      <c r="K108" s="23" t="n">
        <v>3</v>
      </c>
      <c r="L108" s="22">
        <f>K108*$B$4</f>
        <v/>
      </c>
      <c r="M108" s="22">
        <f>F108-I108-J108-L108</f>
        <v/>
      </c>
      <c r="N108" s="24">
        <f>IF(F108=0,"",M108/F108)</f>
        <v/>
      </c>
    </row>
    <row r="109">
      <c r="A109" s="20" t="inlineStr">
        <is>
          <t>2026-08</t>
        </is>
      </c>
      <c r="B109" s="20" t="inlineStr">
        <is>
          <t>Call-out CO-49153</t>
        </is>
      </c>
      <c r="C109" s="20" t="inlineStr">
        <is>
          <t>Call-out</t>
        </is>
      </c>
      <c r="D109" s="21" t="n">
        <v>46245</v>
      </c>
      <c r="E109" s="21" t="n">
        <v>46259</v>
      </c>
      <c r="F109" s="22" t="n">
        <v>560</v>
      </c>
      <c r="G109" s="22" t="n">
        <v>326</v>
      </c>
      <c r="H109" s="22" t="n">
        <v>234</v>
      </c>
      <c r="I109" s="22" t="n">
        <v>180</v>
      </c>
      <c r="J109" s="22" t="n">
        <v>0</v>
      </c>
      <c r="K109" s="23" t="n">
        <v>2</v>
      </c>
      <c r="L109" s="22">
        <f>K109*$B$4</f>
        <v/>
      </c>
      <c r="M109" s="22">
        <f>F109-I109-J109-L109</f>
        <v/>
      </c>
      <c r="N109" s="24">
        <f>IF(F109=0,"",M109/F109)</f>
        <v/>
      </c>
    </row>
    <row r="110">
      <c r="A110" s="20" t="inlineStr">
        <is>
          <t>2026-08</t>
        </is>
      </c>
      <c r="B110" s="20" t="inlineStr">
        <is>
          <t>Call-out CO-49154</t>
        </is>
      </c>
      <c r="C110" s="20" t="inlineStr">
        <is>
          <t>Call-out</t>
        </is>
      </c>
      <c r="D110" s="21" t="n">
        <v>46260</v>
      </c>
      <c r="E110" s="21" t="n">
        <v>46262</v>
      </c>
      <c r="F110" s="22" t="n">
        <v>730</v>
      </c>
      <c r="G110" s="22" t="n">
        <v>652</v>
      </c>
      <c r="H110" s="22" t="n">
        <v>78</v>
      </c>
      <c r="I110" s="22" t="n">
        <v>60</v>
      </c>
      <c r="J110" s="22" t="n">
        <v>0</v>
      </c>
      <c r="K110" s="23" t="n">
        <v>4</v>
      </c>
      <c r="L110" s="22">
        <f>K110*$B$4</f>
        <v/>
      </c>
      <c r="M110" s="22">
        <f>F110-I110-J110-L110</f>
        <v/>
      </c>
      <c r="N110" s="24">
        <f>IF(F110=0,"",M110/F110)</f>
        <v/>
      </c>
    </row>
    <row r="111">
      <c r="A111" s="20" t="inlineStr">
        <is>
          <t>2026-08</t>
        </is>
      </c>
      <c r="B111" s="20" t="inlineStr">
        <is>
          <t>Call-out CO-49155</t>
        </is>
      </c>
      <c r="C111" s="20" t="inlineStr">
        <is>
          <t>Call-out</t>
        </is>
      </c>
      <c r="D111" s="21" t="n">
        <v>46252</v>
      </c>
      <c r="E111" s="21" t="n">
        <v>46252</v>
      </c>
      <c r="F111" s="22" t="n">
        <v>547</v>
      </c>
      <c r="G111" s="22" t="n">
        <v>326</v>
      </c>
      <c r="H111" s="22" t="n">
        <v>221</v>
      </c>
      <c r="I111" s="22" t="n">
        <v>170</v>
      </c>
      <c r="J111" s="22" t="n">
        <v>0</v>
      </c>
      <c r="K111" s="23" t="n">
        <v>2</v>
      </c>
      <c r="L111" s="22">
        <f>K111*$B$4</f>
        <v/>
      </c>
      <c r="M111" s="22">
        <f>F111-I111-J111-L111</f>
        <v/>
      </c>
      <c r="N111" s="24">
        <f>IF(F111=0,"",M111/F111)</f>
        <v/>
      </c>
    </row>
    <row r="112">
      <c r="A112" s="20" t="inlineStr">
        <is>
          <t>2026-08</t>
        </is>
      </c>
      <c r="B112" s="20" t="inlineStr">
        <is>
          <t>Call-out CO-49156</t>
        </is>
      </c>
      <c r="C112" s="20" t="inlineStr">
        <is>
          <t>Call-out</t>
        </is>
      </c>
      <c r="D112" s="21" t="n">
        <v>46259</v>
      </c>
      <c r="E112" s="21" t="n">
        <v>46266</v>
      </c>
      <c r="F112" s="22" t="n">
        <v>469</v>
      </c>
      <c r="G112" s="22" t="n">
        <v>326</v>
      </c>
      <c r="H112" s="22" t="n">
        <v>143</v>
      </c>
      <c r="I112" s="22" t="n">
        <v>110</v>
      </c>
      <c r="J112" s="22" t="n">
        <v>0</v>
      </c>
      <c r="K112" s="23" t="n">
        <v>2</v>
      </c>
      <c r="L112" s="22">
        <f>K112*$B$4</f>
        <v/>
      </c>
      <c r="M112" s="22">
        <f>F112-I112-J112-L112</f>
        <v/>
      </c>
      <c r="N112" s="24">
        <f>IF(F112=0,"",M112/F112)</f>
        <v/>
      </c>
    </row>
    <row r="113">
      <c r="A113" s="20" t="inlineStr">
        <is>
          <t>2026-08</t>
        </is>
      </c>
      <c r="B113" s="20" t="inlineStr">
        <is>
          <t>Call-out CO-49157</t>
        </is>
      </c>
      <c r="C113" s="20" t="inlineStr">
        <is>
          <t>Call-out</t>
        </is>
      </c>
      <c r="D113" s="21" t="n">
        <v>46247</v>
      </c>
      <c r="E113" s="21" t="n">
        <v>46254</v>
      </c>
      <c r="F113" s="22" t="n">
        <v>466</v>
      </c>
      <c r="G113" s="22" t="n">
        <v>245</v>
      </c>
      <c r="H113" s="22" t="n">
        <v>221</v>
      </c>
      <c r="I113" s="22" t="n">
        <v>170</v>
      </c>
      <c r="J113" s="22" t="n">
        <v>0</v>
      </c>
      <c r="K113" s="23" t="n">
        <v>1.5</v>
      </c>
      <c r="L113" s="22">
        <f>K113*$B$4</f>
        <v/>
      </c>
      <c r="M113" s="22">
        <f>F113-I113-J113-L113</f>
        <v/>
      </c>
      <c r="N113" s="24">
        <f>IF(F113=0,"",M113/F113)</f>
        <v/>
      </c>
    </row>
    <row r="114">
      <c r="A114" s="20" t="inlineStr">
        <is>
          <t>2026-08</t>
        </is>
      </c>
      <c r="B114" s="20" t="inlineStr">
        <is>
          <t>Call-out CO-49159</t>
        </is>
      </c>
      <c r="C114" s="20" t="inlineStr">
        <is>
          <t>Call-out</t>
        </is>
      </c>
      <c r="D114" s="21" t="n">
        <v>46256</v>
      </c>
      <c r="E114" s="21" t="n">
        <v>46265</v>
      </c>
      <c r="F114" s="22" t="n">
        <v>671</v>
      </c>
      <c r="G114" s="22" t="n">
        <v>489</v>
      </c>
      <c r="H114" s="22" t="n">
        <v>182</v>
      </c>
      <c r="I114" s="22" t="n">
        <v>140</v>
      </c>
      <c r="J114" s="22" t="n">
        <v>0</v>
      </c>
      <c r="K114" s="23" t="n">
        <v>3</v>
      </c>
      <c r="L114" s="22">
        <f>K114*$B$4</f>
        <v/>
      </c>
      <c r="M114" s="22">
        <f>F114-I114-J114-L114</f>
        <v/>
      </c>
      <c r="N114" s="24">
        <f>IF(F114=0,"",M114/F114)</f>
        <v/>
      </c>
    </row>
    <row r="115">
      <c r="A115" s="20" t="inlineStr">
        <is>
          <t>2026-08</t>
        </is>
      </c>
      <c r="B115" s="20" t="inlineStr">
        <is>
          <t>Call-out CO-49160</t>
        </is>
      </c>
      <c r="C115" s="20" t="inlineStr">
        <is>
          <t>Call-out</t>
        </is>
      </c>
      <c r="D115" s="21" t="n">
        <v>46256</v>
      </c>
      <c r="E115" s="21" t="n">
        <v>46258</v>
      </c>
      <c r="F115" s="22" t="n">
        <v>505</v>
      </c>
      <c r="G115" s="22" t="n">
        <v>245</v>
      </c>
      <c r="H115" s="22" t="n">
        <v>260</v>
      </c>
      <c r="I115" s="22" t="n">
        <v>200</v>
      </c>
      <c r="J115" s="22" t="n">
        <v>0</v>
      </c>
      <c r="K115" s="23" t="n">
        <v>1.5</v>
      </c>
      <c r="L115" s="22">
        <f>K115*$B$4</f>
        <v/>
      </c>
      <c r="M115" s="22">
        <f>F115-I115-J115-L115</f>
        <v/>
      </c>
      <c r="N115" s="24">
        <f>IF(F115=0,"",M115/F115)</f>
        <v/>
      </c>
    </row>
    <row r="116">
      <c r="A116" s="20" t="inlineStr">
        <is>
          <t>2026-08</t>
        </is>
      </c>
      <c r="B116" s="20" t="inlineStr">
        <is>
          <t>Call-out CO-49161</t>
        </is>
      </c>
      <c r="C116" s="20" t="inlineStr">
        <is>
          <t>Call-out</t>
        </is>
      </c>
      <c r="D116" s="21" t="n">
        <v>46248</v>
      </c>
      <c r="E116" s="21" t="n">
        <v>46248</v>
      </c>
      <c r="F116" s="22" t="n">
        <v>736</v>
      </c>
      <c r="G116" s="22" t="n">
        <v>489</v>
      </c>
      <c r="H116" s="22" t="n">
        <v>247</v>
      </c>
      <c r="I116" s="22" t="n">
        <v>190</v>
      </c>
      <c r="J116" s="22" t="n">
        <v>0</v>
      </c>
      <c r="K116" s="23" t="n">
        <v>3</v>
      </c>
      <c r="L116" s="22">
        <f>K116*$B$4</f>
        <v/>
      </c>
      <c r="M116" s="22">
        <f>F116-I116-J116-L116</f>
        <v/>
      </c>
      <c r="N116" s="24">
        <f>IF(F116=0,"",M116/F116)</f>
        <v/>
      </c>
    </row>
    <row r="117">
      <c r="A117" s="20" t="inlineStr">
        <is>
          <t>2026-08</t>
        </is>
      </c>
      <c r="B117" s="20" t="inlineStr">
        <is>
          <t>Call-out CO-49162</t>
        </is>
      </c>
      <c r="C117" s="20" t="inlineStr">
        <is>
          <t>Call-out</t>
        </is>
      </c>
      <c r="D117" s="21" t="n">
        <v>46237</v>
      </c>
      <c r="E117" s="21" t="n">
        <v>46267</v>
      </c>
      <c r="F117" s="22" t="n">
        <v>616</v>
      </c>
      <c r="G117" s="22" t="n">
        <v>408</v>
      </c>
      <c r="H117" s="22" t="n">
        <v>208</v>
      </c>
      <c r="I117" s="22" t="n">
        <v>160</v>
      </c>
      <c r="J117" s="22" t="n">
        <v>0</v>
      </c>
      <c r="K117" s="23" t="n">
        <v>2.5</v>
      </c>
      <c r="L117" s="22">
        <f>K117*$B$4</f>
        <v/>
      </c>
      <c r="M117" s="22">
        <f>F117-I117-J117-L117</f>
        <v/>
      </c>
      <c r="N117" s="24">
        <f>IF(F117=0,"",M117/F117)</f>
        <v/>
      </c>
    </row>
    <row r="118">
      <c r="A118" s="20" t="inlineStr">
        <is>
          <t>2026-08</t>
        </is>
      </c>
      <c r="B118" s="20" t="inlineStr">
        <is>
          <t>Call-out CO-49163</t>
        </is>
      </c>
      <c r="C118" s="20" t="inlineStr">
        <is>
          <t>Call-out</t>
        </is>
      </c>
      <c r="D118" s="21" t="n">
        <v>46256</v>
      </c>
      <c r="E118" s="21" t="n">
        <v>46258</v>
      </c>
      <c r="F118" s="22" t="n">
        <v>538</v>
      </c>
      <c r="G118" s="22" t="n">
        <v>408</v>
      </c>
      <c r="H118" s="22" t="n">
        <v>130</v>
      </c>
      <c r="I118" s="22" t="n">
        <v>100</v>
      </c>
      <c r="J118" s="22" t="n">
        <v>0</v>
      </c>
      <c r="K118" s="23" t="n">
        <v>2.5</v>
      </c>
      <c r="L118" s="22">
        <f>K118*$B$4</f>
        <v/>
      </c>
      <c r="M118" s="22">
        <f>F118-I118-J118-L118</f>
        <v/>
      </c>
      <c r="N118" s="24">
        <f>IF(F118=0,"",M118/F118)</f>
        <v/>
      </c>
    </row>
    <row r="119">
      <c r="A119" s="20" t="inlineStr">
        <is>
          <t>2026-08</t>
        </is>
      </c>
      <c r="B119" s="20" t="inlineStr">
        <is>
          <t>Call-out CO-49164</t>
        </is>
      </c>
      <c r="C119" s="20" t="inlineStr">
        <is>
          <t>Call-out</t>
        </is>
      </c>
      <c r="D119" s="21" t="n">
        <v>46261</v>
      </c>
      <c r="E119" s="21" t="n">
        <v>46261</v>
      </c>
      <c r="F119" s="22" t="n">
        <v>723</v>
      </c>
      <c r="G119" s="22" t="n">
        <v>489</v>
      </c>
      <c r="H119" s="22" t="n">
        <v>234</v>
      </c>
      <c r="I119" s="22" t="n">
        <v>180</v>
      </c>
      <c r="J119" s="22" t="n">
        <v>0</v>
      </c>
      <c r="K119" s="23" t="n">
        <v>3</v>
      </c>
      <c r="L119" s="22">
        <f>K119*$B$4</f>
        <v/>
      </c>
      <c r="M119" s="22">
        <f>F119-I119-J119-L119</f>
        <v/>
      </c>
      <c r="N119" s="24">
        <f>IF(F119=0,"",M119/F119)</f>
        <v/>
      </c>
    </row>
    <row r="120">
      <c r="A120" s="20" t="inlineStr">
        <is>
          <t>2026-08</t>
        </is>
      </c>
      <c r="B120" s="20" t="inlineStr">
        <is>
          <t>Call-out CO-49166</t>
        </is>
      </c>
      <c r="C120" s="20" t="inlineStr">
        <is>
          <t>Call-out</t>
        </is>
      </c>
      <c r="D120" s="21" t="n">
        <v>46245</v>
      </c>
      <c r="E120" s="21" t="n">
        <v>46245</v>
      </c>
      <c r="F120" s="22" t="n">
        <v>512</v>
      </c>
      <c r="G120" s="22" t="n">
        <v>408</v>
      </c>
      <c r="H120" s="22" t="n">
        <v>104</v>
      </c>
      <c r="I120" s="22" t="n">
        <v>80</v>
      </c>
      <c r="J120" s="22" t="n">
        <v>0</v>
      </c>
      <c r="K120" s="23" t="n">
        <v>2.5</v>
      </c>
      <c r="L120" s="22">
        <f>K120*$B$4</f>
        <v/>
      </c>
      <c r="M120" s="22">
        <f>F120-I120-J120-L120</f>
        <v/>
      </c>
      <c r="N120" s="24">
        <f>IF(F120=0,"",M120/F120)</f>
        <v/>
      </c>
    </row>
    <row r="121">
      <c r="A121" s="20" t="inlineStr">
        <is>
          <t>2026-08</t>
        </is>
      </c>
      <c r="B121" s="20" t="inlineStr">
        <is>
          <t>Call-out CO-49167</t>
        </is>
      </c>
      <c r="C121" s="20" t="inlineStr">
        <is>
          <t>Call-out</t>
        </is>
      </c>
      <c r="D121" s="21" t="n">
        <v>46258</v>
      </c>
      <c r="E121" s="21" t="n">
        <v>46258</v>
      </c>
      <c r="F121" s="22" t="n">
        <v>573</v>
      </c>
      <c r="G121" s="22" t="n">
        <v>326</v>
      </c>
      <c r="H121" s="22" t="n">
        <v>247</v>
      </c>
      <c r="I121" s="22" t="n">
        <v>190</v>
      </c>
      <c r="J121" s="22" t="n">
        <v>0</v>
      </c>
      <c r="K121" s="23" t="n">
        <v>2</v>
      </c>
      <c r="L121" s="22">
        <f>K121*$B$4</f>
        <v/>
      </c>
      <c r="M121" s="22">
        <f>F121-I121-J121-L121</f>
        <v/>
      </c>
      <c r="N121" s="24">
        <f>IF(F121=0,"",M121/F121)</f>
        <v/>
      </c>
    </row>
    <row r="122">
      <c r="A122" s="20" t="inlineStr">
        <is>
          <t>2026-08</t>
        </is>
      </c>
      <c r="B122" s="20" t="inlineStr">
        <is>
          <t>Call-out CO-49168</t>
        </is>
      </c>
      <c r="C122" s="20" t="inlineStr">
        <is>
          <t>Call-out</t>
        </is>
      </c>
      <c r="D122" s="21" t="n">
        <v>46245</v>
      </c>
      <c r="E122" s="21" t="n">
        <v>46252</v>
      </c>
      <c r="F122" s="22" t="n">
        <v>668</v>
      </c>
      <c r="G122" s="22" t="n">
        <v>408</v>
      </c>
      <c r="H122" s="22" t="n">
        <v>260</v>
      </c>
      <c r="I122" s="22" t="n">
        <v>200</v>
      </c>
      <c r="J122" s="22" t="n">
        <v>0</v>
      </c>
      <c r="K122" s="23" t="n">
        <v>2.5</v>
      </c>
      <c r="L122" s="22">
        <f>K122*$B$4</f>
        <v/>
      </c>
      <c r="M122" s="22">
        <f>F122-I122-J122-L122</f>
        <v/>
      </c>
      <c r="N122" s="24">
        <f>IF(F122=0,"",M122/F122)</f>
        <v/>
      </c>
    </row>
    <row r="123">
      <c r="A123" s="20" t="inlineStr">
        <is>
          <t>2026-08</t>
        </is>
      </c>
      <c r="B123" s="20" t="inlineStr">
        <is>
          <t>Call-out CO-49169</t>
        </is>
      </c>
      <c r="C123" s="20" t="inlineStr">
        <is>
          <t>Call-out</t>
        </is>
      </c>
      <c r="D123" s="21" t="n">
        <v>46237</v>
      </c>
      <c r="E123" s="21" t="n">
        <v>46237</v>
      </c>
      <c r="F123" s="22" t="n">
        <v>508</v>
      </c>
      <c r="G123" s="22" t="n">
        <v>326</v>
      </c>
      <c r="H123" s="22" t="n">
        <v>182</v>
      </c>
      <c r="I123" s="22" t="n">
        <v>140</v>
      </c>
      <c r="J123" s="22" t="n">
        <v>0</v>
      </c>
      <c r="K123" s="23" t="n">
        <v>2</v>
      </c>
      <c r="L123" s="22">
        <f>K123*$B$4</f>
        <v/>
      </c>
      <c r="M123" s="22">
        <f>F123-I123-J123-L123</f>
        <v/>
      </c>
      <c r="N123" s="24">
        <f>IF(F123=0,"",M123/F123)</f>
        <v/>
      </c>
    </row>
    <row r="124">
      <c r="A124" s="20" t="inlineStr">
        <is>
          <t>2026-08</t>
        </is>
      </c>
      <c r="B124" s="20" t="inlineStr">
        <is>
          <t>Call-out CO-49170</t>
        </is>
      </c>
      <c r="C124" s="20" t="inlineStr">
        <is>
          <t>Call-out</t>
        </is>
      </c>
      <c r="D124" s="21" t="n">
        <v>46249</v>
      </c>
      <c r="E124" s="21" t="n">
        <v>46251</v>
      </c>
      <c r="F124" s="22" t="n">
        <v>544</v>
      </c>
      <c r="G124" s="22" t="n">
        <v>245</v>
      </c>
      <c r="H124" s="22" t="n">
        <v>299</v>
      </c>
      <c r="I124" s="22" t="n">
        <v>230</v>
      </c>
      <c r="J124" s="22" t="n">
        <v>0</v>
      </c>
      <c r="K124" s="23" t="n">
        <v>1.5</v>
      </c>
      <c r="L124" s="22">
        <f>K124*$B$4</f>
        <v/>
      </c>
      <c r="M124" s="22">
        <f>F124-I124-J124-L124</f>
        <v/>
      </c>
      <c r="N124" s="24">
        <f>IF(F124=0,"",M124/F124)</f>
        <v/>
      </c>
    </row>
    <row r="125">
      <c r="A125" s="20" t="inlineStr">
        <is>
          <t>2026-08</t>
        </is>
      </c>
      <c r="B125" s="20" t="inlineStr">
        <is>
          <t>Call-out CO-49172</t>
        </is>
      </c>
      <c r="C125" s="20" t="inlineStr">
        <is>
          <t>Call-out</t>
        </is>
      </c>
      <c r="D125" s="21" t="n">
        <v>46239</v>
      </c>
      <c r="E125" s="21" t="n">
        <v>46239</v>
      </c>
      <c r="F125" s="22" t="n">
        <v>580</v>
      </c>
      <c r="G125" s="22" t="n">
        <v>489</v>
      </c>
      <c r="H125" s="22" t="n">
        <v>91</v>
      </c>
      <c r="I125" s="22" t="n">
        <v>70</v>
      </c>
      <c r="J125" s="22" t="n">
        <v>0</v>
      </c>
      <c r="K125" s="23" t="n">
        <v>3</v>
      </c>
      <c r="L125" s="22">
        <f>K125*$B$4</f>
        <v/>
      </c>
      <c r="M125" s="22">
        <f>F125-I125-J125-L125</f>
        <v/>
      </c>
      <c r="N125" s="24">
        <f>IF(F125=0,"",M125/F125)</f>
        <v/>
      </c>
    </row>
    <row r="126">
      <c r="A126" s="20" t="inlineStr">
        <is>
          <t>2026-08</t>
        </is>
      </c>
      <c r="B126" s="20" t="inlineStr">
        <is>
          <t>Call-out CO-49173</t>
        </is>
      </c>
      <c r="C126" s="20" t="inlineStr">
        <is>
          <t>Call-out</t>
        </is>
      </c>
      <c r="D126" s="21" t="n">
        <v>46246</v>
      </c>
      <c r="E126" s="21" t="n">
        <v>46253</v>
      </c>
      <c r="F126" s="22" t="n">
        <v>730</v>
      </c>
      <c r="G126" s="22" t="n">
        <v>652</v>
      </c>
      <c r="H126" s="22" t="n">
        <v>78</v>
      </c>
      <c r="I126" s="22" t="n">
        <v>60</v>
      </c>
      <c r="J126" s="22" t="n">
        <v>0</v>
      </c>
      <c r="K126" s="23" t="n">
        <v>4</v>
      </c>
      <c r="L126" s="22">
        <f>K126*$B$4</f>
        <v/>
      </c>
      <c r="M126" s="22">
        <f>F126-I126-J126-L126</f>
        <v/>
      </c>
      <c r="N126" s="24">
        <f>IF(F126=0,"",M126/F126)</f>
        <v/>
      </c>
    </row>
    <row r="127">
      <c r="A127" s="20" t="inlineStr">
        <is>
          <t>2026-08</t>
        </is>
      </c>
      <c r="B127" s="20" t="inlineStr">
        <is>
          <t>Call-out CO-49174</t>
        </is>
      </c>
      <c r="C127" s="20" t="inlineStr">
        <is>
          <t>Call-out</t>
        </is>
      </c>
      <c r="D127" s="21" t="n">
        <v>46245</v>
      </c>
      <c r="E127" s="21" t="n">
        <v>46245</v>
      </c>
      <c r="F127" s="22" t="n">
        <v>456</v>
      </c>
      <c r="G127" s="22" t="n">
        <v>326</v>
      </c>
      <c r="H127" s="22" t="n">
        <v>130</v>
      </c>
      <c r="I127" s="22" t="n">
        <v>100</v>
      </c>
      <c r="J127" s="22" t="n">
        <v>0</v>
      </c>
      <c r="K127" s="23" t="n">
        <v>2</v>
      </c>
      <c r="L127" s="22">
        <f>K127*$B$4</f>
        <v/>
      </c>
      <c r="M127" s="22">
        <f>F127-I127-J127-L127</f>
        <v/>
      </c>
      <c r="N127" s="24">
        <f>IF(F127=0,"",M127/F127)</f>
        <v/>
      </c>
    </row>
    <row r="128">
      <c r="A128" s="20" t="inlineStr">
        <is>
          <t>2026-08</t>
        </is>
      </c>
      <c r="B128" s="20" t="inlineStr">
        <is>
          <t>Call-out CO-49175</t>
        </is>
      </c>
      <c r="C128" s="20" t="inlineStr">
        <is>
          <t>Call-out</t>
        </is>
      </c>
      <c r="D128" s="21" t="n">
        <v>46259</v>
      </c>
      <c r="E128" s="21" t="n">
        <v>46289</v>
      </c>
      <c r="F128" s="22" t="n">
        <v>710</v>
      </c>
      <c r="G128" s="22" t="n">
        <v>489</v>
      </c>
      <c r="H128" s="22" t="n">
        <v>221</v>
      </c>
      <c r="I128" s="22" t="n">
        <v>170</v>
      </c>
      <c r="J128" s="22" t="n">
        <v>0</v>
      </c>
      <c r="K128" s="23" t="n">
        <v>3</v>
      </c>
      <c r="L128" s="22">
        <f>K128*$B$4</f>
        <v/>
      </c>
      <c r="M128" s="22">
        <f>F128-I128-J128-L128</f>
        <v/>
      </c>
      <c r="N128" s="24">
        <f>IF(F128=0,"",M128/F128)</f>
        <v/>
      </c>
    </row>
    <row r="129">
      <c r="A129" s="20" t="inlineStr">
        <is>
          <t>2026-08</t>
        </is>
      </c>
      <c r="B129" s="20" t="inlineStr">
        <is>
          <t>Call-out CO-49176</t>
        </is>
      </c>
      <c r="C129" s="20" t="inlineStr">
        <is>
          <t>Call-out</t>
        </is>
      </c>
      <c r="D129" s="21" t="n">
        <v>46259</v>
      </c>
      <c r="E129" s="21" t="n">
        <v>46266</v>
      </c>
      <c r="F129" s="22" t="n">
        <v>482</v>
      </c>
      <c r="G129" s="22" t="n">
        <v>326</v>
      </c>
      <c r="H129" s="22" t="n">
        <v>156</v>
      </c>
      <c r="I129" s="22" t="n">
        <v>120</v>
      </c>
      <c r="J129" s="22" t="n">
        <v>0</v>
      </c>
      <c r="K129" s="23" t="n">
        <v>2</v>
      </c>
      <c r="L129" s="22">
        <f>K129*$B$4</f>
        <v/>
      </c>
      <c r="M129" s="22">
        <f>F129-I129-J129-L129</f>
        <v/>
      </c>
      <c r="N129" s="24">
        <f>IF(F129=0,"",M129/F129)</f>
        <v/>
      </c>
    </row>
    <row r="130">
      <c r="A130" s="20" t="inlineStr">
        <is>
          <t>2026-08</t>
        </is>
      </c>
      <c r="B130" s="20" t="inlineStr">
        <is>
          <t>Call-out CO-49177</t>
        </is>
      </c>
      <c r="C130" s="20" t="inlineStr">
        <is>
          <t>Call-out</t>
        </is>
      </c>
      <c r="D130" s="21" t="n">
        <v>46262</v>
      </c>
      <c r="E130" s="21" t="n">
        <v>46262</v>
      </c>
      <c r="F130" s="22" t="n">
        <v>486</v>
      </c>
      <c r="G130" s="22" t="n">
        <v>408</v>
      </c>
      <c r="H130" s="22" t="n">
        <v>78</v>
      </c>
      <c r="I130" s="22" t="n">
        <v>60</v>
      </c>
      <c r="J130" s="22" t="n">
        <v>0</v>
      </c>
      <c r="K130" s="23" t="n">
        <v>2.5</v>
      </c>
      <c r="L130" s="22">
        <f>K130*$B$4</f>
        <v/>
      </c>
      <c r="M130" s="22">
        <f>F130-I130-J130-L130</f>
        <v/>
      </c>
      <c r="N130" s="24">
        <f>IF(F130=0,"",M130/F130)</f>
        <v/>
      </c>
    </row>
    <row r="131">
      <c r="A131" s="20" t="inlineStr">
        <is>
          <t>2026-08</t>
        </is>
      </c>
      <c r="B131" s="20" t="inlineStr">
        <is>
          <t>Call-out CO-49179</t>
        </is>
      </c>
      <c r="C131" s="20" t="inlineStr">
        <is>
          <t>Call-out</t>
        </is>
      </c>
      <c r="D131" s="21" t="n">
        <v>46249</v>
      </c>
      <c r="E131" s="21" t="n">
        <v>46251</v>
      </c>
      <c r="F131" s="22" t="n">
        <v>447</v>
      </c>
      <c r="G131" s="22" t="n">
        <v>408</v>
      </c>
      <c r="H131" s="22" t="n">
        <v>39</v>
      </c>
      <c r="I131" s="22" t="n">
        <v>30</v>
      </c>
      <c r="J131" s="22" t="n">
        <v>0</v>
      </c>
      <c r="K131" s="23" t="n">
        <v>2.5</v>
      </c>
      <c r="L131" s="22">
        <f>K131*$B$4</f>
        <v/>
      </c>
      <c r="M131" s="22">
        <f>F131-I131-J131-L131</f>
        <v/>
      </c>
      <c r="N131" s="24">
        <f>IF(F131=0,"",M131/F131)</f>
        <v/>
      </c>
    </row>
    <row r="132">
      <c r="A132" s="20" t="inlineStr">
        <is>
          <t>2026-08</t>
        </is>
      </c>
      <c r="B132" s="20" t="inlineStr">
        <is>
          <t>Call-out CO-49180</t>
        </is>
      </c>
      <c r="C132" s="20" t="inlineStr">
        <is>
          <t>Call-out</t>
        </is>
      </c>
      <c r="D132" s="21" t="n">
        <v>46257</v>
      </c>
      <c r="E132" s="21" t="n">
        <v>46265</v>
      </c>
      <c r="F132" s="22" t="n">
        <v>782</v>
      </c>
      <c r="G132" s="22" t="n">
        <v>652</v>
      </c>
      <c r="H132" s="22" t="n">
        <v>130</v>
      </c>
      <c r="I132" s="22" t="n">
        <v>100</v>
      </c>
      <c r="J132" s="22" t="n">
        <v>0</v>
      </c>
      <c r="K132" s="23" t="n">
        <v>4</v>
      </c>
      <c r="L132" s="22">
        <f>K132*$B$4</f>
        <v/>
      </c>
      <c r="M132" s="22">
        <f>F132-I132-J132-L132</f>
        <v/>
      </c>
      <c r="N132" s="24">
        <f>IF(F132=0,"",M132/F132)</f>
        <v/>
      </c>
    </row>
    <row r="133">
      <c r="A133" s="20" t="inlineStr">
        <is>
          <t>2026-08</t>
        </is>
      </c>
      <c r="B133" s="20" t="inlineStr">
        <is>
          <t>Call-out CO-49181</t>
        </is>
      </c>
      <c r="C133" s="20" t="inlineStr">
        <is>
          <t>Call-out</t>
        </is>
      </c>
      <c r="D133" s="21" t="n">
        <v>46242</v>
      </c>
      <c r="E133" s="21" t="n">
        <v>46272</v>
      </c>
      <c r="F133" s="22" t="n">
        <v>391</v>
      </c>
      <c r="G133" s="22" t="n">
        <v>326</v>
      </c>
      <c r="H133" s="22" t="n">
        <v>65</v>
      </c>
      <c r="I133" s="22" t="n">
        <v>50</v>
      </c>
      <c r="J133" s="22" t="n">
        <v>0</v>
      </c>
      <c r="K133" s="23" t="n">
        <v>2</v>
      </c>
      <c r="L133" s="22">
        <f>K133*$B$4</f>
        <v/>
      </c>
      <c r="M133" s="22">
        <f>F133-I133-J133-L133</f>
        <v/>
      </c>
      <c r="N133" s="24">
        <f>IF(F133=0,"",M133/F133)</f>
        <v/>
      </c>
    </row>
    <row r="134">
      <c r="A134" s="20" t="inlineStr">
        <is>
          <t>2026-08</t>
        </is>
      </c>
      <c r="B134" s="20" t="inlineStr">
        <is>
          <t>Call-out CO-49182</t>
        </is>
      </c>
      <c r="C134" s="20" t="inlineStr">
        <is>
          <t>Call-out</t>
        </is>
      </c>
      <c r="D134" s="21" t="n">
        <v>46238</v>
      </c>
      <c r="E134" s="21" t="n">
        <v>46268</v>
      </c>
      <c r="F134" s="22" t="n">
        <v>362</v>
      </c>
      <c r="G134" s="22" t="n">
        <v>245</v>
      </c>
      <c r="H134" s="22" t="n">
        <v>117</v>
      </c>
      <c r="I134" s="22" t="n">
        <v>90</v>
      </c>
      <c r="J134" s="22" t="n">
        <v>0</v>
      </c>
      <c r="K134" s="23" t="n">
        <v>1.5</v>
      </c>
      <c r="L134" s="22">
        <f>K134*$B$4</f>
        <v/>
      </c>
      <c r="M134" s="22">
        <f>F134-I134-J134-L134</f>
        <v/>
      </c>
      <c r="N134" s="24">
        <f>IF(F134=0,"",M134/F134)</f>
        <v/>
      </c>
    </row>
    <row r="135">
      <c r="A135" s="20" t="inlineStr">
        <is>
          <t>2026-08</t>
        </is>
      </c>
      <c r="B135" s="20" t="inlineStr">
        <is>
          <t>Call-out CO-49183</t>
        </is>
      </c>
      <c r="C135" s="20" t="inlineStr">
        <is>
          <t>Call-out</t>
        </is>
      </c>
      <c r="D135" s="21" t="n">
        <v>46248</v>
      </c>
      <c r="E135" s="21" t="n">
        <v>46248</v>
      </c>
      <c r="F135" s="22" t="n">
        <v>319</v>
      </c>
      <c r="G135" s="22" t="n">
        <v>163</v>
      </c>
      <c r="H135" s="22" t="n">
        <v>156</v>
      </c>
      <c r="I135" s="22" t="n">
        <v>120</v>
      </c>
      <c r="J135" s="22" t="n">
        <v>0</v>
      </c>
      <c r="K135" s="23" t="n">
        <v>1</v>
      </c>
      <c r="L135" s="22">
        <f>K135*$B$4</f>
        <v/>
      </c>
      <c r="M135" s="22">
        <f>F135-I135-J135-L135</f>
        <v/>
      </c>
      <c r="N135" s="24">
        <f>IF(F135=0,"",M135/F135)</f>
        <v/>
      </c>
    </row>
    <row r="136">
      <c r="A136" s="20" t="inlineStr">
        <is>
          <t>2026-08</t>
        </is>
      </c>
      <c r="B136" s="20" t="inlineStr">
        <is>
          <t>Call-out CO-49184</t>
        </is>
      </c>
      <c r="C136" s="20" t="inlineStr">
        <is>
          <t>Call-out</t>
        </is>
      </c>
      <c r="D136" s="21" t="n">
        <v>46246</v>
      </c>
      <c r="E136" s="21" t="n">
        <v>46260</v>
      </c>
      <c r="F136" s="22" t="n">
        <v>788</v>
      </c>
      <c r="G136" s="22" t="n">
        <v>489</v>
      </c>
      <c r="H136" s="22" t="n">
        <v>299</v>
      </c>
      <c r="I136" s="22" t="n">
        <v>230</v>
      </c>
      <c r="J136" s="22" t="n">
        <v>0</v>
      </c>
      <c r="K136" s="23" t="n">
        <v>3</v>
      </c>
      <c r="L136" s="22">
        <f>K136*$B$4</f>
        <v/>
      </c>
      <c r="M136" s="22">
        <f>F136-I136-J136-L136</f>
        <v/>
      </c>
      <c r="N136" s="24">
        <f>IF(F136=0,"",M136/F136)</f>
        <v/>
      </c>
    </row>
    <row r="137">
      <c r="A137" s="20" t="inlineStr">
        <is>
          <t>2026-08</t>
        </is>
      </c>
      <c r="B137" s="20" t="inlineStr">
        <is>
          <t>Call-out CO-49186</t>
        </is>
      </c>
      <c r="C137" s="20" t="inlineStr">
        <is>
          <t>Call-out</t>
        </is>
      </c>
      <c r="D137" s="21" t="n">
        <v>46242</v>
      </c>
      <c r="E137" s="21" t="n">
        <v>46244</v>
      </c>
      <c r="F137" s="22" t="n">
        <v>297</v>
      </c>
      <c r="G137" s="22" t="n">
        <v>245</v>
      </c>
      <c r="H137" s="22" t="n">
        <v>52</v>
      </c>
      <c r="I137" s="22" t="n">
        <v>40</v>
      </c>
      <c r="J137" s="22" t="n">
        <v>0</v>
      </c>
      <c r="K137" s="23" t="n">
        <v>1.5</v>
      </c>
      <c r="L137" s="22">
        <f>K137*$B$4</f>
        <v/>
      </c>
      <c r="M137" s="22">
        <f>F137-I137-J137-L137</f>
        <v/>
      </c>
      <c r="N137" s="24">
        <f>IF(F137=0,"",M137/F137)</f>
        <v/>
      </c>
    </row>
    <row r="138">
      <c r="A138" s="20" t="inlineStr">
        <is>
          <t>2026-08</t>
        </is>
      </c>
      <c r="B138" s="20" t="inlineStr">
        <is>
          <t>Call-out CO-49187</t>
        </is>
      </c>
      <c r="C138" s="20" t="inlineStr">
        <is>
          <t>Call-out</t>
        </is>
      </c>
      <c r="D138" s="21" t="n">
        <v>46250</v>
      </c>
      <c r="E138" s="21" t="n">
        <v>46252</v>
      </c>
      <c r="F138" s="22" t="n">
        <v>430</v>
      </c>
      <c r="G138" s="22" t="n">
        <v>326</v>
      </c>
      <c r="H138" s="22" t="n">
        <v>104</v>
      </c>
      <c r="I138" s="22" t="n">
        <v>80</v>
      </c>
      <c r="J138" s="22" t="n">
        <v>0</v>
      </c>
      <c r="K138" s="23" t="n">
        <v>2</v>
      </c>
      <c r="L138" s="22">
        <f>K138*$B$4</f>
        <v/>
      </c>
      <c r="M138" s="22">
        <f>F138-I138-J138-L138</f>
        <v/>
      </c>
      <c r="N138" s="24">
        <f>IF(F138=0,"",M138/F138)</f>
        <v/>
      </c>
    </row>
    <row r="139">
      <c r="A139" s="20" t="inlineStr">
        <is>
          <t>2026-08</t>
        </is>
      </c>
      <c r="B139" s="20" t="inlineStr">
        <is>
          <t>Call-out CO-49188</t>
        </is>
      </c>
      <c r="C139" s="20" t="inlineStr">
        <is>
          <t>Call-out</t>
        </is>
      </c>
      <c r="D139" s="21" t="n">
        <v>46262</v>
      </c>
      <c r="E139" s="21" t="n">
        <v>46262</v>
      </c>
      <c r="F139" s="22" t="n">
        <v>306</v>
      </c>
      <c r="G139" s="22" t="n">
        <v>163</v>
      </c>
      <c r="H139" s="22" t="n">
        <v>143</v>
      </c>
      <c r="I139" s="22" t="n">
        <v>110</v>
      </c>
      <c r="J139" s="22" t="n">
        <v>0</v>
      </c>
      <c r="K139" s="23" t="n">
        <v>1</v>
      </c>
      <c r="L139" s="22">
        <f>K139*$B$4</f>
        <v/>
      </c>
      <c r="M139" s="22">
        <f>F139-I139-J139-L139</f>
        <v/>
      </c>
      <c r="N139" s="24">
        <f>IF(F139=0,"",M139/F139)</f>
        <v/>
      </c>
    </row>
    <row r="140">
      <c r="A140" s="20" t="inlineStr">
        <is>
          <t>2026-08</t>
        </is>
      </c>
      <c r="B140" s="20" t="inlineStr">
        <is>
          <t>Call-out CO-49189</t>
        </is>
      </c>
      <c r="C140" s="20" t="inlineStr">
        <is>
          <t>Call-out</t>
        </is>
      </c>
      <c r="D140" s="21" t="n">
        <v>46235</v>
      </c>
      <c r="E140" s="21" t="n">
        <v>46251</v>
      </c>
      <c r="F140" s="22" t="n">
        <v>332</v>
      </c>
      <c r="G140" s="22" t="n">
        <v>163</v>
      </c>
      <c r="H140" s="22" t="n">
        <v>169</v>
      </c>
      <c r="I140" s="22" t="n">
        <v>130</v>
      </c>
      <c r="J140" s="22" t="n">
        <v>0</v>
      </c>
      <c r="K140" s="23" t="n">
        <v>1</v>
      </c>
      <c r="L140" s="22">
        <f>K140*$B$4</f>
        <v/>
      </c>
      <c r="M140" s="22">
        <f>F140-I140-J140-L140</f>
        <v/>
      </c>
      <c r="N140" s="24">
        <f>IF(F140=0,"",M140/F140)</f>
        <v/>
      </c>
    </row>
    <row r="141">
      <c r="A141" s="20" t="inlineStr">
        <is>
          <t>2026-08</t>
        </is>
      </c>
      <c r="B141" s="20" t="inlineStr">
        <is>
          <t>Call-out CO-49190</t>
        </is>
      </c>
      <c r="C141" s="20" t="inlineStr">
        <is>
          <t>Call-out</t>
        </is>
      </c>
      <c r="D141" s="21" t="n">
        <v>46244</v>
      </c>
      <c r="E141" s="21" t="n">
        <v>46258</v>
      </c>
      <c r="F141" s="22" t="n">
        <v>358</v>
      </c>
      <c r="G141" s="22" t="n">
        <v>163</v>
      </c>
      <c r="H141" s="22" t="n">
        <v>195</v>
      </c>
      <c r="I141" s="22" t="n">
        <v>150</v>
      </c>
      <c r="J141" s="22" t="n">
        <v>0</v>
      </c>
      <c r="K141" s="23" t="n">
        <v>1</v>
      </c>
      <c r="L141" s="22">
        <f>K141*$B$4</f>
        <v/>
      </c>
      <c r="M141" s="22">
        <f>F141-I141-J141-L141</f>
        <v/>
      </c>
      <c r="N141" s="24">
        <f>IF(F141=0,"",M141/F141)</f>
        <v/>
      </c>
    </row>
    <row r="142">
      <c r="A142" s="20" t="inlineStr">
        <is>
          <t>2026-08</t>
        </is>
      </c>
      <c r="B142" s="20" t="inlineStr">
        <is>
          <t>Call-out CO-49192</t>
        </is>
      </c>
      <c r="C142" s="20" t="inlineStr">
        <is>
          <t>Call-out</t>
        </is>
      </c>
      <c r="D142" s="21" t="n">
        <v>46237</v>
      </c>
      <c r="E142" s="21" t="n">
        <v>46244</v>
      </c>
      <c r="F142" s="22" t="n">
        <v>280</v>
      </c>
      <c r="G142" s="22" t="n">
        <v>163</v>
      </c>
      <c r="H142" s="22" t="n">
        <v>117</v>
      </c>
      <c r="I142" s="22" t="n">
        <v>90</v>
      </c>
      <c r="J142" s="22" t="n">
        <v>0</v>
      </c>
      <c r="K142" s="23" t="n">
        <v>1</v>
      </c>
      <c r="L142" s="22">
        <f>K142*$B$4</f>
        <v/>
      </c>
      <c r="M142" s="22">
        <f>F142-I142-J142-L142</f>
        <v/>
      </c>
      <c r="N142" s="24">
        <f>IF(F142=0,"",M142/F142)</f>
        <v/>
      </c>
    </row>
    <row r="143">
      <c r="A143" s="20" t="inlineStr">
        <is>
          <t>2026-08</t>
        </is>
      </c>
      <c r="B143" s="20" t="inlineStr">
        <is>
          <t>Call-out CO-49193</t>
        </is>
      </c>
      <c r="C143" s="20" t="inlineStr">
        <is>
          <t>Call-out</t>
        </is>
      </c>
      <c r="D143" s="21" t="n">
        <v>46258</v>
      </c>
      <c r="E143" s="21" t="n">
        <v>46258</v>
      </c>
      <c r="F143" s="22" t="n">
        <v>697</v>
      </c>
      <c r="G143" s="22" t="n">
        <v>489</v>
      </c>
      <c r="H143" s="22" t="n">
        <v>208</v>
      </c>
      <c r="I143" s="22" t="n">
        <v>160</v>
      </c>
      <c r="J143" s="22" t="n">
        <v>0</v>
      </c>
      <c r="K143" s="23" t="n">
        <v>3</v>
      </c>
      <c r="L143" s="22">
        <f>K143*$B$4</f>
        <v/>
      </c>
      <c r="M143" s="22">
        <f>F143-I143-J143-L143</f>
        <v/>
      </c>
      <c r="N143" s="24">
        <f>IF(F143=0,"",M143/F143)</f>
        <v/>
      </c>
    </row>
    <row r="144">
      <c r="A144" s="20" t="inlineStr">
        <is>
          <t>2026-08</t>
        </is>
      </c>
      <c r="B144" s="20" t="inlineStr">
        <is>
          <t>Call-out CO-49194</t>
        </is>
      </c>
      <c r="C144" s="20" t="inlineStr">
        <is>
          <t>Call-out</t>
        </is>
      </c>
      <c r="D144" s="21" t="n">
        <v>46238</v>
      </c>
      <c r="E144" s="21" t="n">
        <v>46238</v>
      </c>
      <c r="F144" s="22" t="n">
        <v>228</v>
      </c>
      <c r="G144" s="22" t="n">
        <v>163</v>
      </c>
      <c r="H144" s="22" t="n">
        <v>65</v>
      </c>
      <c r="I144" s="22" t="n">
        <v>50</v>
      </c>
      <c r="J144" s="22" t="n">
        <v>0</v>
      </c>
      <c r="K144" s="23" t="n">
        <v>1</v>
      </c>
      <c r="L144" s="22">
        <f>K144*$B$4</f>
        <v/>
      </c>
      <c r="M144" s="22">
        <f>F144-I144-J144-L144</f>
        <v/>
      </c>
      <c r="N144" s="24">
        <f>IF(F144=0,"",M144/F144)</f>
        <v/>
      </c>
    </row>
    <row r="145">
      <c r="A145" s="20" t="inlineStr">
        <is>
          <t>2026-08</t>
        </is>
      </c>
      <c r="B145" s="20" t="inlineStr">
        <is>
          <t>Call-out CO-49195</t>
        </is>
      </c>
      <c r="C145" s="20" t="inlineStr">
        <is>
          <t>Call-out</t>
        </is>
      </c>
      <c r="D145" s="21" t="n">
        <v>46240</v>
      </c>
      <c r="E145" s="21" t="n">
        <v>46244</v>
      </c>
      <c r="F145" s="22" t="n">
        <v>580</v>
      </c>
      <c r="G145" s="22" t="n">
        <v>489</v>
      </c>
      <c r="H145" s="22" t="n">
        <v>91</v>
      </c>
      <c r="I145" s="22" t="n">
        <v>70</v>
      </c>
      <c r="J145" s="22" t="n">
        <v>0</v>
      </c>
      <c r="K145" s="23" t="n">
        <v>3</v>
      </c>
      <c r="L145" s="22">
        <f>K145*$B$4</f>
        <v/>
      </c>
      <c r="M145" s="22">
        <f>F145-I145-J145-L145</f>
        <v/>
      </c>
      <c r="N145" s="24">
        <f>IF(F145=0,"",M145/F145)</f>
        <v/>
      </c>
    </row>
    <row r="146">
      <c r="A146" s="20" t="inlineStr">
        <is>
          <t>2026-08</t>
        </is>
      </c>
      <c r="B146" s="20" t="inlineStr">
        <is>
          <t>Call-out CO-49196</t>
        </is>
      </c>
      <c r="C146" s="20" t="inlineStr">
        <is>
          <t>Call-out</t>
        </is>
      </c>
      <c r="D146" s="21" t="n">
        <v>46256</v>
      </c>
      <c r="E146" s="21" t="n">
        <v>46258</v>
      </c>
      <c r="F146" s="22" t="n">
        <v>297</v>
      </c>
      <c r="G146" s="22" t="n">
        <v>245</v>
      </c>
      <c r="H146" s="22" t="n">
        <v>52</v>
      </c>
      <c r="I146" s="22" t="n">
        <v>40</v>
      </c>
      <c r="J146" s="22" t="n">
        <v>0</v>
      </c>
      <c r="K146" s="23" t="n">
        <v>1.5</v>
      </c>
      <c r="L146" s="22">
        <f>K146*$B$4</f>
        <v/>
      </c>
      <c r="M146" s="22">
        <f>F146-I146-J146-L146</f>
        <v/>
      </c>
      <c r="N146" s="24">
        <f>IF(F146=0,"",M146/F146)</f>
        <v/>
      </c>
    </row>
    <row r="147">
      <c r="A147" s="20" t="inlineStr">
        <is>
          <t>2026-08</t>
        </is>
      </c>
      <c r="B147" s="20" t="inlineStr">
        <is>
          <t>Call-out CO-49197</t>
        </is>
      </c>
      <c r="C147" s="20" t="inlineStr">
        <is>
          <t>Call-out</t>
        </is>
      </c>
      <c r="D147" s="21" t="n">
        <v>46257</v>
      </c>
      <c r="E147" s="21" t="n">
        <v>46258</v>
      </c>
      <c r="F147" s="22" t="n">
        <v>378</v>
      </c>
      <c r="G147" s="22" t="n">
        <v>326</v>
      </c>
      <c r="H147" s="22" t="n">
        <v>52</v>
      </c>
      <c r="I147" s="22" t="n">
        <v>40</v>
      </c>
      <c r="J147" s="22" t="n">
        <v>0</v>
      </c>
      <c r="K147" s="23" t="n">
        <v>2</v>
      </c>
      <c r="L147" s="22">
        <f>K147*$B$4</f>
        <v/>
      </c>
      <c r="M147" s="22">
        <f>F147-I147-J147-L147</f>
        <v/>
      </c>
      <c r="N147" s="24">
        <f>IF(F147=0,"",M147/F147)</f>
        <v/>
      </c>
    </row>
    <row r="148">
      <c r="A148" s="20" t="inlineStr">
        <is>
          <t>2026-08</t>
        </is>
      </c>
      <c r="B148" s="20" t="inlineStr">
        <is>
          <t>Call-out CO-49199</t>
        </is>
      </c>
      <c r="C148" s="20" t="inlineStr">
        <is>
          <t>Call-out</t>
        </is>
      </c>
      <c r="D148" s="21" t="n">
        <v>46256</v>
      </c>
      <c r="E148" s="21" t="n">
        <v>46265</v>
      </c>
      <c r="F148" s="22" t="n">
        <v>391</v>
      </c>
      <c r="G148" s="22" t="n">
        <v>326</v>
      </c>
      <c r="H148" s="22" t="n">
        <v>65</v>
      </c>
      <c r="I148" s="22" t="n">
        <v>50</v>
      </c>
      <c r="J148" s="22" t="n">
        <v>0</v>
      </c>
      <c r="K148" s="23" t="n">
        <v>2</v>
      </c>
      <c r="L148" s="22">
        <f>K148*$B$4</f>
        <v/>
      </c>
      <c r="M148" s="22">
        <f>F148-I148-J148-L148</f>
        <v/>
      </c>
      <c r="N148" s="24">
        <f>IF(F148=0,"",M148/F148)</f>
        <v/>
      </c>
    </row>
    <row r="149">
      <c r="A149" s="20" t="inlineStr">
        <is>
          <t>2026-08</t>
        </is>
      </c>
      <c r="B149" s="20" t="inlineStr">
        <is>
          <t>Ashgrove hall LED lighting</t>
        </is>
      </c>
      <c r="C149" s="20" t="inlineStr">
        <is>
          <t>Installation</t>
        </is>
      </c>
      <c r="D149" s="21" t="n">
        <v>46248</v>
      </c>
      <c r="E149" s="21" t="n">
        <v>46279</v>
      </c>
      <c r="F149" s="22" t="n">
        <v>23900</v>
      </c>
      <c r="G149" s="22" t="n"/>
      <c r="H149" s="22" t="n"/>
      <c r="I149" s="22" t="n">
        <v>8100</v>
      </c>
      <c r="J149" s="22" t="n">
        <v>0</v>
      </c>
      <c r="K149" s="23" t="n">
        <v>70</v>
      </c>
      <c r="L149" s="22">
        <f>K149*$B$4</f>
        <v/>
      </c>
      <c r="M149" s="22">
        <f>F149-I149-J149-L149</f>
        <v/>
      </c>
      <c r="N149" s="24">
        <f>IF(F149=0,"",M149/F149)</f>
        <v/>
      </c>
    </row>
    <row r="150">
      <c r="A150" s="20" t="inlineStr">
        <is>
          <t>2026-08</t>
        </is>
      </c>
      <c r="B150" s="20" t="inlineStr">
        <is>
          <t>Newstead gym air-con</t>
        </is>
      </c>
      <c r="C150" s="20" t="inlineStr">
        <is>
          <t>Installation</t>
        </is>
      </c>
      <c r="D150" s="21" t="n">
        <v>46253</v>
      </c>
      <c r="E150" s="21" t="n">
        <v>46274</v>
      </c>
      <c r="F150" s="22" t="n">
        <v>18800</v>
      </c>
      <c r="G150" s="22" t="n"/>
      <c r="H150" s="22" t="n"/>
      <c r="I150" s="22" t="n">
        <v>6700</v>
      </c>
      <c r="J150" s="22" t="n">
        <v>1200</v>
      </c>
      <c r="K150" s="23" t="n">
        <v>44</v>
      </c>
      <c r="L150" s="22">
        <f>K150*$B$4</f>
        <v/>
      </c>
      <c r="M150" s="22">
        <f>F150-I150-J150-L150</f>
        <v/>
      </c>
      <c r="N150" s="24">
        <f>IF(F150=0,"",M150/F150)</f>
        <v/>
      </c>
    </row>
    <row r="151">
      <c r="A151" s="20" t="inlineStr">
        <is>
          <t>2026-08</t>
        </is>
      </c>
      <c r="B151" s="20" t="inlineStr">
        <is>
          <t>Rocklea factory switchboard</t>
        </is>
      </c>
      <c r="C151" s="20" t="inlineStr">
        <is>
          <t>Installation</t>
        </is>
      </c>
      <c r="D151" s="21" t="n">
        <v>46241</v>
      </c>
      <c r="E151" s="21" t="n">
        <v>46272</v>
      </c>
      <c r="F151" s="22" t="n">
        <v>43100</v>
      </c>
      <c r="G151" s="22" t="n"/>
      <c r="H151" s="22" t="n"/>
      <c r="I151" s="22" t="n">
        <v>15600</v>
      </c>
      <c r="J151" s="22" t="n">
        <v>4800</v>
      </c>
      <c r="K151" s="23" t="n">
        <v>92</v>
      </c>
      <c r="L151" s="22">
        <f>K151*$B$4</f>
        <v/>
      </c>
      <c r="M151" s="22">
        <f>F151-I151-J151-L151</f>
        <v/>
      </c>
      <c r="N151" s="24">
        <f>IF(F151=0,"",M151/F151)</f>
        <v/>
      </c>
    </row>
    <row r="152">
      <c r="A152" s="20" t="inlineStr">
        <is>
          <t>2026-08</t>
        </is>
      </c>
      <c r="B152" s="20" t="inlineStr">
        <is>
          <t>Valley office cabling</t>
        </is>
      </c>
      <c r="C152" s="20" t="inlineStr">
        <is>
          <t>Installation</t>
        </is>
      </c>
      <c r="D152" s="21" t="n">
        <v>46262</v>
      </c>
      <c r="E152" s="21" t="n">
        <v>46293</v>
      </c>
      <c r="F152" s="22" t="n">
        <v>15000</v>
      </c>
      <c r="G152" s="22" t="n"/>
      <c r="H152" s="22" t="n"/>
      <c r="I152" s="22" t="n">
        <v>3900</v>
      </c>
      <c r="J152" s="22" t="n">
        <v>1100</v>
      </c>
      <c r="K152" s="23" t="n">
        <v>48</v>
      </c>
      <c r="L152" s="22">
        <f>K152*$B$4</f>
        <v/>
      </c>
      <c r="M152" s="22">
        <f>F152-I152-J152-L152</f>
        <v/>
      </c>
      <c r="N152" s="24">
        <f>IF(F152=0,"",M152/F152)</f>
        <v/>
      </c>
    </row>
    <row r="153">
      <c r="A153" s="20" t="inlineStr">
        <is>
          <t>2026-08</t>
        </is>
      </c>
      <c r="B153" s="20" t="inlineStr">
        <is>
          <t>Wynnum house solar</t>
        </is>
      </c>
      <c r="C153" s="20" t="inlineStr">
        <is>
          <t>Installation</t>
        </is>
      </c>
      <c r="D153" s="21" t="n">
        <v>46258</v>
      </c>
      <c r="E153" s="21" t="n">
        <v>46272</v>
      </c>
      <c r="F153" s="22" t="n">
        <v>22000</v>
      </c>
      <c r="G153" s="22" t="n"/>
      <c r="H153" s="22" t="n"/>
      <c r="I153" s="22" t="n">
        <v>9400</v>
      </c>
      <c r="J153" s="22" t="n">
        <v>2200</v>
      </c>
      <c r="K153" s="23" t="n">
        <v>36</v>
      </c>
      <c r="L153" s="22">
        <f>K153*$B$4</f>
        <v/>
      </c>
      <c r="M153" s="22">
        <f>F153-I153-J153-L153</f>
        <v/>
      </c>
      <c r="N153" s="24">
        <f>IF(F153=0,"",M153/F153)</f>
        <v/>
      </c>
    </row>
    <row r="154">
      <c r="A154" s="20" t="inlineStr">
        <is>
          <t>2026-08</t>
        </is>
      </c>
      <c r="B154" s="20" t="inlineStr">
        <is>
          <t>Ashgrove aged care</t>
        </is>
      </c>
      <c r="C154" s="20" t="inlineStr">
        <is>
          <t>Maintenance contract</t>
        </is>
      </c>
      <c r="D154" s="21" t="n">
        <v>46235</v>
      </c>
      <c r="E154" s="21" t="n">
        <v>46260</v>
      </c>
      <c r="F154" s="22" t="n">
        <v>4050</v>
      </c>
      <c r="G154" s="22" t="n"/>
      <c r="H154" s="22" t="n"/>
      <c r="I154" s="22" t="n">
        <v>80</v>
      </c>
      <c r="J154" s="22" t="n">
        <v>0</v>
      </c>
      <c r="K154" s="23" t="n">
        <v>20</v>
      </c>
      <c r="L154" s="22">
        <f>K154*$B$4</f>
        <v/>
      </c>
      <c r="M154" s="22">
        <f>F154-I154-J154-L154</f>
        <v/>
      </c>
      <c r="N154" s="24">
        <f>IF(F154=0,"",M154/F154)</f>
        <v/>
      </c>
    </row>
    <row r="155">
      <c r="A155" s="20" t="inlineStr">
        <is>
          <t>2026-08</t>
        </is>
      </c>
      <c r="B155" s="20" t="inlineStr">
        <is>
          <t>Bulimba school</t>
        </is>
      </c>
      <c r="C155" s="20" t="inlineStr">
        <is>
          <t>Maintenance contract</t>
        </is>
      </c>
      <c r="D155" s="21" t="n">
        <v>46235</v>
      </c>
      <c r="E155" s="21" t="n">
        <v>46265</v>
      </c>
      <c r="F155" s="22" t="n">
        <v>3150</v>
      </c>
      <c r="G155" s="22" t="n"/>
      <c r="H155" s="22" t="n"/>
      <c r="I155" s="22" t="n">
        <v>60</v>
      </c>
      <c r="J155" s="22" t="n">
        <v>0</v>
      </c>
      <c r="K155" s="23" t="n">
        <v>16</v>
      </c>
      <c r="L155" s="22">
        <f>K155*$B$4</f>
        <v/>
      </c>
      <c r="M155" s="22">
        <f>F155-I155-J155-L155</f>
        <v/>
      </c>
      <c r="N155" s="24">
        <f>IF(F155=0,"",M155/F155)</f>
        <v/>
      </c>
    </row>
    <row r="156">
      <c r="A156" s="20" t="inlineStr">
        <is>
          <t>2026-08</t>
        </is>
      </c>
      <c r="B156" s="20" t="inlineStr">
        <is>
          <t>Carindale vet clinic</t>
        </is>
      </c>
      <c r="C156" s="20" t="inlineStr">
        <is>
          <t>Maintenance contract</t>
        </is>
      </c>
      <c r="D156" s="21" t="n">
        <v>46235</v>
      </c>
      <c r="E156" s="21" t="n">
        <v>46265</v>
      </c>
      <c r="F156" s="22" t="n">
        <v>1900</v>
      </c>
      <c r="G156" s="22" t="n"/>
      <c r="H156" s="22" t="n"/>
      <c r="I156" s="22" t="n">
        <v>30</v>
      </c>
      <c r="J156" s="22" t="n">
        <v>0</v>
      </c>
      <c r="K156" s="23" t="n">
        <v>9</v>
      </c>
      <c r="L156" s="22">
        <f>K156*$B$4</f>
        <v/>
      </c>
      <c r="M156" s="22">
        <f>F156-I156-J156-L156</f>
        <v/>
      </c>
      <c r="N156" s="24">
        <f>IF(F156=0,"",M156/F156)</f>
        <v/>
      </c>
    </row>
    <row r="157">
      <c r="A157" s="20" t="inlineStr">
        <is>
          <t>2026-08</t>
        </is>
      </c>
      <c r="B157" s="20" t="inlineStr">
        <is>
          <t>Chermside retail centre</t>
        </is>
      </c>
      <c r="C157" s="20" t="inlineStr">
        <is>
          <t>Maintenance contract</t>
        </is>
      </c>
      <c r="D157" s="21" t="n">
        <v>46235</v>
      </c>
      <c r="E157" s="21" t="n">
        <v>46268</v>
      </c>
      <c r="F157" s="22" t="n">
        <v>4600</v>
      </c>
      <c r="G157" s="22" t="n"/>
      <c r="H157" s="22" t="n"/>
      <c r="I157" s="22" t="n">
        <v>100</v>
      </c>
      <c r="J157" s="22" t="n">
        <v>0</v>
      </c>
      <c r="K157" s="23" t="n">
        <v>23</v>
      </c>
      <c r="L157" s="22">
        <f>K157*$B$4</f>
        <v/>
      </c>
      <c r="M157" s="22">
        <f>F157-I157-J157-L157</f>
        <v/>
      </c>
      <c r="N157" s="24">
        <f>IF(F157=0,"",M157/F157)</f>
        <v/>
      </c>
    </row>
    <row r="158">
      <c r="A158" s="20" t="inlineStr">
        <is>
          <t>2026-08</t>
        </is>
      </c>
      <c r="B158" s="20" t="inlineStr">
        <is>
          <t>Fortitude Valley hotel</t>
        </is>
      </c>
      <c r="C158" s="20" t="inlineStr">
        <is>
          <t>Maintenance contract</t>
        </is>
      </c>
      <c r="D158" s="21" t="n">
        <v>46235</v>
      </c>
      <c r="E158" s="21" t="n">
        <v>46265</v>
      </c>
      <c r="F158" s="22" t="n">
        <v>3800</v>
      </c>
      <c r="G158" s="22" t="n"/>
      <c r="H158" s="22" t="n"/>
      <c r="I158" s="22" t="n">
        <v>70</v>
      </c>
      <c r="J158" s="22" t="n">
        <v>0</v>
      </c>
      <c r="K158" s="23" t="n">
        <v>19</v>
      </c>
      <c r="L158" s="22">
        <f>K158*$B$4</f>
        <v/>
      </c>
      <c r="M158" s="22">
        <f>F158-I158-J158-L158</f>
        <v/>
      </c>
      <c r="N158" s="24">
        <f>IF(F158=0,"",M158/F158)</f>
        <v/>
      </c>
    </row>
    <row r="159">
      <c r="A159" s="20" t="inlineStr">
        <is>
          <t>2026-08</t>
        </is>
      </c>
      <c r="B159" s="20" t="inlineStr">
        <is>
          <t>Kangaroo Point townhouses</t>
        </is>
      </c>
      <c r="C159" s="20" t="inlineStr">
        <is>
          <t>Maintenance contract</t>
        </is>
      </c>
      <c r="D159" s="21" t="n">
        <v>46235</v>
      </c>
      <c r="E159" s="21" t="n">
        <v>46265</v>
      </c>
      <c r="F159" s="22" t="n">
        <v>2700</v>
      </c>
      <c r="G159" s="22" t="n"/>
      <c r="H159" s="22" t="n"/>
      <c r="I159" s="22" t="n">
        <v>50</v>
      </c>
      <c r="J159" s="22" t="n">
        <v>0</v>
      </c>
      <c r="K159" s="23" t="n">
        <v>14</v>
      </c>
      <c r="L159" s="22">
        <f>K159*$B$4</f>
        <v/>
      </c>
      <c r="M159" s="22">
        <f>F159-I159-J159-L159</f>
        <v/>
      </c>
      <c r="N159" s="24">
        <f>IF(F159=0,"",M159/F159)</f>
        <v/>
      </c>
    </row>
    <row r="160">
      <c r="A160" s="20" t="inlineStr">
        <is>
          <t>2026-08</t>
        </is>
      </c>
      <c r="B160" s="20" t="inlineStr">
        <is>
          <t>Milton office tower</t>
        </is>
      </c>
      <c r="C160" s="20" t="inlineStr">
        <is>
          <t>Maintenance contract</t>
        </is>
      </c>
      <c r="D160" s="21" t="n">
        <v>46235</v>
      </c>
      <c r="E160" s="21" t="n">
        <v>46260</v>
      </c>
      <c r="F160" s="22" t="n">
        <v>4700</v>
      </c>
      <c r="G160" s="22" t="n"/>
      <c r="H160" s="22" t="n"/>
      <c r="I160" s="22" t="n">
        <v>90</v>
      </c>
      <c r="J160" s="22" t="n">
        <v>0</v>
      </c>
      <c r="K160" s="23" t="n">
        <v>24</v>
      </c>
      <c r="L160" s="22">
        <f>K160*$B$4</f>
        <v/>
      </c>
      <c r="M160" s="22">
        <f>F160-I160-J160-L160</f>
        <v/>
      </c>
      <c r="N160" s="24">
        <f>IF(F160=0,"",M160/F160)</f>
        <v/>
      </c>
    </row>
    <row r="161">
      <c r="A161" s="20" t="inlineStr">
        <is>
          <t>2026-08</t>
        </is>
      </c>
      <c r="B161" s="20" t="inlineStr">
        <is>
          <t>Newstead gym</t>
        </is>
      </c>
      <c r="C161" s="20" t="inlineStr">
        <is>
          <t>Maintenance contract</t>
        </is>
      </c>
      <c r="D161" s="21" t="n">
        <v>46235</v>
      </c>
      <c r="E161" s="21" t="n">
        <v>46260</v>
      </c>
      <c r="F161" s="22" t="n">
        <v>1800</v>
      </c>
      <c r="G161" s="22" t="n"/>
      <c r="H161" s="22" t="n"/>
      <c r="I161" s="22" t="n">
        <v>30</v>
      </c>
      <c r="J161" s="22" t="n">
        <v>0</v>
      </c>
      <c r="K161" s="23" t="n">
        <v>9</v>
      </c>
      <c r="L161" s="22">
        <f>K161*$B$4</f>
        <v/>
      </c>
      <c r="M161" s="22">
        <f>F161-I161-J161-L161</f>
        <v/>
      </c>
      <c r="N161" s="24">
        <f>IF(F161=0,"",M161/F161)</f>
        <v/>
      </c>
    </row>
    <row r="162">
      <c r="A162" s="20" t="inlineStr">
        <is>
          <t>2026-08</t>
        </is>
      </c>
      <c r="B162" s="20" t="inlineStr">
        <is>
          <t>Riverside Apartments (strata)</t>
        </is>
      </c>
      <c r="C162" s="20" t="inlineStr">
        <is>
          <t>Maintenance contract</t>
        </is>
      </c>
      <c r="D162" s="21" t="n">
        <v>46235</v>
      </c>
      <c r="E162" s="21" t="n">
        <v>46268</v>
      </c>
      <c r="F162" s="22" t="n">
        <v>3600</v>
      </c>
      <c r="G162" s="22" t="n"/>
      <c r="H162" s="22" t="n"/>
      <c r="I162" s="22" t="n">
        <v>60</v>
      </c>
      <c r="J162" s="22" t="n">
        <v>0</v>
      </c>
      <c r="K162" s="23" t="n">
        <v>18</v>
      </c>
      <c r="L162" s="22">
        <f>K162*$B$4</f>
        <v/>
      </c>
      <c r="M162" s="22">
        <f>F162-I162-J162-L162</f>
        <v/>
      </c>
      <c r="N162" s="24">
        <f>IF(F162=0,"",M162/F162)</f>
        <v/>
      </c>
    </row>
    <row r="163">
      <c r="A163" s="20" t="inlineStr">
        <is>
          <t>2026-08</t>
        </is>
      </c>
      <c r="B163" s="20" t="inlineStr">
        <is>
          <t>Rocklea factory</t>
        </is>
      </c>
      <c r="C163" s="20" t="inlineStr">
        <is>
          <t>Maintenance contract</t>
        </is>
      </c>
      <c r="D163" s="21" t="n">
        <v>46235</v>
      </c>
      <c r="E163" s="21" t="n">
        <v>46273</v>
      </c>
      <c r="F163" s="22" t="n">
        <v>4350</v>
      </c>
      <c r="G163" s="22" t="n"/>
      <c r="H163" s="22" t="n"/>
      <c r="I163" s="22" t="n">
        <v>110</v>
      </c>
      <c r="J163" s="22" t="n">
        <v>0</v>
      </c>
      <c r="K163" s="23" t="n">
        <v>22</v>
      </c>
      <c r="L163" s="22">
        <f>K163*$B$4</f>
        <v/>
      </c>
      <c r="M163" s="22">
        <f>F163-I163-J163-L163</f>
        <v/>
      </c>
      <c r="N163" s="24">
        <f>IF(F163=0,"",M163/F163)</f>
        <v/>
      </c>
    </row>
    <row r="164">
      <c r="A164" s="20" t="inlineStr">
        <is>
          <t>2026-08</t>
        </is>
      </c>
      <c r="B164" s="20" t="inlineStr">
        <is>
          <t>Southbank cafe group</t>
        </is>
      </c>
      <c r="C164" s="20" t="inlineStr">
        <is>
          <t>Maintenance contract</t>
        </is>
      </c>
      <c r="D164" s="21" t="n">
        <v>46235</v>
      </c>
      <c r="E164" s="21" t="n">
        <v>46260</v>
      </c>
      <c r="F164" s="22" t="n">
        <v>2000</v>
      </c>
      <c r="G164" s="22" t="n"/>
      <c r="H164" s="22" t="n"/>
      <c r="I164" s="22" t="n">
        <v>40</v>
      </c>
      <c r="J164" s="22" t="n">
        <v>0</v>
      </c>
      <c r="K164" s="23" t="n">
        <v>10</v>
      </c>
      <c r="L164" s="22">
        <f>K164*$B$4</f>
        <v/>
      </c>
      <c r="M164" s="22">
        <f>F164-I164-J164-L164</f>
        <v/>
      </c>
      <c r="N164" s="24">
        <f>IF(F164=0,"",M164/F164)</f>
        <v/>
      </c>
    </row>
    <row r="165">
      <c r="A165" s="20" t="inlineStr">
        <is>
          <t>2026-08</t>
        </is>
      </c>
      <c r="B165" s="20" t="inlineStr">
        <is>
          <t>Wacol logistics depot</t>
        </is>
      </c>
      <c r="C165" s="20" t="inlineStr">
        <is>
          <t>Maintenance contract</t>
        </is>
      </c>
      <c r="D165" s="21" t="n">
        <v>46235</v>
      </c>
      <c r="E165" s="21" t="n">
        <v>46268</v>
      </c>
      <c r="F165" s="22" t="n">
        <v>3350</v>
      </c>
      <c r="G165" s="22" t="n"/>
      <c r="H165" s="22" t="n"/>
      <c r="I165" s="22" t="n">
        <v>70</v>
      </c>
      <c r="J165" s="22" t="n">
        <v>0</v>
      </c>
      <c r="K165" s="23" t="n">
        <v>17</v>
      </c>
      <c r="L165" s="22">
        <f>K165*$B$4</f>
        <v/>
      </c>
      <c r="M165" s="22">
        <f>F165-I165-J165-L165</f>
        <v/>
      </c>
      <c r="N165" s="24">
        <f>IF(F165=0,"",M165/F165)</f>
        <v/>
      </c>
    </row>
    <row r="166">
      <c r="A166" s="20" t="inlineStr">
        <is>
          <t>2026-08</t>
        </is>
      </c>
      <c r="B166" s="20" t="inlineStr">
        <is>
          <t>West End brewery</t>
        </is>
      </c>
      <c r="C166" s="20" t="inlineStr">
        <is>
          <t>Maintenance contract</t>
        </is>
      </c>
      <c r="D166" s="21" t="n">
        <v>46235</v>
      </c>
      <c r="E166" s="21" t="n">
        <v>46260</v>
      </c>
      <c r="F166" s="22" t="n">
        <v>2900</v>
      </c>
      <c r="G166" s="22" t="n"/>
      <c r="H166" s="22" t="n"/>
      <c r="I166" s="22" t="n">
        <v>50</v>
      </c>
      <c r="J166" s="22" t="n">
        <v>0</v>
      </c>
      <c r="K166" s="23" t="n">
        <v>15</v>
      </c>
      <c r="L166" s="22">
        <f>K166*$B$4</f>
        <v/>
      </c>
      <c r="M166" s="22">
        <f>F166-I166-J166-L166</f>
        <v/>
      </c>
      <c r="N166" s="24">
        <f>IF(F166=0,"",M166/F166)</f>
        <v/>
      </c>
    </row>
    <row r="167">
      <c r="A167" s="20" t="inlineStr">
        <is>
          <t>2026-08</t>
        </is>
      </c>
      <c r="B167" s="20" t="inlineStr">
        <is>
          <t>Wynnum medical centre</t>
        </is>
      </c>
      <c r="C167" s="20" t="inlineStr">
        <is>
          <t>Maintenance contract</t>
        </is>
      </c>
      <c r="D167" s="21" t="n">
        <v>46235</v>
      </c>
      <c r="E167" s="21" t="n">
        <v>46260</v>
      </c>
      <c r="F167" s="22" t="n">
        <v>2450</v>
      </c>
      <c r="G167" s="22" t="n"/>
      <c r="H167" s="22" t="n"/>
      <c r="I167" s="22" t="n">
        <v>40</v>
      </c>
      <c r="J167" s="22" t="n">
        <v>0</v>
      </c>
      <c r="K167" s="23" t="n">
        <v>12</v>
      </c>
      <c r="L167" s="22">
        <f>K167*$B$4</f>
        <v/>
      </c>
      <c r="M167" s="22">
        <f>F167-I167-J167-L167</f>
        <v/>
      </c>
      <c r="N167" s="24">
        <f>IF(F167=0,"",M167/F167)</f>
        <v/>
      </c>
    </row>
    <row r="168">
      <c r="A168" s="25" t="inlineStr">
        <is>
          <t>Total</t>
        </is>
      </c>
      <c r="F168" s="26">
        <f>SUM(F7:F167)</f>
        <v/>
      </c>
      <c r="G168" s="26">
        <f>SUM(G7:G167)</f>
        <v/>
      </c>
      <c r="H168" s="26">
        <f>SUM(H7:H167)</f>
        <v/>
      </c>
      <c r="I168" s="26">
        <f>SUM(I7:I167)</f>
        <v/>
      </c>
      <c r="J168" s="26">
        <f>SUM(J7:J167)</f>
        <v/>
      </c>
      <c r="K168" s="27">
        <f>SUM(K7:K167)</f>
        <v/>
      </c>
      <c r="L168" s="26">
        <f>SUM(L7:L167)</f>
        <v/>
      </c>
      <c r="M168" s="26">
        <f>SUM(M7:M167)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trades-sample-statements.xlsx&amp;C&amp;"Roboto,Regular"&amp;8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4" manualBreakCount="4">
    <brk id="45" min="0" max="16383" man="1"/>
    <brk id="89" min="0" max="16383" man="1"/>
    <brk id="90" min="0" max="16383" man="1"/>
    <brk id="134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1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/>
    <row r="5">
      <c r="A5" s="28" t="inlineStr">
        <is>
          <t>Gross margin (P&amp;L)</t>
        </is>
      </c>
    </row>
    <row r="6">
      <c r="A6" s="10" t="inlineStr">
        <is>
          <t>Gross profit ÷ revenue. All technician wages and on-costs included; overheads are not.</t>
        </is>
      </c>
    </row>
    <row r="7">
      <c r="A7" s="3" t="inlineStr"/>
      <c r="B7" s="4" t="inlineStr">
        <is>
          <t>Sep 2026</t>
        </is>
      </c>
      <c r="C7" s="4" t="inlineStr">
        <is>
          <t>Aug 2026</t>
        </is>
      </c>
    </row>
    <row r="8">
      <c r="A8" t="inlineStr">
        <is>
          <t>Revenue (every job invoiced in the month)</t>
        </is>
      </c>
      <c r="B8" s="22" t="n">
        <v>225460</v>
      </c>
      <c r="C8" s="22" t="n">
        <v>199523</v>
      </c>
    </row>
    <row r="9">
      <c r="A9" t="inlineStr">
        <is>
          <t>Materials</t>
        </is>
      </c>
      <c r="B9" s="22" t="n">
        <v>-64860</v>
      </c>
      <c r="C9" s="22" t="n">
        <v>-51530</v>
      </c>
    </row>
    <row r="10">
      <c r="A10" t="inlineStr">
        <is>
          <t>Subcontractors</t>
        </is>
      </c>
      <c r="B10" s="22" t="n">
        <v>-13200</v>
      </c>
      <c r="C10" s="22" t="n">
        <v>-9300</v>
      </c>
    </row>
    <row r="11">
      <c r="A11" t="inlineStr">
        <is>
          <t>Technician wages</t>
        </is>
      </c>
      <c r="B11" s="22" t="n">
        <v>-79587</v>
      </c>
      <c r="C11" s="22" t="n">
        <v>-72352</v>
      </c>
    </row>
    <row r="12">
      <c r="A12" t="inlineStr">
        <is>
          <t>Gross profit</t>
        </is>
      </c>
      <c r="B12" s="22">
        <f>B8+B9+B10+B11</f>
        <v/>
      </c>
      <c r="C12" s="22">
        <f>C8+C9+C10+C11</f>
        <v/>
      </c>
    </row>
    <row r="13">
      <c r="A13" s="29" t="inlineStr">
        <is>
          <t>Gross margin (P&amp;L)</t>
        </is>
      </c>
      <c r="B13" s="30">
        <f>B12/B8</f>
        <v/>
      </c>
      <c r="C13" s="30">
        <f>C12/C8</f>
        <v/>
      </c>
    </row>
    <row r="14">
      <c r="A14" s="2" t="inlineStr">
        <is>
          <t>Gross margin is before overheads (office wages, marketing, vehicles, rent and so on): it is not profit. Wages include their on-costs: super (12%) and leave as it's earned. No payroll tax: wages are under Queensland's $1.3 million threshold. Technicians are on salary, so a quiet month for jobs lowers gross margin even if every job is priced well.</t>
        </is>
      </c>
    </row>
    <row r="15"/>
    <row r="16"/>
    <row r="17">
      <c r="A17" s="28" t="inlineStr">
        <is>
          <t>Cost to win a customer</t>
        </is>
      </c>
    </row>
    <row r="18">
      <c r="A18" s="10" t="inlineStr">
        <is>
          <t>Marketing spend ÷ new customers</t>
        </is>
      </c>
    </row>
    <row r="19">
      <c r="A19" s="3" t="inlineStr"/>
      <c r="B19" s="4" t="inlineStr">
        <is>
          <t>Sep 2026</t>
        </is>
      </c>
      <c r="C19" s="4" t="inlineStr">
        <is>
          <t>Aug 2026</t>
        </is>
      </c>
    </row>
    <row r="20">
      <c r="A20" t="inlineStr">
        <is>
          <t>Marketing spend</t>
        </is>
      </c>
      <c r="B20" s="22" t="n">
        <v>7600</v>
      </c>
      <c r="C20" s="22" t="n">
        <v>8400</v>
      </c>
    </row>
    <row r="21">
      <c r="A21" t="inlineStr">
        <is>
          <t>New customers (first job ever)</t>
        </is>
      </c>
      <c r="B21" s="22" t="n">
        <v>47</v>
      </c>
      <c r="C21" s="22" t="n">
        <v>41</v>
      </c>
    </row>
    <row r="22">
      <c r="A22" s="29" t="inlineStr">
        <is>
          <t>Cost per new customer</t>
        </is>
      </c>
      <c r="B22" s="31">
        <f>B20/B21</f>
        <v/>
      </c>
      <c r="C22" s="31">
        <f>C20/C21</f>
        <v/>
      </c>
    </row>
    <row r="23"/>
    <row r="24"/>
    <row r="25">
      <c r="A25" s="28" t="inlineStr">
        <is>
          <t>Technician time on jobs</t>
        </is>
      </c>
    </row>
    <row r="26">
      <c r="A26" s="10" t="inlineStr">
        <is>
          <t>Hours charged to jobs ÷ hours available</t>
        </is>
      </c>
    </row>
    <row r="27">
      <c r="A27" s="3" t="inlineStr"/>
      <c r="B27" s="4" t="inlineStr">
        <is>
          <t>Sep 2026</t>
        </is>
      </c>
      <c r="C27" s="4" t="inlineStr">
        <is>
          <t>Aug 2026</t>
        </is>
      </c>
    </row>
    <row r="28">
      <c r="A28" t="inlineStr">
        <is>
          <t>Hours charged to jobs (timesheets)</t>
        </is>
      </c>
      <c r="B28" s="23" t="n">
        <v>752.5</v>
      </c>
      <c r="C28" s="23" t="n">
        <v>655</v>
      </c>
    </row>
    <row r="29">
      <c r="A29" t="inlineStr">
        <is>
          <t>Technicians</t>
        </is>
      </c>
      <c r="B29" s="22" t="n">
        <v>7</v>
      </c>
      <c r="C29" s="22" t="n">
        <v>7</v>
      </c>
    </row>
    <row r="30">
      <c r="A30" t="inlineStr">
        <is>
          <t>Working days</t>
        </is>
      </c>
      <c r="B30" s="22" t="n">
        <v>22</v>
      </c>
      <c r="C30" s="22" t="n">
        <v>20</v>
      </c>
    </row>
    <row r="31">
      <c r="A31" t="inlineStr">
        <is>
          <t>Hours per day</t>
        </is>
      </c>
      <c r="B31" s="23" t="n">
        <v>7.6</v>
      </c>
      <c r="C31" s="23" t="n">
        <v>7.6</v>
      </c>
    </row>
    <row r="32">
      <c r="A32" t="inlineStr">
        <is>
          <t>Hours available</t>
        </is>
      </c>
      <c r="B32" s="23">
        <f>B29*B30*B31</f>
        <v/>
      </c>
      <c r="C32" s="23">
        <f>C29*C30*C31</f>
        <v/>
      </c>
    </row>
    <row r="33">
      <c r="A33" s="29" t="inlineStr">
        <is>
          <t>Time on jobs</t>
        </is>
      </c>
      <c r="B33" s="30">
        <f>B28/B32</f>
        <v/>
      </c>
      <c r="C33" s="30">
        <f>C28/C32</f>
        <v/>
      </c>
    </row>
    <row r="34">
      <c r="A34" s="2" t="inlineStr">
        <is>
          <t>August had 20 working days: 21 weekdays, less the Ekka People's Day holiday (Wed 12 Aug). The rest is travel, training, quoting and waiting time.</t>
        </is>
      </c>
    </row>
    <row r="35"/>
    <row r="36"/>
    <row r="37">
      <c r="A37" s="28" t="inlineStr">
        <is>
          <t>Bulimba EV chargers</t>
        </is>
      </c>
    </row>
    <row r="38">
      <c r="A38" s="10" t="inlineStr">
        <is>
          <t>Job gross margin ÷ revenue for this job (before overheads)</t>
        </is>
      </c>
    </row>
    <row r="39">
      <c r="A39" s="3" t="inlineStr"/>
      <c r="B39" s="4" t="inlineStr">
        <is>
          <t>This job</t>
        </is>
      </c>
    </row>
    <row r="40">
      <c r="A40" t="inlineStr">
        <is>
          <t>Revenue</t>
        </is>
      </c>
      <c r="B40" s="22" t="n">
        <v>11000</v>
      </c>
    </row>
    <row r="41">
      <c r="A41" t="inlineStr">
        <is>
          <t>Materials</t>
        </is>
      </c>
      <c r="B41" s="22" t="n">
        <v>-3600</v>
      </c>
    </row>
    <row r="42">
      <c r="A42" t="inlineStr">
        <is>
          <t>Subcontractors</t>
        </is>
      </c>
      <c r="B42" s="22" t="n">
        <v>0</v>
      </c>
    </row>
    <row r="43">
      <c r="A43" t="inlineStr">
        <is>
          <t>Technician hours</t>
        </is>
      </c>
      <c r="B43" s="23" t="n">
        <v>26</v>
      </c>
    </row>
    <row r="44">
      <c r="A44" t="inlineStr">
        <is>
          <t>Technician cost rate ($/hour, wages and all on-costs)</t>
        </is>
      </c>
      <c r="B44" s="22" t="n">
        <v>68</v>
      </c>
    </row>
    <row r="45">
      <c r="A45" t="inlineStr">
        <is>
          <t>Technician time</t>
        </is>
      </c>
      <c r="B45" s="22">
        <f>-B43*B44</f>
        <v/>
      </c>
    </row>
    <row r="46">
      <c r="A46" t="inlineStr">
        <is>
          <t>Job gross margin</t>
        </is>
      </c>
      <c r="B46" s="22">
        <f>B40+B41+B42+B45</f>
        <v/>
      </c>
    </row>
    <row r="47">
      <c r="A47" s="29" t="inlineStr">
        <is>
          <t>Job gross margin %</t>
        </is>
      </c>
      <c r="B47" s="30">
        <f>B46/B40</f>
        <v/>
      </c>
    </row>
    <row r="48"/>
    <row r="49"/>
    <row r="50">
      <c r="A50" s="28" t="inlineStr">
        <is>
          <t>Milton office LED lighting</t>
        </is>
      </c>
    </row>
    <row r="51">
      <c r="A51" s="10" t="inlineStr">
        <is>
          <t>Job gross margin ÷ revenue for this job (before overheads)</t>
        </is>
      </c>
    </row>
    <row r="52">
      <c r="A52" s="3" t="inlineStr"/>
      <c r="B52" s="4" t="inlineStr">
        <is>
          <t>This job</t>
        </is>
      </c>
    </row>
    <row r="53">
      <c r="A53" t="inlineStr">
        <is>
          <t>Revenue</t>
        </is>
      </c>
      <c r="B53" s="22" t="n">
        <v>20800</v>
      </c>
    </row>
    <row r="54">
      <c r="A54" t="inlineStr">
        <is>
          <t>Materials</t>
        </is>
      </c>
      <c r="B54" s="22" t="n">
        <v>-6900</v>
      </c>
    </row>
    <row r="55">
      <c r="A55" t="inlineStr">
        <is>
          <t>Subcontractors</t>
        </is>
      </c>
      <c r="B55" s="22" t="n">
        <v>0</v>
      </c>
    </row>
    <row r="56">
      <c r="A56" t="inlineStr">
        <is>
          <t>Technician hours</t>
        </is>
      </c>
      <c r="B56" s="23" t="n">
        <v>64</v>
      </c>
    </row>
    <row r="57">
      <c r="A57" t="inlineStr">
        <is>
          <t>Technician cost rate ($/hour, wages and all on-costs)</t>
        </is>
      </c>
      <c r="B57" s="22" t="n">
        <v>68</v>
      </c>
    </row>
    <row r="58">
      <c r="A58" t="inlineStr">
        <is>
          <t>Technician time</t>
        </is>
      </c>
      <c r="B58" s="22">
        <f>-B56*B57</f>
        <v/>
      </c>
    </row>
    <row r="59">
      <c r="A59" t="inlineStr">
        <is>
          <t>Job gross margin</t>
        </is>
      </c>
      <c r="B59" s="22">
        <f>B53+B54+B55+B58</f>
        <v/>
      </c>
    </row>
    <row r="60">
      <c r="A60" s="29" t="inlineStr">
        <is>
          <t>Job gross margin %</t>
        </is>
      </c>
      <c r="B60" s="30">
        <f>B59/B53</f>
        <v/>
      </c>
    </row>
    <row r="61"/>
    <row r="62"/>
    <row r="63">
      <c r="A63" s="28" t="inlineStr">
        <is>
          <t>Chermside clinic cabling</t>
        </is>
      </c>
    </row>
    <row r="64">
      <c r="A64" s="10" t="inlineStr">
        <is>
          <t>Job gross margin ÷ revenue for this job (before overheads)</t>
        </is>
      </c>
    </row>
    <row r="65">
      <c r="A65" s="3" t="inlineStr"/>
      <c r="B65" s="4" t="inlineStr">
        <is>
          <t>This job</t>
        </is>
      </c>
    </row>
    <row r="66">
      <c r="A66" t="inlineStr">
        <is>
          <t>Revenue</t>
        </is>
      </c>
      <c r="B66" s="22" t="n">
        <v>17000</v>
      </c>
    </row>
    <row r="67">
      <c r="A67" t="inlineStr">
        <is>
          <t>Materials</t>
        </is>
      </c>
      <c r="B67" s="22" t="n">
        <v>-4300</v>
      </c>
    </row>
    <row r="68">
      <c r="A68" t="inlineStr">
        <is>
          <t>Subcontractors</t>
        </is>
      </c>
      <c r="B68" s="22" t="n">
        <v>-1800</v>
      </c>
    </row>
    <row r="69">
      <c r="A69" t="inlineStr">
        <is>
          <t>Technician hours</t>
        </is>
      </c>
      <c r="B69" s="23" t="n">
        <v>52</v>
      </c>
    </row>
    <row r="70">
      <c r="A70" t="inlineStr">
        <is>
          <t>Technician cost rate ($/hour, wages and all on-costs)</t>
        </is>
      </c>
      <c r="B70" s="22" t="n">
        <v>68</v>
      </c>
    </row>
    <row r="71">
      <c r="A71" t="inlineStr">
        <is>
          <t>Technician time</t>
        </is>
      </c>
      <c r="B71" s="22">
        <f>-B69*B70</f>
        <v/>
      </c>
    </row>
    <row r="72">
      <c r="A72" t="inlineStr">
        <is>
          <t>Job gross margin</t>
        </is>
      </c>
      <c r="B72" s="22">
        <f>B66+B67+B68+B71</f>
        <v/>
      </c>
    </row>
    <row r="73">
      <c r="A73" s="29" t="inlineStr">
        <is>
          <t>Job gross margin %</t>
        </is>
      </c>
      <c r="B73" s="30">
        <f>B72/B66</f>
        <v/>
      </c>
    </row>
    <row r="74"/>
    <row r="75"/>
    <row r="76">
      <c r="A76" s="28" t="inlineStr">
        <is>
          <t>West End cafe air-con</t>
        </is>
      </c>
    </row>
    <row r="77">
      <c r="A77" s="10" t="inlineStr">
        <is>
          <t>Job gross margin ÷ revenue for this job (before overheads)</t>
        </is>
      </c>
    </row>
    <row r="78">
      <c r="A78" s="3" t="inlineStr"/>
      <c r="B78" s="4" t="inlineStr">
        <is>
          <t>This job</t>
        </is>
      </c>
    </row>
    <row r="79">
      <c r="A79" t="inlineStr">
        <is>
          <t>Revenue</t>
        </is>
      </c>
      <c r="B79" s="22" t="n">
        <v>14400</v>
      </c>
    </row>
    <row r="80">
      <c r="A80" t="inlineStr">
        <is>
          <t>Materials</t>
        </is>
      </c>
      <c r="B80" s="22" t="n">
        <v>-5100</v>
      </c>
    </row>
    <row r="81">
      <c r="A81" t="inlineStr">
        <is>
          <t>Subcontractors</t>
        </is>
      </c>
      <c r="B81" s="22" t="n">
        <v>-900</v>
      </c>
    </row>
    <row r="82">
      <c r="A82" t="inlineStr">
        <is>
          <t>Technician hours</t>
        </is>
      </c>
      <c r="B82" s="23" t="n">
        <v>38</v>
      </c>
    </row>
    <row r="83">
      <c r="A83" t="inlineStr">
        <is>
          <t>Technician cost rate ($/hour, wages and all on-costs)</t>
        </is>
      </c>
      <c r="B83" s="22" t="n">
        <v>68</v>
      </c>
    </row>
    <row r="84">
      <c r="A84" t="inlineStr">
        <is>
          <t>Technician time</t>
        </is>
      </c>
      <c r="B84" s="22">
        <f>-B82*B83</f>
        <v/>
      </c>
    </row>
    <row r="85">
      <c r="A85" t="inlineStr">
        <is>
          <t>Job gross margin</t>
        </is>
      </c>
      <c r="B85" s="22">
        <f>B79+B80+B81+B84</f>
        <v/>
      </c>
    </row>
    <row r="86">
      <c r="A86" s="29" t="inlineStr">
        <is>
          <t>Job gross margin %</t>
        </is>
      </c>
      <c r="B86" s="30">
        <f>B85/B79</f>
        <v/>
      </c>
    </row>
    <row r="87"/>
    <row r="88"/>
    <row r="89">
      <c r="A89" s="28" t="inlineStr">
        <is>
          <t>Carindale solar and battery</t>
        </is>
      </c>
    </row>
    <row r="90">
      <c r="A90" s="10" t="inlineStr">
        <is>
          <t>Job gross margin ÷ revenue for this job (before overheads)</t>
        </is>
      </c>
    </row>
    <row r="91">
      <c r="A91" s="3" t="inlineStr"/>
      <c r="B91" s="4" t="inlineStr">
        <is>
          <t>This job</t>
        </is>
      </c>
    </row>
    <row r="92">
      <c r="A92" t="inlineStr">
        <is>
          <t>Revenue</t>
        </is>
      </c>
      <c r="B92" s="22" t="n">
        <v>30700</v>
      </c>
    </row>
    <row r="93">
      <c r="A93" t="inlineStr">
        <is>
          <t>Materials</t>
        </is>
      </c>
      <c r="B93" s="22" t="n">
        <v>-13800</v>
      </c>
    </row>
    <row r="94">
      <c r="A94" t="inlineStr">
        <is>
          <t>Subcontractors</t>
        </is>
      </c>
      <c r="B94" s="22" t="n">
        <v>-3100</v>
      </c>
    </row>
    <row r="95">
      <c r="A95" t="inlineStr">
        <is>
          <t>Technician hours</t>
        </is>
      </c>
      <c r="B95" s="23" t="n">
        <v>46</v>
      </c>
    </row>
    <row r="96">
      <c r="A96" t="inlineStr">
        <is>
          <t>Technician cost rate ($/hour, wages and all on-costs)</t>
        </is>
      </c>
      <c r="B96" s="22" t="n">
        <v>68</v>
      </c>
    </row>
    <row r="97">
      <c r="A97" t="inlineStr">
        <is>
          <t>Technician time</t>
        </is>
      </c>
      <c r="B97" s="22">
        <f>-B95*B96</f>
        <v/>
      </c>
    </row>
    <row r="98">
      <c r="A98" t="inlineStr">
        <is>
          <t>Job gross margin</t>
        </is>
      </c>
      <c r="B98" s="22">
        <f>B92+B93+B94+B97</f>
        <v/>
      </c>
    </row>
    <row r="99">
      <c r="A99" s="29" t="inlineStr">
        <is>
          <t>Job gross margin %</t>
        </is>
      </c>
      <c r="B99" s="30">
        <f>B98/B92</f>
        <v/>
      </c>
    </row>
    <row r="100"/>
    <row r="101"/>
    <row r="102">
      <c r="A102" s="28" t="inlineStr">
        <is>
          <t>Wacol warehouse switchboard</t>
        </is>
      </c>
    </row>
    <row r="103">
      <c r="A103" s="10" t="inlineStr">
        <is>
          <t>Job gross margin ÷ revenue for this job (before overheads)</t>
        </is>
      </c>
    </row>
    <row r="104">
      <c r="A104" s="3" t="inlineStr"/>
      <c r="B104" s="4" t="inlineStr">
        <is>
          <t>This job</t>
        </is>
      </c>
    </row>
    <row r="105">
      <c r="A105" t="inlineStr">
        <is>
          <t>Revenue</t>
        </is>
      </c>
      <c r="B105" s="22" t="n">
        <v>52400</v>
      </c>
    </row>
    <row r="106">
      <c r="A106" t="inlineStr">
        <is>
          <t>Materials</t>
        </is>
      </c>
      <c r="B106" s="22" t="n">
        <v>-22900</v>
      </c>
    </row>
    <row r="107">
      <c r="A107" t="inlineStr">
        <is>
          <t>Subcontractors</t>
        </is>
      </c>
      <c r="B107" s="22" t="n">
        <v>-7400</v>
      </c>
    </row>
    <row r="108">
      <c r="A108" t="inlineStr">
        <is>
          <t>Technician hours</t>
        </is>
      </c>
      <c r="B108" s="23" t="n">
        <v>150</v>
      </c>
    </row>
    <row r="109">
      <c r="A109" t="inlineStr">
        <is>
          <t>Technician cost rate ($/hour, wages and all on-costs)</t>
        </is>
      </c>
      <c r="B109" s="22" t="n">
        <v>68</v>
      </c>
    </row>
    <row r="110">
      <c r="A110" t="inlineStr">
        <is>
          <t>Technician time</t>
        </is>
      </c>
      <c r="B110" s="22">
        <f>-B108*B109</f>
        <v/>
      </c>
    </row>
    <row r="111">
      <c r="A111" t="inlineStr">
        <is>
          <t>Job gross margin</t>
        </is>
      </c>
      <c r="B111" s="22">
        <f>B105+B106+B107+B110</f>
        <v/>
      </c>
    </row>
    <row r="112">
      <c r="A112" s="29" t="inlineStr">
        <is>
          <t>Job gross margin %</t>
        </is>
      </c>
      <c r="B112" s="30">
        <f>B111/B105</f>
        <v/>
      </c>
    </row>
    <row r="113"/>
    <row r="114"/>
    <row r="11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trades-sample-statements.xlsx&amp;C&amp;"Roboto,Regular"&amp;8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4" manualBreakCount="4">
    <brk id="24" min="0" max="16383" man="1"/>
    <brk id="49" min="0" max="16383" man="1"/>
    <brk id="75" min="0" max="16383" man="1"/>
    <brk id="101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5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90" customWidth="1" min="2" max="2"/>
  </cols>
  <sheetData>
    <row r="1">
      <c r="A1" s="1" t="inlineStr">
        <is>
          <t>Assumptions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/>
    <row r="5">
      <c r="A5" s="11" t="inlineStr">
        <is>
          <t>The business</t>
        </is>
      </c>
    </row>
    <row r="6">
      <c r="A6" s="32" t="inlineStr">
        <is>
          <t>What it is</t>
        </is>
      </c>
      <c r="B6" s="33" t="inlineStr">
        <is>
          <t>An electrical and air-conditioning contractor in Brisbane: maintenance contracts, installations and call-outs. 7 technicians, 3 office staff.</t>
        </is>
      </c>
    </row>
    <row r="7">
      <c r="A7" s="32" t="inlineStr">
        <is>
          <t>Reporting month</t>
        </is>
      </c>
      <c r="B7" s="33" t="inlineStr">
        <is>
          <t>September 2026 (the last closed month), compared with August 2026</t>
        </is>
      </c>
    </row>
    <row r="8">
      <c r="A8" s="32" t="inlineStr">
        <is>
          <t>Financial year</t>
        </is>
      </c>
      <c r="B8" s="33" t="inlineStr">
        <is>
          <t>FY2027: 1 July 2026 to 30 June 2027</t>
        </is>
      </c>
    </row>
    <row r="9"/>
    <row r="10">
      <c r="A10" s="11" t="inlineStr">
        <is>
          <t>Jobs (September)</t>
        </is>
      </c>
    </row>
    <row r="11">
      <c r="A11" s="32" t="inlineStr">
        <is>
          <t>Maintenance contracts</t>
        </is>
      </c>
      <c r="B11" s="33" t="inlineStr">
        <is>
          <t>14 customers, invoiced on the 1st, paid in about 30 days</t>
        </is>
      </c>
    </row>
    <row r="12">
      <c r="A12" s="32" t="inlineStr">
        <is>
          <t>Installations</t>
        </is>
      </c>
      <c r="B12" s="33" t="inlineStr">
        <is>
          <t>6 named jobs, each with its own quote, materials, subcontractors and hours</t>
        </is>
      </c>
    </row>
    <row r="13">
      <c r="A13" s="32" t="inlineStr">
        <is>
          <t>Call-outs</t>
        </is>
      </c>
      <c r="B13" s="33" t="inlineStr">
        <is>
          <t>64 jobs at $163/hour plus materials marked up 30%</t>
        </is>
      </c>
    </row>
    <row r="14">
      <c r="A14" s="32" t="inlineStr">
        <is>
          <t>Jobs in September</t>
        </is>
      </c>
      <c r="B14" s="33" t="inlineStr">
        <is>
          <t>84 in total (every one is in the spreadsheet download and CSV)</t>
        </is>
      </c>
    </row>
    <row r="15"/>
    <row r="16">
      <c r="A16" s="11" t="inlineStr">
        <is>
          <t>Costs</t>
        </is>
      </c>
    </row>
    <row r="17">
      <c r="A17" s="32" t="inlineStr">
        <is>
          <t>Technicians</t>
        </is>
      </c>
      <c r="B17" s="33" t="inlineStr">
        <is>
          <t>7 employed full time: $79,587 in September incl. on-costs (every available hour at $68)</t>
        </is>
      </c>
    </row>
    <row r="18">
      <c r="A18" s="32" t="inlineStr">
        <is>
          <t>Job costing rate</t>
        </is>
      </c>
      <c r="B18" s="33" t="inlineStr">
        <is>
          <t>$68/hour = technician wages incl. on-costs ÷ available hours, worked out each month; time charged to jobs + time not charged = technician wages</t>
        </is>
      </c>
    </row>
    <row r="19">
      <c r="A19" s="32" t="inlineStr">
        <is>
          <t>Working days</t>
        </is>
      </c>
      <c r="B19" s="33" t="inlineStr">
        <is>
          <t>20 in August (21 weekdays, less the Ekka People's Day holiday, Wed 12 Aug), 22 in September; 7.6 hours a day</t>
        </is>
      </c>
    </row>
    <row r="20">
      <c r="A20" s="32" t="inlineStr">
        <is>
          <t>Overheads</t>
        </is>
      </c>
      <c r="B20" s="33" t="inlineStr">
        <is>
          <t>set month by month, as shown in the P&amp;L</t>
        </is>
      </c>
    </row>
    <row r="21">
      <c r="A21" s="32" t="inlineStr">
        <is>
          <t>Income tax</t>
        </is>
      </c>
      <c r="B21" s="33" t="inlineStr">
        <is>
          <t>25% of profit, provided monthly; the PAYG instalment is paid with each quarter's BAS</t>
        </is>
      </c>
    </row>
    <row r="22"/>
    <row r="23">
      <c r="A23" s="11" t="inlineStr">
        <is>
          <t>Cash and balance sheet</t>
        </is>
      </c>
    </row>
    <row r="24">
      <c r="A24" s="32" t="inlineStr">
        <is>
          <t>Customer payments</t>
        </is>
      </c>
      <c r="B24" s="33" t="inlineStr">
        <is>
          <t>each invoice is paid on its own date; unpaid invoices at month end = debtors</t>
        </is>
      </c>
    </row>
    <row r="25">
      <c r="A25" s="32" t="inlineStr">
        <is>
          <t>Supplier bills</t>
        </is>
      </c>
      <c r="B25" s="33" t="inlineStr">
        <is>
          <t>materials and subcontractors are paid the following month</t>
        </is>
      </c>
    </row>
    <row r="26">
      <c r="A26" s="32" t="inlineStr">
        <is>
          <t>Equipment finance</t>
        </is>
      </c>
      <c r="B26" s="33" t="inlineStr">
        <is>
          <t>$5,000 repaid each month</t>
        </is>
      </c>
    </row>
    <row r="27">
      <c r="A27" s="32" t="inlineStr">
        <is>
          <t>New equipment</t>
        </is>
      </c>
      <c r="B27" s="33" t="inlineStr">
        <is>
          <t>a $12,000 trailer bought in September</t>
        </is>
      </c>
    </row>
    <row r="28"/>
    <row r="29">
      <c r="A29" s="11" t="inlineStr">
        <is>
          <t>GST, BAS and payroll</t>
        </is>
      </c>
    </row>
    <row r="30">
      <c r="A30" s="32" t="inlineStr">
        <is>
          <t>GST</t>
        </is>
      </c>
      <c r="B30" s="33" t="inlineStr">
        <is>
          <t>registered; 10%, accruals basis: GST on a sale is owed when it's invoiced, a credit on a bill is claimed when it's received. The P&amp;L excludes GST; invoices, bills, debtors, creditors and cash include it</t>
        </is>
      </c>
    </row>
    <row r="31">
      <c r="A31" s="32" t="inlineStr">
        <is>
          <t>BAS</t>
        </is>
      </c>
      <c r="B31" s="33" t="inlineStr">
        <is>
          <t>quarterly, self-lodged: GST on sales − GST credits + PAYG withheld + PAYG instalment. July to September is due 28 October; October to December, 28 February</t>
        </is>
      </c>
    </row>
    <row r="32">
      <c r="A32" s="32" t="inlineStr">
        <is>
          <t>Pay runs</t>
        </is>
      </c>
      <c r="B32" s="33" t="inlineStr">
        <is>
          <t>fortnightly on Thursdays: $39,795 gross (a 26th of the year's gross wages); net pay $31,836 and super $4,775 paid on the day; PAYG withheld (about 20% of gross, $7,959) goes with the BAS. Two months a year have three pay runs</t>
        </is>
      </c>
    </row>
    <row r="33">
      <c r="A33" s="32" t="inlineStr">
        <is>
          <t>Super</t>
        </is>
      </c>
      <c r="B33" s="33" t="inlineStr">
        <is>
          <t>12% of gross wages, paid with each pay run (Payday Super, from 1 July 2026)</t>
        </is>
      </c>
    </row>
    <row r="34">
      <c r="A34" s="32" t="inlineStr">
        <is>
          <t>Payroll tax</t>
        </is>
      </c>
      <c r="B34" s="33" t="inlineStr">
        <is>
          <t>none: Queensland's threshold is $1.3 million of wages a year (rate 4.75% above it); this business pays about $1,159,000 including super</t>
        </is>
      </c>
    </row>
    <row r="35">
      <c r="A35" s="32" t="inlineStr">
        <is>
          <t>Banking days</t>
        </is>
      </c>
      <c r="B35" s="33" t="inlineStr">
        <is>
          <t>money only moves on banking days: a payment due on a weekend or Queensland public holiday moves to the next banking day</t>
        </is>
      </c>
    </row>
    <row r="36"/>
    <row r="37">
      <c r="A37" s="11" t="inlineStr">
        <is>
          <t>Checks (all passed)</t>
        </is>
      </c>
    </row>
    <row r="38">
      <c r="A38" t="inlineStr">
        <is>
          <t>✓ Every subtotal and total adds up</t>
        </is>
      </c>
    </row>
    <row r="39">
      <c r="A39" t="inlineStr">
        <is>
          <t>✓ Balance sheet balances: assets = liabilities + equity</t>
        </is>
      </c>
    </row>
    <row r="40">
      <c r="A40" t="inlineStr">
        <is>
          <t>✓ Cash flow ends at the cash in the bank</t>
        </is>
      </c>
    </row>
    <row r="41">
      <c r="A41" t="inlineStr">
        <is>
          <t>✓ Profit ties to the movement in retained earnings</t>
        </is>
      </c>
    </row>
    <row r="42">
      <c r="A42" t="inlineStr">
        <is>
          <t>✓ Every job's revenue, materials and subcontractors add up to the P&amp;L</t>
        </is>
      </c>
    </row>
    <row r="43">
      <c r="A43" t="inlineStr">
        <is>
          <t>✓ Trade debtors equal the invoices still unpaid at month end</t>
        </is>
      </c>
    </row>
    <row r="44"/>
    <row r="45">
      <c r="A45" s="11" t="inlineStr">
        <is>
          <t>Print check (done before this file was saved)</t>
        </is>
      </c>
    </row>
    <row r="46">
      <c r="A46" t="inlineStr">
        <is>
          <t>✓ The fourth sheet: 1 page, 100% scale, no block split</t>
        </is>
      </c>
    </row>
    <row r="47">
      <c r="A47" t="inlineStr">
        <is>
          <t>✓ Profit and loss: 1 page, 100% scale, no block split</t>
        </is>
      </c>
    </row>
    <row r="48">
      <c r="A48" t="inlineStr">
        <is>
          <t>✓ Balance sheet: 1 page, 100% scale, no block split</t>
        </is>
      </c>
    </row>
    <row r="49">
      <c r="A49" t="inlineStr">
        <is>
          <t>✓ Cash flow: 1 page, 100% scale, no block split</t>
        </is>
      </c>
    </row>
    <row r="50">
      <c r="A50" t="inlineStr">
        <is>
          <t>✓ Jobs: 5 pages, 69% scale, no block split</t>
        </is>
      </c>
    </row>
    <row r="51">
      <c r="A51" t="inlineStr">
        <is>
          <t>✓ Workings: 5 pages, 100% scale, no block split</t>
        </is>
      </c>
    </row>
    <row r="52">
      <c r="A52" t="inlineStr">
        <is>
          <t>✓ Assumptions: 2 pages, 100% scale, no block split</t>
        </is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trades-sample-statements.xlsx&amp;C&amp;"Roboto,Regular"&amp;8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2026-10-22T06:57:31Z</dcterms:created>
  <dcterms:modified xmlns:dcterms="http://purl.org/dc/terms/" xmlns:xsi="http://www.w3.org/2001/XMLSchema-instance" xsi:type="dcterms:W3CDTF">2026-10-22T06:57:31Z</dcterms:modified>
</cp:coreProperties>
</file>