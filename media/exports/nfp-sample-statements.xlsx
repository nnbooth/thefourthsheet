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fourth sheet" sheetId="1" state="visible" r:id="rId1"/>
    <sheet xmlns:r="http://schemas.openxmlformats.org/officeDocument/2006/relationships" name="Income and expenditure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Grants" sheetId="5" state="visible" r:id="rId5"/>
    <sheet xmlns:r="http://schemas.openxmlformats.org/officeDocument/2006/relationships" name="Workings" sheetId="6" state="visible" r:id="rId6"/>
    <sheet xmlns:r="http://schemas.openxmlformats.org/officeDocument/2006/relationships" name="Assumptions" sheetId="7" state="visible" r:id="rId7"/>
  </sheets>
  <definedNames>
    <definedName name="Cost_to_raise_a_dollar">'The fourth sheet'!$B$6</definedName>
    <definedName name="Unrestricted_cash_runway">'The fourth sheet'!$B$7</definedName>
    <definedName name="Grants_ending_in_6_months">'The fourth sheet'!$B$8</definedName>
    <definedName name="_xlnm.Print_Titles" localSheetId="0">'The fourth sheet'!$5:$5</definedName>
    <definedName name="_xlnm.Print_Area" localSheetId="0">'The fourth sheet'!$A$1:$D$19</definedName>
    <definedName name="_xlnm.Print_Titles" localSheetId="1">'Income and expenditure'!$4:$4</definedName>
    <definedName name="_xlnm.Print_Area" localSheetId="1">'Income and expenditure'!$A$1:$D$35</definedName>
    <definedName name="_xlnm.Print_Titles" localSheetId="2">'Balance sheet'!$4:$4</definedName>
    <definedName name="_xlnm.Print_Area" localSheetId="2">'Balance sheet'!$A$1:$D$24</definedName>
    <definedName name="_xlnm.Print_Titles" localSheetId="3">'Cash flow'!$4:$4</definedName>
    <definedName name="_xlnm.Print_Area" localSheetId="3">'Cash flow'!$A$1:$D$19</definedName>
    <definedName name="_xlnm.Print_Titles" localSheetId="4">'Grants'!$6:$6</definedName>
    <definedName name="_xlnm.Print_Area" localSheetId="4">'Grants'!$A$1:$M$13</definedName>
    <definedName name="_xlnm.Print_Area" localSheetId="5">'Workings'!$A$1:$D$194</definedName>
    <definedName name="_xlnm.Print_Area" localSheetId="6">'Assumptions'!$A$1:$B$50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#,##0;[Red](#,##0);&quot;-&quot;"/>
    <numFmt numFmtId="165" formatCode="0&quot;¢&quot;;[Red](0&quot;¢&quot;)"/>
    <numFmt numFmtId="166" formatCode="0.0&quot; months&quot;;[Red](0.0&quot; months&quot;)"/>
    <numFmt numFmtId="167" formatCode="0.0%;[Red](0.0%);&quot;-&quot;"/>
    <numFmt numFmtId="168" formatCode="+0&quot;¢&quot;;(0&quot;¢&quot;);&quot;-&quot;"/>
    <numFmt numFmtId="169" formatCode="+0.0&quot; months&quot;;(0.0&quot; months&quot;);&quot;-&quot;"/>
    <numFmt numFmtId="170" formatCode="+#,##0;(#,##0);&quot;-&quot;"/>
    <numFmt numFmtId="171" formatCode="yyyy-mm-dd"/>
    <numFmt numFmtId="172" formatCode="d mmm yyyy"/>
  </numFmts>
  <fonts count="13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5342A"/>
    </font>
    <font>
      <name val="Roboto"/>
      <b val="1"/>
      <color rgb="002F7A5D"/>
    </font>
    <font>
      <name val="Roboto"/>
      <color rgb="005F6F63"/>
    </font>
    <font>
      <name val="Roboto"/>
      <b val="1"/>
      <i val="1"/>
      <color rgb="0025342A"/>
    </font>
    <font>
      <name val="Roboto"/>
      <b val="1"/>
      <i val="1"/>
      <color rgb="002F7A5D"/>
    </font>
  </fonts>
  <fills count="4">
    <fill>
      <patternFill/>
    </fill>
    <fill>
      <patternFill patternType="gray125"/>
    </fill>
    <fill>
      <patternFill patternType="solid">
        <fgColor rgb="002F7A5D"/>
      </patternFill>
    </fill>
    <fill>
      <patternFill patternType="solid">
        <fgColor rgb="00EAF6EE"/>
      </patternFill>
    </fill>
  </fills>
  <borders count="3">
    <border>
      <left/>
      <right/>
      <top/>
      <bottom/>
      <diagonal/>
    </border>
    <border>
      <top style="thin">
        <color rgb="00DCE8DC"/>
      </top>
    </border>
    <border>
      <top style="thin">
        <color rgb="00DCE8DC"/>
      </top>
      <bottom style="double">
        <color rgb="0025342A"/>
      </bottom>
    </border>
  </borders>
  <cellStyleXfs count="1">
    <xf numFmtId="0" fontId="1" fillId="0" borderId="0"/>
  </cellStyleXfs>
  <cellXfs count="3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168" fontId="0" fillId="0" borderId="0" pivotButton="0" quotePrefix="0" xfId="0"/>
    <xf numFmtId="166" fontId="0" fillId="0" borderId="0" pivotButton="0" quotePrefix="0" xfId="0"/>
    <xf numFmtId="169" fontId="0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167" fontId="0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indent="1"/>
    </xf>
    <xf numFmtId="170" fontId="5" fillId="0" borderId="0" pivotButton="0" quotePrefix="0" xfId="0"/>
    <xf numFmtId="0" fontId="8" fillId="0" borderId="1" pivotButton="0" quotePrefix="0" xfId="0"/>
    <xf numFmtId="164" fontId="8" fillId="0" borderId="1" pivotButton="0" quotePrefix="0" xfId="0"/>
    <xf numFmtId="170" fontId="11" fillId="0" borderId="1" pivotButton="0" quotePrefix="0" xfId="0"/>
    <xf numFmtId="0" fontId="9" fillId="3" borderId="2" pivotButton="0" quotePrefix="0" xfId="0"/>
    <xf numFmtId="164" fontId="9" fillId="3" borderId="2" pivotButton="0" quotePrefix="0" xfId="0"/>
    <xf numFmtId="170" fontId="12" fillId="3" borderId="2" pivotButton="0" quotePrefix="0" xfId="0"/>
    <xf numFmtId="49" fontId="0" fillId="0" borderId="0" pivotButton="0" quotePrefix="0" xfId="0"/>
    <xf numFmtId="164" fontId="0" fillId="0" borderId="0" applyAlignment="1" pivotButton="0" quotePrefix="0" xfId="0">
      <alignment horizontal="right"/>
    </xf>
    <xf numFmtId="172" fontId="0" fillId="0" borderId="0" applyAlignment="1" pivotButton="0" quotePrefix="0" xfId="0">
      <alignment horizontal="right"/>
    </xf>
    <xf numFmtId="167" fontId="0" fillId="0" borderId="0" applyAlignment="1" pivotButton="0" quotePrefix="0" xfId="0">
      <alignment horizontal="right"/>
    </xf>
    <xf numFmtId="0" fontId="7" fillId="0" borderId="0" pivotButton="0" quotePrefix="0" xfId="0"/>
    <xf numFmtId="164" fontId="7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1" pivotButton="0" quotePrefix="0" xfId="0"/>
    <xf numFmtId="165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4" fontId="7" fillId="0" borderId="0" pivotButton="0" quotePrefix="0" xfId="0"/>
    <xf numFmtId="167" fontId="7" fillId="0" borderId="0" pivotButton="0" quotePrefix="0" xfId="0"/>
    <xf numFmtId="0" fontId="0" fillId="0" borderId="0" applyAlignment="1" pivotButton="0" quotePrefix="0" xfId="0">
      <alignment vertical="top" inden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name val="Roboto"/>
        <b val="1"/>
        <color rgb="00B42318"/>
      </font>
    </dxf>
    <dxf>
      <font>
        <name val="Roboto"/>
        <b val="1"/>
        <color rgb="002F7A5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Each grant: over or under budget to 30 September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% of budget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B42318"/>
              </a:solidFill>
              <a:ln xmlns:a="http://schemas.openxmlformats.org/drawingml/2006/main">
                <a:solidFill>
                  <a:srgbClr val="B42318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A6D3B"/>
              </a:solidFill>
              <a:ln xmlns:a="http://schemas.openxmlformats.org/drawingml/2006/main">
                <a:solidFill>
                  <a:srgbClr val="8A6D3B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'The fourth sheet'!$A$14:$A$19</f>
            </numRef>
          </cat>
          <val>
            <numRef>
              <f>'The fourth sheet'!$B$14:$B$19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Spent against budget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Spent against budget to date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'Grants'!$A$7:$A$12</f>
            </numRef>
          </cat>
          <val>
            <numRef>
              <f>'Grants'!$K$7:$K$12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11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5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ants" displayName="Grants" ref="A6:M12" headerRowCount="1">
  <autoFilter ref="A6:M12"/>
  <tableColumns count="13">
    <tableColumn id="1" name="Program"/>
    <tableColumn id="2" name="Funder"/>
    <tableColumn id="3" name="Grant total"/>
    <tableColumn id="4" name="Start"/>
    <tableColumn id="5" name="End"/>
    <tableColumn id="6" name="Received to date"/>
    <tableColumn id="7" name="Spent to date"/>
    <tableColumn id="8" name="Spent Aug"/>
    <tableColumn id="9" name="Spent Sep"/>
    <tableColumn id="10" name="Budget to date"/>
    <tableColumn id="11" name="Spent against budget"/>
    <tableColumn id="12" name="Still to spend"/>
    <tableColumn id="13" name="Months lef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The fourth sheet: September 2026 against August 2026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3" t="inlineStr">
        <is>
          <t>Headline number</t>
        </is>
      </c>
      <c r="B5" s="4" t="inlineStr">
        <is>
          <t>Sep 2026</t>
        </is>
      </c>
      <c r="C5" s="4" t="inlineStr">
        <is>
          <t>Aug 2026</t>
        </is>
      </c>
      <c r="D5" s="4" t="inlineStr">
        <is>
          <t>Change</t>
        </is>
      </c>
    </row>
    <row r="6">
      <c r="A6" t="inlineStr">
        <is>
          <t>Cost to raise a dollar</t>
        </is>
      </c>
      <c r="B6" s="5">
        <f>Workings!B16</f>
        <v/>
      </c>
      <c r="C6" s="5">
        <f>Workings!C16</f>
        <v/>
      </c>
      <c r="D6" s="6">
        <f>B6-C6</f>
        <v/>
      </c>
    </row>
    <row r="7">
      <c r="A7" t="inlineStr">
        <is>
          <t>Unrestricted cash runway</t>
        </is>
      </c>
      <c r="B7" s="7">
        <f>Workings!B28</f>
        <v/>
      </c>
      <c r="C7" s="7">
        <f>Workings!C28</f>
        <v/>
      </c>
      <c r="D7" s="8">
        <f>B7-C7</f>
        <v/>
      </c>
    </row>
    <row r="8">
      <c r="A8" t="inlineStr">
        <is>
          <t>Grants ending in 6 months</t>
        </is>
      </c>
      <c r="B8" s="9">
        <f>Workings!B39</f>
        <v/>
      </c>
    </row>
    <row r="9"/>
    <row r="10"/>
    <row r="11">
      <c r="A11" s="10" t="inlineStr">
        <is>
          <t>Each grant: over or under budget to 30 September 2026</t>
        </is>
      </c>
    </row>
    <row r="12">
      <c r="A12" s="2" t="inlineStr">
        <is>
          <t>Spending to date against budget to date (the grant spread evenly over its months). Over budget in red, under budget in green; within 1% in amber.</t>
        </is>
      </c>
    </row>
    <row r="13">
      <c r="A13" s="3" t="inlineStr"/>
      <c r="B13" s="4" t="inlineStr">
        <is>
          <t>% of budget</t>
        </is>
      </c>
      <c r="C13" s="4" t="inlineStr">
        <is>
          <t>$</t>
        </is>
      </c>
    </row>
    <row r="14">
      <c r="A14" t="inlineStr">
        <is>
          <t>Youth outreach</t>
        </is>
      </c>
      <c r="B14" s="11">
        <f>Workings!B53</f>
        <v/>
      </c>
      <c r="C14" s="9">
        <f>Workings!B52</f>
        <v/>
      </c>
    </row>
    <row r="15">
      <c r="A15" t="inlineStr">
        <is>
          <t>Housing support</t>
        </is>
      </c>
      <c r="B15" s="11">
        <f>Workings!B85</f>
        <v/>
      </c>
      <c r="C15" s="9">
        <f>Workings!B84</f>
        <v/>
      </c>
    </row>
    <row r="16">
      <c r="A16" t="inlineStr">
        <is>
          <t>Mental health first aid</t>
        </is>
      </c>
      <c r="B16" s="11">
        <f>Workings!B111</f>
        <v/>
      </c>
      <c r="C16" s="9">
        <f>Workings!B110</f>
        <v/>
      </c>
    </row>
    <row r="17">
      <c r="A17" t="inlineStr">
        <is>
          <t>Digital literacy</t>
        </is>
      </c>
      <c r="B17" s="11">
        <f>Workings!B134</f>
        <v/>
      </c>
      <c r="C17" s="9">
        <f>Workings!B133</f>
        <v/>
      </c>
    </row>
    <row r="18">
      <c r="A18" t="inlineStr">
        <is>
          <t>Community meals</t>
        </is>
      </c>
      <c r="B18" s="11">
        <f>Workings!B163</f>
        <v/>
      </c>
      <c r="C18" s="9">
        <f>Workings!B162</f>
        <v/>
      </c>
    </row>
    <row r="19">
      <c r="A19" t="inlineStr">
        <is>
          <t>Volunteer coordinator</t>
        </is>
      </c>
      <c r="B19" s="11">
        <f>Workings!B183</f>
        <v/>
      </c>
      <c r="C19" s="9">
        <f>Workings!B182</f>
        <v/>
      </c>
    </row>
  </sheetData>
  <conditionalFormatting sqref="D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7">
    <cfRule type="cellIs" priority="3" operator="greaterThan" dxfId="1">
      <formula>0</formula>
    </cfRule>
    <cfRule type="cellIs" priority="4" operator="lessThan" dxfId="0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nfp-sample-statements.xlsx&amp;C&amp;"Roboto,Regular"&amp;8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Income and expenditure, September 2026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2" t="inlineStr">
        <is>
          <t>Income</t>
        </is>
      </c>
    </row>
    <row r="6">
      <c r="A6" s="13" t="inlineStr">
        <is>
          <t>Youth outreach grant</t>
        </is>
      </c>
      <c r="B6" s="9" t="n">
        <v>22800</v>
      </c>
      <c r="C6" s="9" t="n">
        <v>21500</v>
      </c>
      <c r="D6" s="14">
        <f>B6-C6</f>
        <v/>
      </c>
    </row>
    <row r="7">
      <c r="A7" s="13" t="inlineStr">
        <is>
          <t>Housing support grant</t>
        </is>
      </c>
      <c r="B7" s="9" t="n">
        <v>31200</v>
      </c>
      <c r="C7" s="9" t="n">
        <v>30500</v>
      </c>
      <c r="D7" s="14">
        <f>B7-C7</f>
        <v/>
      </c>
    </row>
    <row r="8">
      <c r="A8" s="13" t="inlineStr">
        <is>
          <t>Community meals grant</t>
        </is>
      </c>
      <c r="B8" s="9" t="n">
        <v>4300</v>
      </c>
      <c r="C8" s="9" t="n">
        <v>4100</v>
      </c>
      <c r="D8" s="14">
        <f>B8-C8</f>
        <v/>
      </c>
    </row>
    <row r="9">
      <c r="A9" s="13" t="inlineStr">
        <is>
          <t>Digital literacy grant</t>
        </is>
      </c>
      <c r="B9" s="9" t="n">
        <v>4900</v>
      </c>
      <c r="C9" s="9" t="n">
        <v>5200</v>
      </c>
      <c r="D9" s="14">
        <f>B9-C9</f>
        <v/>
      </c>
    </row>
    <row r="10">
      <c r="A10" s="13" t="inlineStr">
        <is>
          <t>Mental health first aid grant</t>
        </is>
      </c>
      <c r="B10" s="9" t="n">
        <v>10800</v>
      </c>
      <c r="C10" s="9" t="n">
        <v>9400</v>
      </c>
      <c r="D10" s="14">
        <f>B10-C10</f>
        <v/>
      </c>
    </row>
    <row r="11">
      <c r="A11" s="13" t="inlineStr">
        <is>
          <t>Volunteer coordinator grant</t>
        </is>
      </c>
      <c r="B11" s="9" t="n">
        <v>3000</v>
      </c>
      <c r="C11" s="9" t="n">
        <v>3000</v>
      </c>
      <c r="D11" s="14">
        <f>B11-C11</f>
        <v/>
      </c>
    </row>
    <row r="12">
      <c r="A12" s="13" t="inlineStr">
        <is>
          <t>Donations</t>
        </is>
      </c>
      <c r="B12" s="9" t="n">
        <v>27900</v>
      </c>
      <c r="C12" s="9" t="n">
        <v>18400</v>
      </c>
      <c r="D12" s="14">
        <f>B12-C12</f>
        <v/>
      </c>
    </row>
    <row r="13">
      <c r="A13" s="13" t="inlineStr">
        <is>
          <t>Fundraising events</t>
        </is>
      </c>
      <c r="B13" s="9" t="n">
        <v>41600</v>
      </c>
      <c r="C13" s="9" t="n">
        <v>0</v>
      </c>
      <c r="D13" s="14">
        <f>B13-C13</f>
        <v/>
      </c>
    </row>
    <row r="14">
      <c r="A14" s="13" t="inlineStr">
        <is>
          <t>Program fees</t>
        </is>
      </c>
      <c r="B14" s="9" t="n">
        <v>28300</v>
      </c>
      <c r="C14" s="9" t="n">
        <v>26800</v>
      </c>
      <c r="D14" s="14">
        <f>B14-C14</f>
        <v/>
      </c>
    </row>
    <row r="15">
      <c r="A15" s="13" t="inlineStr">
        <is>
          <t>Interest</t>
        </is>
      </c>
      <c r="B15" s="9" t="n">
        <v>1380</v>
      </c>
      <c r="C15" s="9" t="n">
        <v>1450</v>
      </c>
      <c r="D15" s="14">
        <f>B15-C15</f>
        <v/>
      </c>
    </row>
    <row r="16">
      <c r="A16" s="15" t="inlineStr">
        <is>
          <t>Total income</t>
        </is>
      </c>
      <c r="B16" s="16">
        <f>SUM(B6:B15)</f>
        <v/>
      </c>
      <c r="C16" s="16">
        <f>SUM(C6:C15)</f>
        <v/>
      </c>
      <c r="D16" s="17">
        <f>B16-C16</f>
        <v/>
      </c>
    </row>
    <row r="17">
      <c r="A17" s="12" t="inlineStr">
        <is>
          <t>Programs</t>
        </is>
      </c>
    </row>
    <row r="18">
      <c r="A18" s="13" t="inlineStr">
        <is>
          <t>Grant-funded program wages</t>
        </is>
      </c>
      <c r="B18" s="9" t="n">
        <v>-57750</v>
      </c>
      <c r="C18" s="9" t="n">
        <v>-55275</v>
      </c>
      <c r="D18" s="14">
        <f>B18-C18</f>
        <v/>
      </c>
    </row>
    <row r="19">
      <c r="A19" s="13" t="inlineStr">
        <is>
          <t>Grant-funded program costs</t>
        </is>
      </c>
      <c r="B19" s="9" t="n">
        <v>-19250</v>
      </c>
      <c r="C19" s="9" t="n">
        <v>-18425</v>
      </c>
      <c r="D19" s="14">
        <f>B19-C19</f>
        <v/>
      </c>
    </row>
    <row r="20">
      <c r="A20" s="13" t="inlineStr">
        <is>
          <t>Program delivery wages (untied)</t>
        </is>
      </c>
      <c r="B20" s="9" t="n">
        <v>-14500</v>
      </c>
      <c r="C20" s="9" t="n">
        <v>-14000</v>
      </c>
      <c r="D20" s="14">
        <f>B20-C20</f>
        <v/>
      </c>
    </row>
    <row r="21">
      <c r="A21" s="13" t="inlineStr">
        <is>
          <t>Program costs (untied)</t>
        </is>
      </c>
      <c r="B21" s="9" t="n">
        <v>-6100</v>
      </c>
      <c r="C21" s="9" t="n">
        <v>-5500</v>
      </c>
      <c r="D21" s="14">
        <f>B21-C21</f>
        <v/>
      </c>
    </row>
    <row r="22">
      <c r="A22" s="15" t="inlineStr">
        <is>
          <t>Total program spend</t>
        </is>
      </c>
      <c r="B22" s="16">
        <f>SUM(B18:B21)</f>
        <v/>
      </c>
      <c r="C22" s="16">
        <f>SUM(C18:C21)</f>
        <v/>
      </c>
      <c r="D22" s="17">
        <f>B22-C22</f>
        <v/>
      </c>
    </row>
    <row r="23">
      <c r="A23" s="12" t="inlineStr">
        <is>
          <t>Fundraising</t>
        </is>
      </c>
    </row>
    <row r="24">
      <c r="A24" s="13" t="inlineStr">
        <is>
          <t>Grant writing and reporting</t>
        </is>
      </c>
      <c r="B24" s="9" t="n">
        <v>-7100</v>
      </c>
      <c r="C24" s="9" t="n">
        <v>-7100</v>
      </c>
      <c r="D24" s="14">
        <f>B24-C24</f>
        <v/>
      </c>
    </row>
    <row r="25">
      <c r="A25" s="13" t="inlineStr">
        <is>
          <t>Donor campaigns</t>
        </is>
      </c>
      <c r="B25" s="9" t="n">
        <v>-5400</v>
      </c>
      <c r="C25" s="9" t="n">
        <v>-2200</v>
      </c>
      <c r="D25" s="14">
        <f>B25-C25</f>
        <v/>
      </c>
    </row>
    <row r="26">
      <c r="A26" s="13" t="inlineStr">
        <is>
          <t>Event costs</t>
        </is>
      </c>
      <c r="B26" s="9" t="n">
        <v>-16900</v>
      </c>
      <c r="C26" s="9" t="n">
        <v>-2400</v>
      </c>
      <c r="D26" s="14">
        <f>B26-C26</f>
        <v/>
      </c>
    </row>
    <row r="27">
      <c r="A27" s="15" t="inlineStr">
        <is>
          <t>Total fundraising costs</t>
        </is>
      </c>
      <c r="B27" s="16">
        <f>SUM(B24:B26)</f>
        <v/>
      </c>
      <c r="C27" s="16">
        <f>SUM(C24:C26)</f>
        <v/>
      </c>
      <c r="D27" s="17">
        <f>B27-C27</f>
        <v/>
      </c>
    </row>
    <row r="28">
      <c r="A28" s="12" t="inlineStr">
        <is>
          <t>Administration</t>
        </is>
      </c>
    </row>
    <row r="29">
      <c r="A29" s="13" t="inlineStr">
        <is>
          <t>Administration wages</t>
        </is>
      </c>
      <c r="B29" s="9" t="n">
        <v>-18300</v>
      </c>
      <c r="C29" s="9" t="n">
        <v>-18300</v>
      </c>
      <c r="D29" s="14">
        <f>B29-C29</f>
        <v/>
      </c>
    </row>
    <row r="30">
      <c r="A30" s="13" t="inlineStr">
        <is>
          <t>Occupancy</t>
        </is>
      </c>
      <c r="B30" s="9" t="n">
        <v>-10000</v>
      </c>
      <c r="C30" s="9" t="n">
        <v>-10000</v>
      </c>
      <c r="D30" s="14">
        <f>B30-C30</f>
        <v/>
      </c>
    </row>
    <row r="31">
      <c r="A31" s="13" t="inlineStr">
        <is>
          <t>Other administration</t>
        </is>
      </c>
      <c r="B31" s="9" t="n">
        <v>-7600</v>
      </c>
      <c r="C31" s="9" t="n">
        <v>-8000</v>
      </c>
      <c r="D31" s="14">
        <f>B31-C31</f>
        <v/>
      </c>
    </row>
    <row r="32">
      <c r="A32" s="15" t="inlineStr">
        <is>
          <t>Total administration</t>
        </is>
      </c>
      <c r="B32" s="16">
        <f>SUM(B29:B31)</f>
        <v/>
      </c>
      <c r="C32" s="16">
        <f>SUM(C29:C31)</f>
        <v/>
      </c>
      <c r="D32" s="17">
        <f>B32-C32</f>
        <v/>
      </c>
    </row>
    <row r="33">
      <c r="A33" s="15" t="inlineStr">
        <is>
          <t>Depreciation</t>
        </is>
      </c>
      <c r="B33" s="16" t="n">
        <v>-2900</v>
      </c>
      <c r="C33" s="16" t="n">
        <v>-2900</v>
      </c>
      <c r="D33" s="17">
        <f>B33-C33</f>
        <v/>
      </c>
    </row>
    <row r="34">
      <c r="A34" s="15" t="inlineStr">
        <is>
          <t>Total expenses</t>
        </is>
      </c>
      <c r="B34" s="16">
        <f>B22+B27+B32+B33</f>
        <v/>
      </c>
      <c r="C34" s="16">
        <f>C22+C27+C32+C33</f>
        <v/>
      </c>
      <c r="D34" s="17">
        <f>B34-C34</f>
        <v/>
      </c>
    </row>
    <row r="35">
      <c r="A35" s="18" t="inlineStr">
        <is>
          <t>Surplus for the month</t>
        </is>
      </c>
      <c r="B35" s="19">
        <f>B16+B34</f>
        <v/>
      </c>
      <c r="C35" s="19">
        <f>C16+C34</f>
        <v/>
      </c>
      <c r="D35" s="20">
        <f>B35-C35</f>
        <v/>
      </c>
    </row>
  </sheetData>
  <conditionalFormatting sqref="D6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D7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D8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D9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D10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D11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D12"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D13">
    <cfRule type="cellIs" priority="15" operator="greaterThan" dxfId="1">
      <formula>0</formula>
    </cfRule>
    <cfRule type="cellIs" priority="16" operator="lessThan" dxfId="0">
      <formula>0</formula>
    </cfRule>
  </conditionalFormatting>
  <conditionalFormatting sqref="D14">
    <cfRule type="cellIs" priority="17" operator="greaterThan" dxfId="1">
      <formula>0</formula>
    </cfRule>
    <cfRule type="cellIs" priority="18" operator="lessThan" dxfId="0">
      <formula>0</formula>
    </cfRule>
  </conditionalFormatting>
  <conditionalFormatting sqref="D15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D16">
    <cfRule type="cellIs" priority="21" operator="greaterThan" dxfId="1">
      <formula>0</formula>
    </cfRule>
    <cfRule type="cellIs" priority="22" operator="lessThan" dxfId="0">
      <formula>0</formula>
    </cfRule>
  </conditionalFormatting>
  <conditionalFormatting sqref="D18">
    <cfRule type="cellIs" priority="23" operator="greaterThan" dxfId="1">
      <formula>0</formula>
    </cfRule>
    <cfRule type="cellIs" priority="24" operator="lessThan" dxfId="0">
      <formula>0</formula>
    </cfRule>
  </conditionalFormatting>
  <conditionalFormatting sqref="D19">
    <cfRule type="cellIs" priority="25" operator="greaterThan" dxfId="1">
      <formula>0</formula>
    </cfRule>
    <cfRule type="cellIs" priority="26" operator="lessThan" dxfId="0">
      <formula>0</formula>
    </cfRule>
  </conditionalFormatting>
  <conditionalFormatting sqref="D20">
    <cfRule type="cellIs" priority="27" operator="greaterThan" dxfId="1">
      <formula>0</formula>
    </cfRule>
    <cfRule type="cellIs" priority="28" operator="lessThan" dxfId="0">
      <formula>0</formula>
    </cfRule>
  </conditionalFormatting>
  <conditionalFormatting sqref="D21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D22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D24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D25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D26">
    <cfRule type="cellIs" priority="37" operator="greaterThan" dxfId="1">
      <formula>0</formula>
    </cfRule>
    <cfRule type="cellIs" priority="38" operator="lessThan" dxfId="0">
      <formula>0</formula>
    </cfRule>
  </conditionalFormatting>
  <conditionalFormatting sqref="D27">
    <cfRule type="cellIs" priority="39" operator="greaterThan" dxfId="1">
      <formula>0</formula>
    </cfRule>
    <cfRule type="cellIs" priority="40" operator="lessThan" dxfId="0">
      <formula>0</formula>
    </cfRule>
  </conditionalFormatting>
  <conditionalFormatting sqref="D29">
    <cfRule type="cellIs" priority="41" operator="greaterThan" dxfId="1">
      <formula>0</formula>
    </cfRule>
    <cfRule type="cellIs" priority="42" operator="lessThan" dxfId="0">
      <formula>0</formula>
    </cfRule>
  </conditionalFormatting>
  <conditionalFormatting sqref="D30">
    <cfRule type="cellIs" priority="43" operator="greaterThan" dxfId="1">
      <formula>0</formula>
    </cfRule>
    <cfRule type="cellIs" priority="44" operator="lessThan" dxfId="0">
      <formula>0</formula>
    </cfRule>
  </conditionalFormatting>
  <conditionalFormatting sqref="D31">
    <cfRule type="cellIs" priority="45" operator="greaterThan" dxfId="1">
      <formula>0</formula>
    </cfRule>
    <cfRule type="cellIs" priority="46" operator="lessThan" dxfId="0">
      <formula>0</formula>
    </cfRule>
  </conditionalFormatting>
  <conditionalFormatting sqref="D32">
    <cfRule type="cellIs" priority="47" operator="greaterThan" dxfId="1">
      <formula>0</formula>
    </cfRule>
    <cfRule type="cellIs" priority="48" operator="lessThan" dxfId="0">
      <formula>0</formula>
    </cfRule>
  </conditionalFormatting>
  <conditionalFormatting sqref="D33">
    <cfRule type="cellIs" priority="49" operator="greaterThan" dxfId="1">
      <formula>0</formula>
    </cfRule>
    <cfRule type="cellIs" priority="50" operator="lessThan" dxfId="0">
      <formula>0</formula>
    </cfRule>
  </conditionalFormatting>
  <conditionalFormatting sqref="D34">
    <cfRule type="cellIs" priority="51" operator="greaterThan" dxfId="1">
      <formula>0</formula>
    </cfRule>
    <cfRule type="cellIs" priority="52" operator="lessThan" dxfId="0">
      <formula>0</formula>
    </cfRule>
  </conditionalFormatting>
  <conditionalFormatting sqref="D35">
    <cfRule type="cellIs" priority="53" operator="greaterThan" dxfId="1">
      <formula>0</formula>
    </cfRule>
    <cfRule type="cellIs" priority="54" operator="lessThan" dxfId="0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nfp-sample-statements.xlsx&amp;C&amp;"Roboto,Regular"&amp;8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7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Balance sheet at 30 September 2026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2" t="inlineStr">
        <is>
          <t>Current assets</t>
        </is>
      </c>
    </row>
    <row r="6">
      <c r="A6" s="13" t="inlineStr">
        <is>
          <t>Cash at bank</t>
        </is>
      </c>
      <c r="B6" s="9" t="n">
        <v>527060</v>
      </c>
      <c r="C6" s="9" t="n">
        <v>547394</v>
      </c>
      <c r="D6" s="14">
        <f>B6-C6</f>
        <v/>
      </c>
    </row>
    <row r="7">
      <c r="A7" s="13" t="inlineStr">
        <is>
          <t>Program fees receivable</t>
        </is>
      </c>
      <c r="B7" s="9" t="n">
        <v>11440</v>
      </c>
      <c r="C7" s="9" t="n">
        <v>10780</v>
      </c>
      <c r="D7" s="14">
        <f>B7-C7</f>
        <v/>
      </c>
    </row>
    <row r="8">
      <c r="A8" s="13" t="inlineStr">
        <is>
          <t>Grants receivable (spent ahead of instalment)</t>
        </is>
      </c>
      <c r="B8" s="9" t="n">
        <v>20900</v>
      </c>
      <c r="C8" s="9" t="n">
        <v>9700</v>
      </c>
      <c r="D8" s="14">
        <f>B8-C8</f>
        <v/>
      </c>
    </row>
    <row r="9">
      <c r="A9" s="13" t="inlineStr">
        <is>
          <t>Prepayments</t>
        </is>
      </c>
      <c r="B9" s="9" t="n">
        <v>21000</v>
      </c>
      <c r="C9" s="9" t="n">
        <v>21000</v>
      </c>
      <c r="D9" s="14">
        <f>B9-C9</f>
        <v/>
      </c>
    </row>
    <row r="10">
      <c r="A10" s="15" t="inlineStr">
        <is>
          <t>Total current assets</t>
        </is>
      </c>
      <c r="B10" s="16">
        <f>SUM(B6:B9)</f>
        <v/>
      </c>
      <c r="C10" s="16">
        <f>SUM(C6:C9)</f>
        <v/>
      </c>
      <c r="D10" s="17">
        <f>B10-C10</f>
        <v/>
      </c>
    </row>
    <row r="11">
      <c r="A11" s="15" t="inlineStr">
        <is>
          <t>Vehicles and equipment</t>
        </is>
      </c>
      <c r="B11" s="16" t="n">
        <v>172200</v>
      </c>
      <c r="C11" s="16" t="n">
        <v>175100</v>
      </c>
      <c r="D11" s="17">
        <f>B11-C11</f>
        <v/>
      </c>
    </row>
    <row r="12">
      <c r="A12" s="15" t="inlineStr">
        <is>
          <t>Total assets</t>
        </is>
      </c>
      <c r="B12" s="16">
        <f>B10+B11</f>
        <v/>
      </c>
      <c r="C12" s="16">
        <f>C10+C11</f>
        <v/>
      </c>
      <c r="D12" s="17">
        <f>B12-C12</f>
        <v/>
      </c>
    </row>
    <row r="13">
      <c r="A13" s="12" t="inlineStr">
        <is>
          <t>Current liabilities</t>
        </is>
      </c>
    </row>
    <row r="14">
      <c r="A14" s="13" t="inlineStr">
        <is>
          <t>Payables (bills due next month)</t>
        </is>
      </c>
      <c r="B14" s="9" t="n">
        <v>71775</v>
      </c>
      <c r="C14" s="9" t="n">
        <v>51178</v>
      </c>
      <c r="D14" s="14">
        <f>B14-C14</f>
        <v/>
      </c>
    </row>
    <row r="15">
      <c r="A15" s="13" t="inlineStr">
        <is>
          <t>Wages owed (since the last pay run)</t>
        </is>
      </c>
      <c r="B15" s="9" t="n">
        <v>36677</v>
      </c>
      <c r="C15" s="9" t="n">
        <v>28711</v>
      </c>
      <c r="D15" s="14">
        <f>B15-C15</f>
        <v/>
      </c>
    </row>
    <row r="16">
      <c r="A16" s="13" t="inlineStr">
        <is>
          <t>Super payable</t>
        </is>
      </c>
      <c r="B16" s="9" t="n">
        <v>4400</v>
      </c>
      <c r="C16" s="9" t="n">
        <v>3444</v>
      </c>
      <c r="D16" s="14">
        <f>B16-C16</f>
        <v/>
      </c>
    </row>
    <row r="17">
      <c r="A17" s="13" t="inlineStr">
        <is>
          <t>PAYG withholding payable</t>
        </is>
      </c>
      <c r="B17" s="9" t="n">
        <v>40086</v>
      </c>
      <c r="C17" s="9" t="n">
        <v>26724</v>
      </c>
      <c r="D17" s="14">
        <f>B17-C17</f>
        <v/>
      </c>
    </row>
    <row r="18">
      <c r="A18" s="13" t="inlineStr">
        <is>
          <t>GST payable (net)</t>
        </is>
      </c>
      <c r="B18" s="9" t="n">
        <v>25437</v>
      </c>
      <c r="C18" s="9" t="n">
        <v>24972</v>
      </c>
      <c r="D18" s="14">
        <f>B18-C18</f>
        <v/>
      </c>
    </row>
    <row r="19">
      <c r="A19" s="13" t="inlineStr">
        <is>
          <t>Grants received in advance (unspent)</t>
        </is>
      </c>
      <c r="B19" s="9" t="n">
        <v>156100</v>
      </c>
      <c r="C19" s="9" t="n">
        <v>221900</v>
      </c>
      <c r="D19" s="14">
        <f>B19-C19</f>
        <v/>
      </c>
    </row>
    <row r="20">
      <c r="A20" s="13" t="inlineStr">
        <is>
          <t>Employee leave provisions</t>
        </is>
      </c>
      <c r="B20" s="9" t="n">
        <v>166600</v>
      </c>
      <c r="C20" s="9" t="n">
        <v>165900</v>
      </c>
      <c r="D20" s="14">
        <f>B20-C20</f>
        <v/>
      </c>
    </row>
    <row r="21">
      <c r="A21" s="15" t="inlineStr">
        <is>
          <t>Total liabilities</t>
        </is>
      </c>
      <c r="B21" s="16">
        <f>SUM(B14:B20)</f>
        <v/>
      </c>
      <c r="C21" s="16">
        <f>SUM(C14:C20)</f>
        <v/>
      </c>
      <c r="D21" s="17">
        <f>B21-C21</f>
        <v/>
      </c>
    </row>
    <row r="22">
      <c r="A22" s="18" t="inlineStr">
        <is>
          <t>Net assets</t>
        </is>
      </c>
      <c r="B22" s="19">
        <f>B12-B21</f>
        <v/>
      </c>
      <c r="C22" s="19">
        <f>C12-C21</f>
        <v/>
      </c>
      <c r="D22" s="20">
        <f>B22-C22</f>
        <v/>
      </c>
    </row>
    <row r="23">
      <c r="A23" s="12" t="inlineStr">
        <is>
          <t>Equity</t>
        </is>
      </c>
    </row>
    <row r="24">
      <c r="A24" s="18" t="inlineStr">
        <is>
          <t>Accumulated funds</t>
        </is>
      </c>
      <c r="B24" s="19" t="n">
        <v>251525</v>
      </c>
      <c r="C24" s="19" t="n">
        <v>241145</v>
      </c>
      <c r="D24" s="20">
        <f>B24-C24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nfp-sample-statements.xlsx&amp;C&amp;"Roboto,Regular"&amp;8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Cash flow, September 2026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3" t="inlineStr">
        <is>
          <t>$</t>
        </is>
      </c>
      <c r="B4" s="4" t="inlineStr">
        <is>
          <t>Sep 2026</t>
        </is>
      </c>
      <c r="C4" s="4" t="inlineStr">
        <is>
          <t>Aug 2026</t>
        </is>
      </c>
      <c r="D4" s="4" t="inlineStr">
        <is>
          <t>Change</t>
        </is>
      </c>
    </row>
    <row r="5">
      <c r="A5" s="12" t="inlineStr">
        <is>
          <t>Operating activities</t>
        </is>
      </c>
    </row>
    <row r="6">
      <c r="A6" s="13" t="inlineStr">
        <is>
          <t>Grant instalments received</t>
        </is>
      </c>
      <c r="B6" s="9" t="n">
        <v>0</v>
      </c>
      <c r="C6" s="9" t="n">
        <v>0</v>
      </c>
      <c r="D6" s="14">
        <f>B6-C6</f>
        <v/>
      </c>
    </row>
    <row r="7">
      <c r="A7" s="13" t="inlineStr">
        <is>
          <t>Donations and fundraising received</t>
        </is>
      </c>
      <c r="B7" s="9" t="n">
        <v>73660</v>
      </c>
      <c r="C7" s="9" t="n">
        <v>18400</v>
      </c>
      <c r="D7" s="14">
        <f>B7-C7</f>
        <v/>
      </c>
    </row>
    <row r="8">
      <c r="A8" s="13" t="inlineStr">
        <is>
          <t>Program fees received</t>
        </is>
      </c>
      <c r="B8" s="9" t="n">
        <v>30470</v>
      </c>
      <c r="C8" s="9" t="n">
        <v>28710</v>
      </c>
      <c r="D8" s="14">
        <f>B8-C8</f>
        <v/>
      </c>
    </row>
    <row r="9">
      <c r="A9" s="13" t="inlineStr">
        <is>
          <t>Interest received</t>
        </is>
      </c>
      <c r="B9" s="9" t="n">
        <v>1380</v>
      </c>
      <c r="C9" s="9" t="n">
        <v>1450</v>
      </c>
      <c r="D9" s="14">
        <f>B9-C9</f>
        <v/>
      </c>
    </row>
    <row r="10">
      <c r="A10" s="13" t="inlineStr">
        <is>
          <t>Payments to suppliers</t>
        </is>
      </c>
      <c r="B10" s="9" t="n">
        <v>-51178</v>
      </c>
      <c r="C10" s="9" t="n">
        <v>-36500</v>
      </c>
      <c r="D10" s="14">
        <f>B10-C10</f>
        <v/>
      </c>
    </row>
    <row r="11">
      <c r="A11" s="13" t="inlineStr">
        <is>
          <t>Payments to employees</t>
        </is>
      </c>
      <c r="B11" s="9" t="n">
        <v>-74666</v>
      </c>
      <c r="C11" s="9" t="n">
        <v>-74666</v>
      </c>
      <c r="D11" s="14">
        <f>B11-C11</f>
        <v/>
      </c>
    </row>
    <row r="12">
      <c r="A12" s="13" t="inlineStr">
        <is>
          <t>GST and PAYG paid (BAS)</t>
        </is>
      </c>
      <c r="B12" s="9" t="n">
        <v>0</v>
      </c>
      <c r="C12" s="9" t="n">
        <v>0</v>
      </c>
      <c r="D12" s="14">
        <f>B12-C12</f>
        <v/>
      </c>
    </row>
    <row r="13">
      <c r="A13" s="15" t="inlineStr">
        <is>
          <t>Net cash from operating activities</t>
        </is>
      </c>
      <c r="B13" s="16">
        <f>SUM(B6:B12)</f>
        <v/>
      </c>
      <c r="C13" s="16">
        <f>SUM(C6:C12)</f>
        <v/>
      </c>
      <c r="D13" s="17">
        <f>B13-C13</f>
        <v/>
      </c>
    </row>
    <row r="14">
      <c r="A14" s="12" t="inlineStr">
        <is>
          <t>Investing activities</t>
        </is>
      </c>
    </row>
    <row r="15">
      <c r="A15" s="13" t="inlineStr">
        <is>
          <t>Purchase of vehicles and equipment</t>
        </is>
      </c>
      <c r="B15" s="9" t="n">
        <v>0</v>
      </c>
      <c r="C15" s="9" t="n">
        <v>0</v>
      </c>
      <c r="D15" s="14">
        <f>B15-C15</f>
        <v/>
      </c>
    </row>
    <row r="16">
      <c r="A16" s="15" t="inlineStr">
        <is>
          <t>Net cash from investing activities</t>
        </is>
      </c>
      <c r="B16" s="16">
        <f>SUM(B15:B15)</f>
        <v/>
      </c>
      <c r="C16" s="16">
        <f>SUM(C15:C15)</f>
        <v/>
      </c>
      <c r="D16" s="17">
        <f>B16-C16</f>
        <v/>
      </c>
    </row>
    <row r="17">
      <c r="A17" s="15" t="inlineStr">
        <is>
          <t>Net change in cash</t>
        </is>
      </c>
      <c r="B17" s="16">
        <f>B13+B16</f>
        <v/>
      </c>
      <c r="C17" s="16">
        <f>C13+C16</f>
        <v/>
      </c>
      <c r="D17" s="17">
        <f>B17-C17</f>
        <v/>
      </c>
    </row>
    <row r="18">
      <c r="A18" s="15" t="inlineStr">
        <is>
          <t>Cash at start of month</t>
        </is>
      </c>
      <c r="B18" s="16" t="n">
        <v>547394</v>
      </c>
      <c r="C18" s="16" t="n">
        <v>610000</v>
      </c>
      <c r="D18" s="17">
        <f>B18-C18</f>
        <v/>
      </c>
    </row>
    <row r="19">
      <c r="A19" s="18" t="inlineStr">
        <is>
          <t>Cash at end of month</t>
        </is>
      </c>
      <c r="B19" s="19">
        <f>B18+B17</f>
        <v/>
      </c>
      <c r="C19" s="19">
        <f>C18+C17</f>
        <v/>
      </c>
      <c r="D19" s="20">
        <f>B19-C19</f>
        <v/>
      </c>
    </row>
  </sheetData>
  <conditionalFormatting sqref="D6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D7">
    <cfRule type="cellIs" priority="3" operator="greaterThan" dxfId="1">
      <formula>0</formula>
    </cfRule>
    <cfRule type="cellIs" priority="4" operator="lessThan" dxfId="0">
      <formula>0</formula>
    </cfRule>
  </conditionalFormatting>
  <conditionalFormatting sqref="D8">
    <cfRule type="cellIs" priority="5" operator="greaterThan" dxfId="1">
      <formula>0</formula>
    </cfRule>
    <cfRule type="cellIs" priority="6" operator="lessThan" dxfId="0">
      <formula>0</formula>
    </cfRule>
  </conditionalFormatting>
  <conditionalFormatting sqref="D9">
    <cfRule type="cellIs" priority="7" operator="greaterThan" dxfId="1">
      <formula>0</formula>
    </cfRule>
    <cfRule type="cellIs" priority="8" operator="lessThan" dxfId="0">
      <formula>0</formula>
    </cfRule>
  </conditionalFormatting>
  <conditionalFormatting sqref="D10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D11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D12"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D13">
    <cfRule type="cellIs" priority="15" operator="greaterThan" dxfId="1">
      <formula>0</formula>
    </cfRule>
    <cfRule type="cellIs" priority="16" operator="lessThan" dxfId="0">
      <formula>0</formula>
    </cfRule>
  </conditionalFormatting>
  <conditionalFormatting sqref="D15">
    <cfRule type="cellIs" priority="17" operator="greaterThan" dxfId="1">
      <formula>0</formula>
    </cfRule>
    <cfRule type="cellIs" priority="18" operator="lessThan" dxfId="0">
      <formula>0</formula>
    </cfRule>
  </conditionalFormatting>
  <conditionalFormatting sqref="D16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D17">
    <cfRule type="cellIs" priority="21" operator="greaterThan" dxfId="1">
      <formula>0</formula>
    </cfRule>
    <cfRule type="cellIs" priority="22" operator="lessThan" dxfId="0">
      <formula>0</formula>
    </cfRule>
  </conditionalFormatting>
  <conditionalFormatting sqref="D18">
    <cfRule type="cellIs" priority="23" operator="greaterThan" dxfId="1">
      <formula>0</formula>
    </cfRule>
    <cfRule type="cellIs" priority="24" operator="lessThan" dxfId="0">
      <formula>0</formula>
    </cfRule>
  </conditionalFormatting>
  <conditionalFormatting sqref="D19">
    <cfRule type="cellIs" priority="25" operator="greaterThan" dxfId="1">
      <formula>0</formula>
    </cfRule>
    <cfRule type="cellIs" priority="26" operator="lessThan" dxfId="0">
      <formula>0</formula>
    </cfRule>
  </conditionalFormatting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nfp-sample-statements.xlsx&amp;C&amp;"Roboto,Regular"&amp;8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13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Grants at 30 September 2026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>
      <c r="A4" s="2" t="inlineStr">
        <is>
          <t>Budget to date = the grant spread evenly over its months, to 30 September 2026.</t>
        </is>
      </c>
    </row>
    <row r="5"/>
    <row r="6">
      <c r="A6" s="3" t="inlineStr">
        <is>
          <t>Program</t>
        </is>
      </c>
      <c r="B6" s="4" t="inlineStr">
        <is>
          <t>Funder</t>
        </is>
      </c>
      <c r="C6" s="4" t="inlineStr">
        <is>
          <t>Grant total</t>
        </is>
      </c>
      <c r="D6" s="4" t="inlineStr">
        <is>
          <t>Start</t>
        </is>
      </c>
      <c r="E6" s="4" t="inlineStr">
        <is>
          <t>End</t>
        </is>
      </c>
      <c r="F6" s="4" t="inlineStr">
        <is>
          <t>Received to date</t>
        </is>
      </c>
      <c r="G6" s="4" t="inlineStr">
        <is>
          <t>Spent to date</t>
        </is>
      </c>
      <c r="H6" s="4" t="inlineStr">
        <is>
          <t>Spent Aug</t>
        </is>
      </c>
      <c r="I6" s="4" t="inlineStr">
        <is>
          <t>Spent Sep</t>
        </is>
      </c>
      <c r="J6" s="4" t="inlineStr">
        <is>
          <t>Budget to date</t>
        </is>
      </c>
      <c r="K6" s="4" t="inlineStr">
        <is>
          <t>Spent against budget</t>
        </is>
      </c>
      <c r="L6" s="4" t="inlineStr">
        <is>
          <t>Still to spend</t>
        </is>
      </c>
      <c r="M6" s="4" t="inlineStr">
        <is>
          <t>Months left</t>
        </is>
      </c>
    </row>
    <row r="7">
      <c r="A7" s="21" t="inlineStr">
        <is>
          <t>Youth outreach</t>
        </is>
      </c>
      <c r="B7" s="21" t="inlineStr">
        <is>
          <t>State Department of Families</t>
        </is>
      </c>
      <c r="C7" s="22" t="n">
        <v>480000</v>
      </c>
      <c r="D7" s="23" t="n">
        <v>45839</v>
      </c>
      <c r="E7" s="23" t="n">
        <v>46568</v>
      </c>
      <c r="F7" s="22" t="n">
        <v>300000</v>
      </c>
      <c r="G7" s="22" t="n">
        <v>306300</v>
      </c>
      <c r="H7" s="22" t="n">
        <v>21500</v>
      </c>
      <c r="I7" s="22" t="n">
        <v>22800</v>
      </c>
      <c r="J7" s="22" t="n">
        <v>300000</v>
      </c>
      <c r="K7" s="24">
        <f>IF(J7=0,"",G7/J7)</f>
        <v/>
      </c>
      <c r="L7" s="22">
        <f>C7-G7</f>
        <v/>
      </c>
      <c r="M7" s="22" t="n">
        <v>9</v>
      </c>
    </row>
    <row r="8">
      <c r="A8" s="21" t="inlineStr">
        <is>
          <t>Housing support</t>
        </is>
      </c>
      <c r="B8" s="21" t="inlineStr">
        <is>
          <t>State Housing Program</t>
        </is>
      </c>
      <c r="C8" s="22" t="n">
        <v>360000</v>
      </c>
      <c r="D8" s="23" t="n">
        <v>46023</v>
      </c>
      <c r="E8" s="23" t="n">
        <v>46387</v>
      </c>
      <c r="F8" s="22" t="n">
        <v>360000</v>
      </c>
      <c r="G8" s="22" t="n">
        <v>257700</v>
      </c>
      <c r="H8" s="22" t="n">
        <v>30500</v>
      </c>
      <c r="I8" s="22" t="n">
        <v>31200</v>
      </c>
      <c r="J8" s="22" t="n">
        <v>270000</v>
      </c>
      <c r="K8" s="24">
        <f>IF(J8=0,"",G8/J8)</f>
        <v/>
      </c>
      <c r="L8" s="22">
        <f>C8-G8</f>
        <v/>
      </c>
      <c r="M8" s="22" t="n">
        <v>3</v>
      </c>
    </row>
    <row r="9">
      <c r="A9" s="21" t="inlineStr">
        <is>
          <t>Mental health first aid</t>
        </is>
      </c>
      <c r="B9" s="21" t="inlineStr">
        <is>
          <t>Federal health program</t>
        </is>
      </c>
      <c r="C9" s="22" t="n">
        <v>120000</v>
      </c>
      <c r="D9" s="23" t="n">
        <v>46113</v>
      </c>
      <c r="E9" s="23" t="n">
        <v>46477</v>
      </c>
      <c r="F9" s="22" t="n">
        <v>60000</v>
      </c>
      <c r="G9" s="22" t="n">
        <v>57200</v>
      </c>
      <c r="H9" s="22" t="n">
        <v>9400</v>
      </c>
      <c r="I9" s="22" t="n">
        <v>10800</v>
      </c>
      <c r="J9" s="22" t="n">
        <v>60000</v>
      </c>
      <c r="K9" s="24">
        <f>IF(J9=0,"",G9/J9)</f>
        <v/>
      </c>
      <c r="L9" s="22">
        <f>C9-G9</f>
        <v/>
      </c>
      <c r="M9" s="22" t="n">
        <v>6</v>
      </c>
    </row>
    <row r="10">
      <c r="A10" s="21" t="inlineStr">
        <is>
          <t>Digital literacy</t>
        </is>
      </c>
      <c r="B10" s="21" t="inlineStr">
        <is>
          <t>Philanthropic foundation</t>
        </is>
      </c>
      <c r="C10" s="22" t="n">
        <v>90000</v>
      </c>
      <c r="D10" s="23" t="n">
        <v>45931</v>
      </c>
      <c r="E10" s="23" t="n">
        <v>46477</v>
      </c>
      <c r="F10" s="22" t="n">
        <v>45000</v>
      </c>
      <c r="G10" s="22" t="n">
        <v>59600</v>
      </c>
      <c r="H10" s="22" t="n">
        <v>5200</v>
      </c>
      <c r="I10" s="22" t="n">
        <v>4900</v>
      </c>
      <c r="J10" s="22" t="n">
        <v>60000</v>
      </c>
      <c r="K10" s="24">
        <f>IF(J10=0,"",G10/J10)</f>
        <v/>
      </c>
      <c r="L10" s="22">
        <f>C10-G10</f>
        <v/>
      </c>
      <c r="M10" s="22" t="n">
        <v>6</v>
      </c>
    </row>
    <row r="11">
      <c r="A11" s="21" t="inlineStr">
        <is>
          <t>Community meals</t>
        </is>
      </c>
      <c r="B11" s="21" t="inlineStr">
        <is>
          <t>Local council community grant</t>
        </is>
      </c>
      <c r="C11" s="22" t="n">
        <v>48000</v>
      </c>
      <c r="D11" s="23" t="n">
        <v>46204</v>
      </c>
      <c r="E11" s="23" t="n">
        <v>46568</v>
      </c>
      <c r="F11" s="22" t="n">
        <v>48000</v>
      </c>
      <c r="G11" s="22" t="n">
        <v>12000</v>
      </c>
      <c r="H11" s="22" t="n">
        <v>4100</v>
      </c>
      <c r="I11" s="22" t="n">
        <v>4300</v>
      </c>
      <c r="J11" s="22" t="n">
        <v>12000</v>
      </c>
      <c r="K11" s="24">
        <f>IF(J11=0,"",G11/J11)</f>
        <v/>
      </c>
      <c r="L11" s="22">
        <f>C11-G11</f>
        <v/>
      </c>
      <c r="M11" s="22" t="n">
        <v>9</v>
      </c>
    </row>
    <row r="12">
      <c r="A12" s="21" t="inlineStr">
        <is>
          <t>Volunteer coordinator</t>
        </is>
      </c>
      <c r="B12" s="21" t="inlineStr">
        <is>
          <t>State volunteering grant</t>
        </is>
      </c>
      <c r="C12" s="22" t="n">
        <v>36000</v>
      </c>
      <c r="D12" s="23" t="n">
        <v>46082</v>
      </c>
      <c r="E12" s="23" t="n">
        <v>46446</v>
      </c>
      <c r="F12" s="22" t="n">
        <v>36000</v>
      </c>
      <c r="G12" s="22" t="n">
        <v>21000</v>
      </c>
      <c r="H12" s="22" t="n">
        <v>3000</v>
      </c>
      <c r="I12" s="22" t="n">
        <v>3000</v>
      </c>
      <c r="J12" s="22" t="n">
        <v>21000</v>
      </c>
      <c r="K12" s="24">
        <f>IF(J12=0,"",G12/J12)</f>
        <v/>
      </c>
      <c r="L12" s="22">
        <f>C12-G12</f>
        <v/>
      </c>
      <c r="M12" s="22" t="n">
        <v>5</v>
      </c>
    </row>
    <row r="13">
      <c r="A13" s="25" t="inlineStr">
        <is>
          <t>Total</t>
        </is>
      </c>
      <c r="C13" s="26">
        <f>SUM(C7:C12)</f>
        <v/>
      </c>
      <c r="F13" s="26">
        <f>SUM(F7:F12)</f>
        <v/>
      </c>
      <c r="G13" s="26">
        <f>SUM(G7:G12)</f>
        <v/>
      </c>
      <c r="H13" s="26">
        <f>SUM(H7:H12)</f>
        <v/>
      </c>
      <c r="I13" s="26">
        <f>SUM(I7:I12)</f>
        <v/>
      </c>
      <c r="J13" s="26">
        <f>SUM(J7:J12)</f>
        <v/>
      </c>
      <c r="L13" s="26">
        <f>SUM(L7:L12)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nfp-sample-statements.xlsx&amp;C&amp;"Roboto,Regular"&amp;8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7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27" t="inlineStr">
        <is>
          <t>Cost to raise a dollar</t>
        </is>
      </c>
    </row>
    <row r="6">
      <c r="A6" s="28" t="inlineStr">
        <is>
          <t>Fundraising costs ÷ money raised (grants, donations, events), in cents</t>
        </is>
      </c>
    </row>
    <row r="7">
      <c r="A7" s="3" t="inlineStr"/>
      <c r="B7" s="4" t="inlineStr">
        <is>
          <t>Sep 2026</t>
        </is>
      </c>
      <c r="C7" s="4" t="inlineStr">
        <is>
          <t>Aug 2026</t>
        </is>
      </c>
    </row>
    <row r="8">
      <c r="A8" t="inlineStr">
        <is>
          <t>Grant writing and reporting</t>
        </is>
      </c>
      <c r="B8" s="22" t="n">
        <v>7100</v>
      </c>
      <c r="C8" s="22" t="n">
        <v>7100</v>
      </c>
    </row>
    <row r="9">
      <c r="A9" t="inlineStr">
        <is>
          <t>Donor campaigns</t>
        </is>
      </c>
      <c r="B9" s="22" t="n">
        <v>5400</v>
      </c>
      <c r="C9" s="22" t="n">
        <v>2200</v>
      </c>
    </row>
    <row r="10">
      <c r="A10" t="inlineStr">
        <is>
          <t>Event costs</t>
        </is>
      </c>
      <c r="B10" s="22" t="n">
        <v>16900</v>
      </c>
      <c r="C10" s="22" t="n">
        <v>2400</v>
      </c>
    </row>
    <row r="11">
      <c r="A11" t="inlineStr">
        <is>
          <t>Fundraising costs</t>
        </is>
      </c>
      <c r="B11" s="22">
        <f>B8+B9+B10</f>
        <v/>
      </c>
      <c r="C11" s="22">
        <f>C8+C9+C10</f>
        <v/>
      </c>
    </row>
    <row r="12">
      <c r="A12" t="inlineStr">
        <is>
          <t>Grant income</t>
        </is>
      </c>
      <c r="B12" s="22" t="n">
        <v>77000</v>
      </c>
      <c r="C12" s="22" t="n">
        <v>73700</v>
      </c>
    </row>
    <row r="13">
      <c r="A13" t="inlineStr">
        <is>
          <t>Donations</t>
        </is>
      </c>
      <c r="B13" s="22" t="n">
        <v>27900</v>
      </c>
      <c r="C13" s="22" t="n">
        <v>18400</v>
      </c>
    </row>
    <row r="14">
      <c r="A14" t="inlineStr">
        <is>
          <t>Fundraising events</t>
        </is>
      </c>
      <c r="B14" s="22" t="n">
        <v>41600</v>
      </c>
      <c r="C14" s="22" t="n">
        <v>0</v>
      </c>
    </row>
    <row r="15">
      <c r="A15" t="inlineStr">
        <is>
          <t>Money raised</t>
        </is>
      </c>
      <c r="B15" s="22">
        <f>B12+B13+B14</f>
        <v/>
      </c>
      <c r="C15" s="22">
        <f>C12+C13+C14</f>
        <v/>
      </c>
    </row>
    <row r="16">
      <c r="A16" s="29" t="inlineStr">
        <is>
          <t>Cost per dollar raised</t>
        </is>
      </c>
      <c r="B16" s="30">
        <f>B11/B15*100</f>
        <v/>
      </c>
      <c r="C16" s="30">
        <f>C11/C15*100</f>
        <v/>
      </c>
    </row>
    <row r="17">
      <c r="A17" s="2" t="inlineStr">
        <is>
          <t>September's gala raised $41,600 but cost $16,900 to run, which lifts the month's figure.</t>
        </is>
      </c>
    </row>
    <row r="18"/>
    <row r="19"/>
    <row r="20">
      <c r="A20" s="27" t="inlineStr">
        <is>
          <t>Unrestricted cash runway</t>
        </is>
      </c>
    </row>
    <row r="21">
      <c r="A21" s="28" t="inlineStr">
        <is>
          <t>(Cash at bank − unspent grant money − GST and PAYG owed to the ATO) ÷ a month's cash spending</t>
        </is>
      </c>
    </row>
    <row r="22">
      <c r="A22" s="3" t="inlineStr"/>
      <c r="B22" s="4" t="inlineStr">
        <is>
          <t>Sep 2026</t>
        </is>
      </c>
      <c r="C22" s="4" t="inlineStr">
        <is>
          <t>Aug 2026</t>
        </is>
      </c>
    </row>
    <row r="23">
      <c r="A23" t="inlineStr">
        <is>
          <t>Cash at bank</t>
        </is>
      </c>
      <c r="B23" s="22" t="n">
        <v>527060</v>
      </c>
      <c r="C23" s="22" t="n">
        <v>547394</v>
      </c>
    </row>
    <row r="24">
      <c r="A24" t="inlineStr">
        <is>
          <t>Less unspent grant money (belongs to funders' programs)</t>
        </is>
      </c>
      <c r="B24" s="22" t="n">
        <v>-156100</v>
      </c>
      <c r="C24" s="22" t="n">
        <v>-221900</v>
      </c>
    </row>
    <row r="25">
      <c r="A25" t="inlineStr">
        <is>
          <t>Less GST and PAYG withheld owed to the ATO (paid with the BAS)</t>
        </is>
      </c>
      <c r="B25" s="22" t="n">
        <v>-65523</v>
      </c>
      <c r="C25" s="22" t="n">
        <v>-51696</v>
      </c>
    </row>
    <row r="26">
      <c r="A26" t="inlineStr">
        <is>
          <t>Unrestricted cash</t>
        </is>
      </c>
      <c r="B26" s="22">
        <f>B23+B24+B25</f>
        <v/>
      </c>
      <c r="C26" s="22">
        <f>C23+C24+C25</f>
        <v/>
      </c>
    </row>
    <row r="27">
      <c r="A27" t="inlineStr">
        <is>
          <t>Cash spending in the month (expenses less depreciation)</t>
        </is>
      </c>
      <c r="B27" s="22" t="n">
        <v>162900</v>
      </c>
      <c r="C27" s="22" t="n">
        <v>141200</v>
      </c>
    </row>
    <row r="28">
      <c r="A28" s="29" t="inlineStr">
        <is>
          <t>Runway</t>
        </is>
      </c>
      <c r="B28" s="31">
        <f>B26/B27</f>
        <v/>
      </c>
      <c r="C28" s="31">
        <f>C26/C27</f>
        <v/>
      </c>
    </row>
    <row r="29">
      <c r="A29" s="2" t="inlineStr">
        <is>
          <t>Reserves target: 3.0 months.</t>
        </is>
      </c>
    </row>
    <row r="30"/>
    <row r="31"/>
    <row r="32">
      <c r="A32" s="27" t="inlineStr">
        <is>
          <t>Grants ending in the next 6 months</t>
        </is>
      </c>
    </row>
    <row r="33">
      <c r="A33" s="28" t="inlineStr">
        <is>
          <t>Grant total − spent to date, for each grant ending soon</t>
        </is>
      </c>
    </row>
    <row r="34">
      <c r="A34" s="3" t="inlineStr"/>
      <c r="B34" s="4" t="inlineStr">
        <is>
          <t>Still to spend</t>
        </is>
      </c>
    </row>
    <row r="35">
      <c r="A35" t="inlineStr">
        <is>
          <t>Housing support (ends 31 Dec 2026)</t>
        </is>
      </c>
      <c r="B35" s="22" t="n">
        <v>102300</v>
      </c>
    </row>
    <row r="36">
      <c r="A36" t="inlineStr">
        <is>
          <t>Digital literacy (ends 31 Mar 2027)</t>
        </is>
      </c>
      <c r="B36" s="22" t="n">
        <v>30400</v>
      </c>
    </row>
    <row r="37">
      <c r="A37" t="inlineStr">
        <is>
          <t>Mental health first aid (ends 31 Mar 2027)</t>
        </is>
      </c>
      <c r="B37" s="22" t="n">
        <v>62800</v>
      </c>
    </row>
    <row r="38">
      <c r="A38" t="inlineStr">
        <is>
          <t>Volunteer coordinator (ends 28 Feb 2027)</t>
        </is>
      </c>
      <c r="B38" s="22" t="n">
        <v>15000</v>
      </c>
    </row>
    <row r="39">
      <c r="A39" s="29" t="inlineStr">
        <is>
          <t>Total still to spend</t>
        </is>
      </c>
      <c r="B39" s="32">
        <f>B35+B36+B37+B38</f>
        <v/>
      </c>
    </row>
    <row r="40">
      <c r="A40" s="2" t="inlineStr">
        <is>
          <t>Unspent money usually has to be returned, or an extension negotiated, so plan the spending now.</t>
        </is>
      </c>
    </row>
    <row r="41"/>
    <row r="42"/>
    <row r="43">
      <c r="A43" s="27" t="inlineStr">
        <is>
          <t>Youth outreach</t>
        </is>
      </c>
    </row>
    <row r="44">
      <c r="A44" s="28" t="inlineStr">
        <is>
          <t>State Department of Families · $480,000 · Jul 2025 to Jun 2027</t>
        </is>
      </c>
    </row>
    <row r="45">
      <c r="A45" s="3" t="inlineStr"/>
      <c r="B45" s="4" t="inlineStr">
        <is>
          <t>This grant</t>
        </is>
      </c>
    </row>
    <row r="46">
      <c r="A46" t="inlineStr">
        <is>
          <t>Grant total</t>
        </is>
      </c>
      <c r="B46" s="22" t="n">
        <v>480000</v>
      </c>
    </row>
    <row r="47">
      <c r="A47" t="inlineStr">
        <is>
          <t>Received from the funder</t>
        </is>
      </c>
      <c r="B47" s="22" t="n">
        <v>300000</v>
      </c>
    </row>
    <row r="48">
      <c r="A48" t="inlineStr">
        <is>
          <t>Spent to date</t>
        </is>
      </c>
      <c r="B48" s="22" t="n">
        <v>306300</v>
      </c>
    </row>
    <row r="49">
      <c r="A49" t="inlineStr">
        <is>
          <t>Budget to date</t>
        </is>
      </c>
      <c r="B49" s="22" t="n">
        <v>300000</v>
      </c>
    </row>
    <row r="50">
      <c r="A50" t="inlineStr">
        <is>
          <t>Months left</t>
        </is>
      </c>
      <c r="B50" s="22" t="n">
        <v>9</v>
      </c>
    </row>
    <row r="51">
      <c r="A51" t="inlineStr">
        <is>
          <t>Still to spend</t>
        </is>
      </c>
      <c r="B51" s="22">
        <f>B46-B48</f>
        <v/>
      </c>
    </row>
    <row r="52">
      <c r="A52" t="inlineStr">
        <is>
          <t>Over (under) budget to date</t>
        </is>
      </c>
      <c r="B52" s="22">
        <f>B48-B49</f>
        <v/>
      </c>
    </row>
    <row r="53">
      <c r="A53" s="29" t="inlineStr">
        <is>
          <t>Over (under) budget, % of budget to date</t>
        </is>
      </c>
      <c r="B53" s="33">
        <f>B48/B49-1</f>
        <v/>
      </c>
    </row>
    <row r="54"/>
    <row r="55">
      <c r="A55" s="10" t="inlineStr">
        <is>
          <t>Spend by month against budget</t>
        </is>
      </c>
    </row>
    <row r="56">
      <c r="A56" s="3" t="inlineStr">
        <is>
          <t>Month</t>
        </is>
      </c>
      <c r="B56" s="4" t="inlineStr">
        <is>
          <t>Spend</t>
        </is>
      </c>
      <c r="C56" s="4" t="inlineStr">
        <is>
          <t>Budget</t>
        </is>
      </c>
      <c r="D56" s="4" t="inlineStr">
        <is>
          <t>Spend against budget</t>
        </is>
      </c>
    </row>
    <row r="57">
      <c r="A57" t="inlineStr">
        <is>
          <t>Jul 25</t>
        </is>
      </c>
      <c r="B57" s="9" t="n">
        <v>17363</v>
      </c>
      <c r="C57" s="9" t="n">
        <v>20000</v>
      </c>
      <c r="D57" s="11">
        <f>IF(C57=0,"",B57/C57)</f>
        <v/>
      </c>
    </row>
    <row r="58">
      <c r="A58" t="inlineStr">
        <is>
          <t>Aug 25</t>
        </is>
      </c>
      <c r="B58" s="9" t="n">
        <v>21144</v>
      </c>
      <c r="C58" s="9" t="n">
        <v>20000</v>
      </c>
      <c r="D58" s="11">
        <f>IF(C58=0,"",B58/C58)</f>
        <v/>
      </c>
    </row>
    <row r="59">
      <c r="A59" t="inlineStr">
        <is>
          <t>Sep 25</t>
        </is>
      </c>
      <c r="B59" s="9" t="n">
        <v>17537</v>
      </c>
      <c r="C59" s="9" t="n">
        <v>20000</v>
      </c>
      <c r="D59" s="11">
        <f>IF(C59=0,"",B59/C59)</f>
        <v/>
      </c>
    </row>
    <row r="60">
      <c r="A60" t="inlineStr">
        <is>
          <t>Oct 25</t>
        </is>
      </c>
      <c r="B60" s="9" t="n">
        <v>21925</v>
      </c>
      <c r="C60" s="9" t="n">
        <v>20000</v>
      </c>
      <c r="D60" s="11">
        <f>IF(C60=0,"",B60/C60)</f>
        <v/>
      </c>
    </row>
    <row r="61">
      <c r="A61" t="inlineStr">
        <is>
          <t>Nov 25</t>
        </is>
      </c>
      <c r="B61" s="9" t="n">
        <v>21079</v>
      </c>
      <c r="C61" s="9" t="n">
        <v>20000</v>
      </c>
      <c r="D61" s="11">
        <f>IF(C61=0,"",B61/C61)</f>
        <v/>
      </c>
    </row>
    <row r="62">
      <c r="A62" t="inlineStr">
        <is>
          <t>Dec 25</t>
        </is>
      </c>
      <c r="B62" s="9" t="n">
        <v>19272</v>
      </c>
      <c r="C62" s="9" t="n">
        <v>20000</v>
      </c>
      <c r="D62" s="11">
        <f>IF(C62=0,"",B62/C62)</f>
        <v/>
      </c>
    </row>
    <row r="63">
      <c r="A63" t="inlineStr">
        <is>
          <t>Jan 26</t>
        </is>
      </c>
      <c r="B63" s="9" t="n">
        <v>21157</v>
      </c>
      <c r="C63" s="9" t="n">
        <v>20000</v>
      </c>
      <c r="D63" s="11">
        <f>IF(C63=0,"",B63/C63)</f>
        <v/>
      </c>
    </row>
    <row r="64">
      <c r="A64" t="inlineStr">
        <is>
          <t>Feb 26</t>
        </is>
      </c>
      <c r="B64" s="9" t="n">
        <v>20743</v>
      </c>
      <c r="C64" s="9" t="n">
        <v>20000</v>
      </c>
      <c r="D64" s="11">
        <f>IF(C64=0,"",B64/C64)</f>
        <v/>
      </c>
    </row>
    <row r="65">
      <c r="A65" t="inlineStr">
        <is>
          <t>Mar 26</t>
        </is>
      </c>
      <c r="B65" s="9" t="n">
        <v>16515</v>
      </c>
      <c r="C65" s="9" t="n">
        <v>20000</v>
      </c>
      <c r="D65" s="11">
        <f>IF(C65=0,"",B65/C65)</f>
        <v/>
      </c>
    </row>
    <row r="66">
      <c r="A66" t="inlineStr">
        <is>
          <t>Apr 26</t>
        </is>
      </c>
      <c r="B66" s="9" t="n">
        <v>20451</v>
      </c>
      <c r="C66" s="9" t="n">
        <v>20000</v>
      </c>
      <c r="D66" s="11">
        <f>IF(C66=0,"",B66/C66)</f>
        <v/>
      </c>
    </row>
    <row r="67">
      <c r="A67" t="inlineStr">
        <is>
          <t>May 26</t>
        </is>
      </c>
      <c r="B67" s="9" t="n">
        <v>21174</v>
      </c>
      <c r="C67" s="9" t="n">
        <v>20000</v>
      </c>
      <c r="D67" s="11">
        <f>IF(C67=0,"",B67/C67)</f>
        <v/>
      </c>
    </row>
    <row r="68">
      <c r="A68" t="inlineStr">
        <is>
          <t>Jun 26</t>
        </is>
      </c>
      <c r="B68" s="9" t="n">
        <v>20366</v>
      </c>
      <c r="C68" s="9" t="n">
        <v>20000</v>
      </c>
      <c r="D68" s="11">
        <f>IF(C68=0,"",B68/C68)</f>
        <v/>
      </c>
    </row>
    <row r="69">
      <c r="A69" t="inlineStr">
        <is>
          <t>Jul 26</t>
        </is>
      </c>
      <c r="B69" s="9" t="n">
        <v>23274</v>
      </c>
      <c r="C69" s="9" t="n">
        <v>20000</v>
      </c>
      <c r="D69" s="11">
        <f>IF(C69=0,"",B69/C69)</f>
        <v/>
      </c>
    </row>
    <row r="70">
      <c r="A70" t="inlineStr">
        <is>
          <t>Aug 26</t>
        </is>
      </c>
      <c r="B70" s="9" t="n">
        <v>21500</v>
      </c>
      <c r="C70" s="9" t="n">
        <v>20000</v>
      </c>
      <c r="D70" s="11">
        <f>IF(C70=0,"",B70/C70)</f>
        <v/>
      </c>
    </row>
    <row r="71">
      <c r="A71" t="inlineStr">
        <is>
          <t>Sep 26</t>
        </is>
      </c>
      <c r="B71" s="9" t="n">
        <v>22800</v>
      </c>
      <c r="C71" s="9" t="n">
        <v>20000</v>
      </c>
      <c r="D71" s="11">
        <f>IF(C71=0,"",B71/C71)</f>
        <v/>
      </c>
    </row>
    <row r="72">
      <c r="A72" s="25" t="inlineStr">
        <is>
          <t>Total</t>
        </is>
      </c>
      <c r="B72" s="34">
        <f>SUM(B57:B71)</f>
        <v/>
      </c>
      <c r="C72" s="34">
        <f>SUM(C57:C71)</f>
        <v/>
      </c>
      <c r="D72" s="35">
        <f>IF(C72=0,"",B72/C72)</f>
        <v/>
      </c>
    </row>
    <row r="73"/>
    <row r="74"/>
    <row r="75">
      <c r="A75" s="27" t="inlineStr">
        <is>
          <t>Housing support</t>
        </is>
      </c>
    </row>
    <row r="76">
      <c r="A76" s="28" t="inlineStr">
        <is>
          <t>State Housing Program · $360,000 · Jan 2026 to Dec 2026</t>
        </is>
      </c>
    </row>
    <row r="77">
      <c r="A77" s="3" t="inlineStr"/>
      <c r="B77" s="4" t="inlineStr">
        <is>
          <t>This grant</t>
        </is>
      </c>
    </row>
    <row r="78">
      <c r="A78" t="inlineStr">
        <is>
          <t>Grant total</t>
        </is>
      </c>
      <c r="B78" s="22" t="n">
        <v>360000</v>
      </c>
    </row>
    <row r="79">
      <c r="A79" t="inlineStr">
        <is>
          <t>Received from the funder</t>
        </is>
      </c>
      <c r="B79" s="22" t="n">
        <v>360000</v>
      </c>
    </row>
    <row r="80">
      <c r="A80" t="inlineStr">
        <is>
          <t>Spent to date</t>
        </is>
      </c>
      <c r="B80" s="22" t="n">
        <v>257700</v>
      </c>
    </row>
    <row r="81">
      <c r="A81" t="inlineStr">
        <is>
          <t>Budget to date</t>
        </is>
      </c>
      <c r="B81" s="22" t="n">
        <v>270000</v>
      </c>
    </row>
    <row r="82">
      <c r="A82" t="inlineStr">
        <is>
          <t>Months left</t>
        </is>
      </c>
      <c r="B82" s="22" t="n">
        <v>3</v>
      </c>
    </row>
    <row r="83">
      <c r="A83" t="inlineStr">
        <is>
          <t>Still to spend</t>
        </is>
      </c>
      <c r="B83" s="22">
        <f>B78-B80</f>
        <v/>
      </c>
    </row>
    <row r="84">
      <c r="A84" t="inlineStr">
        <is>
          <t>Over (under) budget to date</t>
        </is>
      </c>
      <c r="B84" s="22">
        <f>B80-B81</f>
        <v/>
      </c>
    </row>
    <row r="85">
      <c r="A85" s="29" t="inlineStr">
        <is>
          <t>Over (under) budget, % of budget to date</t>
        </is>
      </c>
      <c r="B85" s="33">
        <f>B80/B81-1</f>
        <v/>
      </c>
    </row>
    <row r="86"/>
    <row r="87">
      <c r="A87" s="10" t="inlineStr">
        <is>
          <t>Spend by month against budget</t>
        </is>
      </c>
    </row>
    <row r="88">
      <c r="A88" s="3" t="inlineStr">
        <is>
          <t>Month</t>
        </is>
      </c>
      <c r="B88" s="4" t="inlineStr">
        <is>
          <t>Spend</t>
        </is>
      </c>
      <c r="C88" s="4" t="inlineStr">
        <is>
          <t>Budget</t>
        </is>
      </c>
      <c r="D88" s="4" t="inlineStr">
        <is>
          <t>Spend against budget</t>
        </is>
      </c>
    </row>
    <row r="89">
      <c r="A89" t="inlineStr">
        <is>
          <t>Jan 26</t>
        </is>
      </c>
      <c r="B89" s="9" t="n">
        <v>30502</v>
      </c>
      <c r="C89" s="9" t="n">
        <v>30000</v>
      </c>
      <c r="D89" s="11">
        <f>IF(C89=0,"",B89/C89)</f>
        <v/>
      </c>
    </row>
    <row r="90">
      <c r="A90" t="inlineStr">
        <is>
          <t>Feb 26</t>
        </is>
      </c>
      <c r="B90" s="9" t="n">
        <v>26508</v>
      </c>
      <c r="C90" s="9" t="n">
        <v>30000</v>
      </c>
      <c r="D90" s="11">
        <f>IF(C90=0,"",B90/C90)</f>
        <v/>
      </c>
    </row>
    <row r="91">
      <c r="A91" t="inlineStr">
        <is>
          <t>Mar 26</t>
        </is>
      </c>
      <c r="B91" s="9" t="n">
        <v>24832</v>
      </c>
      <c r="C91" s="9" t="n">
        <v>30000</v>
      </c>
      <c r="D91" s="11">
        <f>IF(C91=0,"",B91/C91)</f>
        <v/>
      </c>
    </row>
    <row r="92">
      <c r="A92" t="inlineStr">
        <is>
          <t>Apr 26</t>
        </is>
      </c>
      <c r="B92" s="9" t="n">
        <v>23730</v>
      </c>
      <c r="C92" s="9" t="n">
        <v>30000</v>
      </c>
      <c r="D92" s="11">
        <f>IF(C92=0,"",B92/C92)</f>
        <v/>
      </c>
    </row>
    <row r="93">
      <c r="A93" t="inlineStr">
        <is>
          <t>May 26</t>
        </is>
      </c>
      <c r="B93" s="9" t="n">
        <v>31337</v>
      </c>
      <c r="C93" s="9" t="n">
        <v>30000</v>
      </c>
      <c r="D93" s="11">
        <f>IF(C93=0,"",B93/C93)</f>
        <v/>
      </c>
    </row>
    <row r="94">
      <c r="A94" t="inlineStr">
        <is>
          <t>Jun 26</t>
        </is>
      </c>
      <c r="B94" s="9" t="n">
        <v>29994</v>
      </c>
      <c r="C94" s="9" t="n">
        <v>30000</v>
      </c>
      <c r="D94" s="11">
        <f>IF(C94=0,"",B94/C94)</f>
        <v/>
      </c>
    </row>
    <row r="95">
      <c r="A95" t="inlineStr">
        <is>
          <t>Jul 26</t>
        </is>
      </c>
      <c r="B95" s="9" t="n">
        <v>29097</v>
      </c>
      <c r="C95" s="9" t="n">
        <v>30000</v>
      </c>
      <c r="D95" s="11">
        <f>IF(C95=0,"",B95/C95)</f>
        <v/>
      </c>
    </row>
    <row r="96">
      <c r="A96" t="inlineStr">
        <is>
          <t>Aug 26</t>
        </is>
      </c>
      <c r="B96" s="9" t="n">
        <v>30500</v>
      </c>
      <c r="C96" s="9" t="n">
        <v>30000</v>
      </c>
      <c r="D96" s="11">
        <f>IF(C96=0,"",B96/C96)</f>
        <v/>
      </c>
    </row>
    <row r="97">
      <c r="A97" t="inlineStr">
        <is>
          <t>Sep 26</t>
        </is>
      </c>
      <c r="B97" s="9" t="n">
        <v>31200</v>
      </c>
      <c r="C97" s="9" t="n">
        <v>30000</v>
      </c>
      <c r="D97" s="11">
        <f>IF(C97=0,"",B97/C97)</f>
        <v/>
      </c>
    </row>
    <row r="98">
      <c r="A98" s="25" t="inlineStr">
        <is>
          <t>Total</t>
        </is>
      </c>
      <c r="B98" s="34">
        <f>SUM(B89:B97)</f>
        <v/>
      </c>
      <c r="C98" s="34">
        <f>SUM(C89:C97)</f>
        <v/>
      </c>
      <c r="D98" s="35">
        <f>IF(C98=0,"",B98/C98)</f>
        <v/>
      </c>
    </row>
    <row r="99"/>
    <row r="100"/>
    <row r="101">
      <c r="A101" s="27" t="inlineStr">
        <is>
          <t>Mental health first aid</t>
        </is>
      </c>
    </row>
    <row r="102">
      <c r="A102" s="28" t="inlineStr">
        <is>
          <t>Federal health program · $120,000 · Apr 2026 to Mar 2027</t>
        </is>
      </c>
    </row>
    <row r="103">
      <c r="A103" s="3" t="inlineStr"/>
      <c r="B103" s="4" t="inlineStr">
        <is>
          <t>This grant</t>
        </is>
      </c>
    </row>
    <row r="104">
      <c r="A104" t="inlineStr">
        <is>
          <t>Grant total</t>
        </is>
      </c>
      <c r="B104" s="22" t="n">
        <v>120000</v>
      </c>
    </row>
    <row r="105">
      <c r="A105" t="inlineStr">
        <is>
          <t>Received from the funder</t>
        </is>
      </c>
      <c r="B105" s="22" t="n">
        <v>60000</v>
      </c>
    </row>
    <row r="106">
      <c r="A106" t="inlineStr">
        <is>
          <t>Spent to date</t>
        </is>
      </c>
      <c r="B106" s="22" t="n">
        <v>57200</v>
      </c>
    </row>
    <row r="107">
      <c r="A107" t="inlineStr">
        <is>
          <t>Budget to date</t>
        </is>
      </c>
      <c r="B107" s="22" t="n">
        <v>60000</v>
      </c>
    </row>
    <row r="108">
      <c r="A108" t="inlineStr">
        <is>
          <t>Months left</t>
        </is>
      </c>
      <c r="B108" s="22" t="n">
        <v>6</v>
      </c>
    </row>
    <row r="109">
      <c r="A109" t="inlineStr">
        <is>
          <t>Still to spend</t>
        </is>
      </c>
      <c r="B109" s="22">
        <f>B104-B106</f>
        <v/>
      </c>
    </row>
    <row r="110">
      <c r="A110" t="inlineStr">
        <is>
          <t>Over (under) budget to date</t>
        </is>
      </c>
      <c r="B110" s="22">
        <f>B106-B107</f>
        <v/>
      </c>
    </row>
    <row r="111">
      <c r="A111" s="29" t="inlineStr">
        <is>
          <t>Over (under) budget, % of budget to date</t>
        </is>
      </c>
      <c r="B111" s="33">
        <f>B106/B107-1</f>
        <v/>
      </c>
    </row>
    <row r="112"/>
    <row r="113">
      <c r="A113" s="10" t="inlineStr">
        <is>
          <t>Spend by month against budget</t>
        </is>
      </c>
    </row>
    <row r="114">
      <c r="A114" s="3" t="inlineStr">
        <is>
          <t>Month</t>
        </is>
      </c>
      <c r="B114" s="4" t="inlineStr">
        <is>
          <t>Spend</t>
        </is>
      </c>
      <c r="C114" s="4" t="inlineStr">
        <is>
          <t>Budget</t>
        </is>
      </c>
      <c r="D114" s="4" t="inlineStr">
        <is>
          <t>Spend against budget</t>
        </is>
      </c>
    </row>
    <row r="115">
      <c r="A115" t="inlineStr">
        <is>
          <t>Apr 26</t>
        </is>
      </c>
      <c r="B115" s="9" t="n">
        <v>9584</v>
      </c>
      <c r="C115" s="9" t="n">
        <v>10000</v>
      </c>
      <c r="D115" s="11">
        <f>IF(C115=0,"",B115/C115)</f>
        <v/>
      </c>
    </row>
    <row r="116">
      <c r="A116" t="inlineStr">
        <is>
          <t>May 26</t>
        </is>
      </c>
      <c r="B116" s="9" t="n">
        <v>8950</v>
      </c>
      <c r="C116" s="9" t="n">
        <v>10000</v>
      </c>
      <c r="D116" s="11">
        <f>IF(C116=0,"",B116/C116)</f>
        <v/>
      </c>
    </row>
    <row r="117">
      <c r="A117" t="inlineStr">
        <is>
          <t>Jun 26</t>
        </is>
      </c>
      <c r="B117" s="9" t="n">
        <v>9797</v>
      </c>
      <c r="C117" s="9" t="n">
        <v>10000</v>
      </c>
      <c r="D117" s="11">
        <f>IF(C117=0,"",B117/C117)</f>
        <v/>
      </c>
    </row>
    <row r="118">
      <c r="A118" t="inlineStr">
        <is>
          <t>Jul 26</t>
        </is>
      </c>
      <c r="B118" s="9" t="n">
        <v>8669</v>
      </c>
      <c r="C118" s="9" t="n">
        <v>10000</v>
      </c>
      <c r="D118" s="11">
        <f>IF(C118=0,"",B118/C118)</f>
        <v/>
      </c>
    </row>
    <row r="119">
      <c r="A119" t="inlineStr">
        <is>
          <t>Aug 26</t>
        </is>
      </c>
      <c r="B119" s="9" t="n">
        <v>9400</v>
      </c>
      <c r="C119" s="9" t="n">
        <v>10000</v>
      </c>
      <c r="D119" s="11">
        <f>IF(C119=0,"",B119/C119)</f>
        <v/>
      </c>
    </row>
    <row r="120">
      <c r="A120" t="inlineStr">
        <is>
          <t>Sep 26</t>
        </is>
      </c>
      <c r="B120" s="9" t="n">
        <v>10800</v>
      </c>
      <c r="C120" s="9" t="n">
        <v>10000</v>
      </c>
      <c r="D120" s="11">
        <f>IF(C120=0,"",B120/C120)</f>
        <v/>
      </c>
    </row>
    <row r="121">
      <c r="A121" s="25" t="inlineStr">
        <is>
          <t>Total</t>
        </is>
      </c>
      <c r="B121" s="34">
        <f>SUM(B115:B120)</f>
        <v/>
      </c>
      <c r="C121" s="34">
        <f>SUM(C115:C120)</f>
        <v/>
      </c>
      <c r="D121" s="35">
        <f>IF(C121=0,"",B121/C121)</f>
        <v/>
      </c>
    </row>
    <row r="122"/>
    <row r="123"/>
    <row r="124">
      <c r="A124" s="27" t="inlineStr">
        <is>
          <t>Digital literacy</t>
        </is>
      </c>
    </row>
    <row r="125">
      <c r="A125" s="28" t="inlineStr">
        <is>
          <t>Philanthropic foundation · $90,000 · Oct 2025 to Mar 2027</t>
        </is>
      </c>
    </row>
    <row r="126">
      <c r="A126" s="3" t="inlineStr"/>
      <c r="B126" s="4" t="inlineStr">
        <is>
          <t>This grant</t>
        </is>
      </c>
    </row>
    <row r="127">
      <c r="A127" t="inlineStr">
        <is>
          <t>Grant total</t>
        </is>
      </c>
      <c r="B127" s="22" t="n">
        <v>90000</v>
      </c>
    </row>
    <row r="128">
      <c r="A128" t="inlineStr">
        <is>
          <t>Received from the funder</t>
        </is>
      </c>
      <c r="B128" s="22" t="n">
        <v>45000</v>
      </c>
    </row>
    <row r="129">
      <c r="A129" t="inlineStr">
        <is>
          <t>Spent to date</t>
        </is>
      </c>
      <c r="B129" s="22" t="n">
        <v>59600</v>
      </c>
    </row>
    <row r="130">
      <c r="A130" t="inlineStr">
        <is>
          <t>Budget to date</t>
        </is>
      </c>
      <c r="B130" s="22" t="n">
        <v>60000</v>
      </c>
    </row>
    <row r="131">
      <c r="A131" t="inlineStr">
        <is>
          <t>Months left</t>
        </is>
      </c>
      <c r="B131" s="22" t="n">
        <v>6</v>
      </c>
    </row>
    <row r="132">
      <c r="A132" t="inlineStr">
        <is>
          <t>Still to spend</t>
        </is>
      </c>
      <c r="B132" s="22">
        <f>B127-B129</f>
        <v/>
      </c>
    </row>
    <row r="133">
      <c r="A133" t="inlineStr">
        <is>
          <t>Over (under) budget to date</t>
        </is>
      </c>
      <c r="B133" s="22">
        <f>B129-B130</f>
        <v/>
      </c>
    </row>
    <row r="134">
      <c r="A134" s="29" t="inlineStr">
        <is>
          <t>Over (under) budget, % of budget to date</t>
        </is>
      </c>
      <c r="B134" s="33">
        <f>B129/B130-1</f>
        <v/>
      </c>
    </row>
    <row r="135"/>
    <row r="136">
      <c r="A136" s="10" t="inlineStr">
        <is>
          <t>Spend by month against budget</t>
        </is>
      </c>
    </row>
    <row r="137">
      <c r="A137" s="3" t="inlineStr">
        <is>
          <t>Month</t>
        </is>
      </c>
      <c r="B137" s="4" t="inlineStr">
        <is>
          <t>Spend</t>
        </is>
      </c>
      <c r="C137" s="4" t="inlineStr">
        <is>
          <t>Budget</t>
        </is>
      </c>
      <c r="D137" s="4" t="inlineStr">
        <is>
          <t>Spend against budget</t>
        </is>
      </c>
    </row>
    <row r="138">
      <c r="A138" t="inlineStr">
        <is>
          <t>Oct 25</t>
        </is>
      </c>
      <c r="B138" s="9" t="n">
        <v>5160</v>
      </c>
      <c r="C138" s="9" t="n">
        <v>5000</v>
      </c>
      <c r="D138" s="11">
        <f>IF(C138=0,"",B138/C138)</f>
        <v/>
      </c>
    </row>
    <row r="139">
      <c r="A139" t="inlineStr">
        <is>
          <t>Nov 25</t>
        </is>
      </c>
      <c r="B139" s="9" t="n">
        <v>4585</v>
      </c>
      <c r="C139" s="9" t="n">
        <v>5000</v>
      </c>
      <c r="D139" s="11">
        <f>IF(C139=0,"",B139/C139)</f>
        <v/>
      </c>
    </row>
    <row r="140">
      <c r="A140" t="inlineStr">
        <is>
          <t>Dec 25</t>
        </is>
      </c>
      <c r="B140" s="9" t="n">
        <v>5221</v>
      </c>
      <c r="C140" s="9" t="n">
        <v>5000</v>
      </c>
      <c r="D140" s="11">
        <f>IF(C140=0,"",B140/C140)</f>
        <v/>
      </c>
    </row>
    <row r="141">
      <c r="A141" t="inlineStr">
        <is>
          <t>Jan 26</t>
        </is>
      </c>
      <c r="B141" s="9" t="n">
        <v>4426</v>
      </c>
      <c r="C141" s="9" t="n">
        <v>5000</v>
      </c>
      <c r="D141" s="11">
        <f>IF(C141=0,"",B141/C141)</f>
        <v/>
      </c>
    </row>
    <row r="142">
      <c r="A142" t="inlineStr">
        <is>
          <t>Feb 26</t>
        </is>
      </c>
      <c r="B142" s="9" t="n">
        <v>5408</v>
      </c>
      <c r="C142" s="9" t="n">
        <v>5000</v>
      </c>
      <c r="D142" s="11">
        <f>IF(C142=0,"",B142/C142)</f>
        <v/>
      </c>
    </row>
    <row r="143">
      <c r="A143" t="inlineStr">
        <is>
          <t>Mar 26</t>
        </is>
      </c>
      <c r="B143" s="9" t="n">
        <v>5427</v>
      </c>
      <c r="C143" s="9" t="n">
        <v>5000</v>
      </c>
      <c r="D143" s="11">
        <f>IF(C143=0,"",B143/C143)</f>
        <v/>
      </c>
    </row>
    <row r="144">
      <c r="A144" t="inlineStr">
        <is>
          <t>Apr 26</t>
        </is>
      </c>
      <c r="B144" s="9" t="n">
        <v>5509</v>
      </c>
      <c r="C144" s="9" t="n">
        <v>5000</v>
      </c>
      <c r="D144" s="11">
        <f>IF(C144=0,"",B144/C144)</f>
        <v/>
      </c>
    </row>
    <row r="145">
      <c r="A145" t="inlineStr">
        <is>
          <t>May 26</t>
        </is>
      </c>
      <c r="B145" s="9" t="n">
        <v>4635</v>
      </c>
      <c r="C145" s="9" t="n">
        <v>5000</v>
      </c>
      <c r="D145" s="11">
        <f>IF(C145=0,"",B145/C145)</f>
        <v/>
      </c>
    </row>
    <row r="146">
      <c r="A146" t="inlineStr">
        <is>
          <t>Jun 26</t>
        </is>
      </c>
      <c r="B146" s="9" t="n">
        <v>4316</v>
      </c>
      <c r="C146" s="9" t="n">
        <v>5000</v>
      </c>
      <c r="D146" s="11">
        <f>IF(C146=0,"",B146/C146)</f>
        <v/>
      </c>
    </row>
    <row r="147">
      <c r="A147" t="inlineStr">
        <is>
          <t>Jul 26</t>
        </is>
      </c>
      <c r="B147" s="9" t="n">
        <v>4813</v>
      </c>
      <c r="C147" s="9" t="n">
        <v>5000</v>
      </c>
      <c r="D147" s="11">
        <f>IF(C147=0,"",B147/C147)</f>
        <v/>
      </c>
    </row>
    <row r="148">
      <c r="A148" t="inlineStr">
        <is>
          <t>Aug 26</t>
        </is>
      </c>
      <c r="B148" s="9" t="n">
        <v>5200</v>
      </c>
      <c r="C148" s="9" t="n">
        <v>5000</v>
      </c>
      <c r="D148" s="11">
        <f>IF(C148=0,"",B148/C148)</f>
        <v/>
      </c>
    </row>
    <row r="149">
      <c r="A149" t="inlineStr">
        <is>
          <t>Sep 26</t>
        </is>
      </c>
      <c r="B149" s="9" t="n">
        <v>4900</v>
      </c>
      <c r="C149" s="9" t="n">
        <v>5000</v>
      </c>
      <c r="D149" s="11">
        <f>IF(C149=0,"",B149/C149)</f>
        <v/>
      </c>
    </row>
    <row r="150">
      <c r="A150" s="25" t="inlineStr">
        <is>
          <t>Total</t>
        </is>
      </c>
      <c r="B150" s="34">
        <f>SUM(B138:B149)</f>
        <v/>
      </c>
      <c r="C150" s="34">
        <f>SUM(C138:C149)</f>
        <v/>
      </c>
      <c r="D150" s="35">
        <f>IF(C150=0,"",B150/C150)</f>
        <v/>
      </c>
    </row>
    <row r="151"/>
    <row r="152"/>
    <row r="153">
      <c r="A153" s="27" t="inlineStr">
        <is>
          <t>Community meals</t>
        </is>
      </c>
    </row>
    <row r="154">
      <c r="A154" s="28" t="inlineStr">
        <is>
          <t>Local council community grant · $48,000 · Jul 2026 to Jun 2027</t>
        </is>
      </c>
    </row>
    <row r="155">
      <c r="A155" s="3" t="inlineStr"/>
      <c r="B155" s="4" t="inlineStr">
        <is>
          <t>This grant</t>
        </is>
      </c>
    </row>
    <row r="156">
      <c r="A156" t="inlineStr">
        <is>
          <t>Grant total</t>
        </is>
      </c>
      <c r="B156" s="22" t="n">
        <v>48000</v>
      </c>
    </row>
    <row r="157">
      <c r="A157" t="inlineStr">
        <is>
          <t>Received from the funder</t>
        </is>
      </c>
      <c r="B157" s="22" t="n">
        <v>48000</v>
      </c>
    </row>
    <row r="158">
      <c r="A158" t="inlineStr">
        <is>
          <t>Spent to date</t>
        </is>
      </c>
      <c r="B158" s="22" t="n">
        <v>12000</v>
      </c>
    </row>
    <row r="159">
      <c r="A159" t="inlineStr">
        <is>
          <t>Budget to date</t>
        </is>
      </c>
      <c r="B159" s="22" t="n">
        <v>12000</v>
      </c>
    </row>
    <row r="160">
      <c r="A160" t="inlineStr">
        <is>
          <t>Months left</t>
        </is>
      </c>
      <c r="B160" s="22" t="n">
        <v>9</v>
      </c>
    </row>
    <row r="161">
      <c r="A161" t="inlineStr">
        <is>
          <t>Still to spend</t>
        </is>
      </c>
      <c r="B161" s="22">
        <f>B156-B158</f>
        <v/>
      </c>
    </row>
    <row r="162">
      <c r="A162" t="inlineStr">
        <is>
          <t>Over (under) budget to date</t>
        </is>
      </c>
      <c r="B162" s="22">
        <f>B158-B159</f>
        <v/>
      </c>
    </row>
    <row r="163">
      <c r="A163" s="29" t="inlineStr">
        <is>
          <t>Over (under) budget, % of budget to date</t>
        </is>
      </c>
      <c r="B163" s="33">
        <f>B158/B159-1</f>
        <v/>
      </c>
    </row>
    <row r="164"/>
    <row r="165">
      <c r="A165" s="10" t="inlineStr">
        <is>
          <t>Spend by month against budget</t>
        </is>
      </c>
    </row>
    <row r="166">
      <c r="A166" s="3" t="inlineStr">
        <is>
          <t>Month</t>
        </is>
      </c>
      <c r="B166" s="4" t="inlineStr">
        <is>
          <t>Spend</t>
        </is>
      </c>
      <c r="C166" s="4" t="inlineStr">
        <is>
          <t>Budget</t>
        </is>
      </c>
      <c r="D166" s="4" t="inlineStr">
        <is>
          <t>Spend against budget</t>
        </is>
      </c>
    </row>
    <row r="167">
      <c r="A167" t="inlineStr">
        <is>
          <t>Jul 26</t>
        </is>
      </c>
      <c r="B167" s="9" t="n">
        <v>3600</v>
      </c>
      <c r="C167" s="9" t="n">
        <v>4000</v>
      </c>
      <c r="D167" s="11">
        <f>IF(C167=0,"",B167/C167)</f>
        <v/>
      </c>
    </row>
    <row r="168">
      <c r="A168" t="inlineStr">
        <is>
          <t>Aug 26</t>
        </is>
      </c>
      <c r="B168" s="9" t="n">
        <v>4100</v>
      </c>
      <c r="C168" s="9" t="n">
        <v>4000</v>
      </c>
      <c r="D168" s="11">
        <f>IF(C168=0,"",B168/C168)</f>
        <v/>
      </c>
    </row>
    <row r="169">
      <c r="A169" t="inlineStr">
        <is>
          <t>Sep 26</t>
        </is>
      </c>
      <c r="B169" s="9" t="n">
        <v>4300</v>
      </c>
      <c r="C169" s="9" t="n">
        <v>4000</v>
      </c>
      <c r="D169" s="11">
        <f>IF(C169=0,"",B169/C169)</f>
        <v/>
      </c>
    </row>
    <row r="170">
      <c r="A170" s="25" t="inlineStr">
        <is>
          <t>Total</t>
        </is>
      </c>
      <c r="B170" s="34">
        <f>SUM(B167:B169)</f>
        <v/>
      </c>
      <c r="C170" s="34">
        <f>SUM(C167:C169)</f>
        <v/>
      </c>
      <c r="D170" s="35">
        <f>IF(C170=0,"",B170/C170)</f>
        <v/>
      </c>
    </row>
    <row r="171"/>
    <row r="172"/>
    <row r="173">
      <c r="A173" s="27" t="inlineStr">
        <is>
          <t>Volunteer coordinator</t>
        </is>
      </c>
    </row>
    <row r="174">
      <c r="A174" s="28" t="inlineStr">
        <is>
          <t>State volunteering grant · $36,000 · Mar 2026 to Feb 2027</t>
        </is>
      </c>
    </row>
    <row r="175">
      <c r="A175" s="3" t="inlineStr"/>
      <c r="B175" s="4" t="inlineStr">
        <is>
          <t>This grant</t>
        </is>
      </c>
    </row>
    <row r="176">
      <c r="A176" t="inlineStr">
        <is>
          <t>Grant total</t>
        </is>
      </c>
      <c r="B176" s="22" t="n">
        <v>36000</v>
      </c>
    </row>
    <row r="177">
      <c r="A177" t="inlineStr">
        <is>
          <t>Received from the funder</t>
        </is>
      </c>
      <c r="B177" s="22" t="n">
        <v>36000</v>
      </c>
    </row>
    <row r="178">
      <c r="A178" t="inlineStr">
        <is>
          <t>Spent to date</t>
        </is>
      </c>
      <c r="B178" s="22" t="n">
        <v>21000</v>
      </c>
    </row>
    <row r="179">
      <c r="A179" t="inlineStr">
        <is>
          <t>Budget to date</t>
        </is>
      </c>
      <c r="B179" s="22" t="n">
        <v>21000</v>
      </c>
    </row>
    <row r="180">
      <c r="A180" t="inlineStr">
        <is>
          <t>Months left</t>
        </is>
      </c>
      <c r="B180" s="22" t="n">
        <v>5</v>
      </c>
    </row>
    <row r="181">
      <c r="A181" t="inlineStr">
        <is>
          <t>Still to spend</t>
        </is>
      </c>
      <c r="B181" s="22">
        <f>B176-B178</f>
        <v/>
      </c>
    </row>
    <row r="182">
      <c r="A182" t="inlineStr">
        <is>
          <t>Over (under) budget to date</t>
        </is>
      </c>
      <c r="B182" s="22">
        <f>B178-B179</f>
        <v/>
      </c>
    </row>
    <row r="183">
      <c r="A183" s="29" t="inlineStr">
        <is>
          <t>Over (under) budget, % of budget to date</t>
        </is>
      </c>
      <c r="B183" s="33">
        <f>B178/B179-1</f>
        <v/>
      </c>
    </row>
    <row r="184"/>
    <row r="185">
      <c r="A185" s="10" t="inlineStr">
        <is>
          <t>Spend by month against budget</t>
        </is>
      </c>
    </row>
    <row r="186">
      <c r="A186" s="3" t="inlineStr">
        <is>
          <t>Month</t>
        </is>
      </c>
      <c r="B186" s="4" t="inlineStr">
        <is>
          <t>Spend</t>
        </is>
      </c>
      <c r="C186" s="4" t="inlineStr">
        <is>
          <t>Budget</t>
        </is>
      </c>
      <c r="D186" s="4" t="inlineStr">
        <is>
          <t>Spend against budget</t>
        </is>
      </c>
    </row>
    <row r="187">
      <c r="A187" t="inlineStr">
        <is>
          <t>Mar 26</t>
        </is>
      </c>
      <c r="B187" s="9" t="n">
        <v>2932</v>
      </c>
      <c r="C187" s="9" t="n">
        <v>3000</v>
      </c>
      <c r="D187" s="11">
        <f>IF(C187=0,"",B187/C187)</f>
        <v/>
      </c>
    </row>
    <row r="188">
      <c r="A188" t="inlineStr">
        <is>
          <t>Apr 26</t>
        </is>
      </c>
      <c r="B188" s="9" t="n">
        <v>3555</v>
      </c>
      <c r="C188" s="9" t="n">
        <v>3000</v>
      </c>
      <c r="D188" s="11">
        <f>IF(C188=0,"",B188/C188)</f>
        <v/>
      </c>
    </row>
    <row r="189">
      <c r="A189" t="inlineStr">
        <is>
          <t>May 26</t>
        </is>
      </c>
      <c r="B189" s="9" t="n">
        <v>2649</v>
      </c>
      <c r="C189" s="9" t="n">
        <v>3000</v>
      </c>
      <c r="D189" s="11">
        <f>IF(C189=0,"",B189/C189)</f>
        <v/>
      </c>
    </row>
    <row r="190">
      <c r="A190" t="inlineStr">
        <is>
          <t>Jun 26</t>
        </is>
      </c>
      <c r="B190" s="9" t="n">
        <v>2699</v>
      </c>
      <c r="C190" s="9" t="n">
        <v>3000</v>
      </c>
      <c r="D190" s="11">
        <f>IF(C190=0,"",B190/C190)</f>
        <v/>
      </c>
    </row>
    <row r="191">
      <c r="A191" t="inlineStr">
        <is>
          <t>Jul 26</t>
        </is>
      </c>
      <c r="B191" s="9" t="n">
        <v>3165</v>
      </c>
      <c r="C191" s="9" t="n">
        <v>3000</v>
      </c>
      <c r="D191" s="11">
        <f>IF(C191=0,"",B191/C191)</f>
        <v/>
      </c>
    </row>
    <row r="192">
      <c r="A192" t="inlineStr">
        <is>
          <t>Aug 26</t>
        </is>
      </c>
      <c r="B192" s="9" t="n">
        <v>3000</v>
      </c>
      <c r="C192" s="9" t="n">
        <v>3000</v>
      </c>
      <c r="D192" s="11">
        <f>IF(C192=0,"",B192/C192)</f>
        <v/>
      </c>
    </row>
    <row r="193">
      <c r="A193" t="inlineStr">
        <is>
          <t>Sep 26</t>
        </is>
      </c>
      <c r="B193" s="9" t="n">
        <v>3000</v>
      </c>
      <c r="C193" s="9" t="n">
        <v>3000</v>
      </c>
      <c r="D193" s="11">
        <f>IF(C193=0,"",B193/C193)</f>
        <v/>
      </c>
    </row>
    <row r="194">
      <c r="A194" s="25" t="inlineStr">
        <is>
          <t>Total</t>
        </is>
      </c>
      <c r="B194" s="34">
        <f>SUM(B187:B193)</f>
        <v/>
      </c>
      <c r="C194" s="34">
        <f>SUM(C187:C193)</f>
        <v/>
      </c>
      <c r="D194" s="35">
        <f>IF(C194=0,"",B194/C194)</f>
        <v/>
      </c>
    </row>
    <row r="195"/>
    <row r="196"/>
    <row r="197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nfp-sample-statements.xlsx&amp;C&amp;"Roboto,Regular"&amp;8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7" manualBreakCount="7">
    <brk id="31" min="0" max="16383" man="1"/>
    <brk id="42" min="0" max="16383" man="1"/>
    <brk id="74" min="0" max="16383" man="1"/>
    <brk id="100" min="0" max="16383" man="1"/>
    <brk id="123" min="0" max="16383" man="1"/>
    <brk id="152" min="0" max="16383" man="1"/>
    <brk id="17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59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90" customWidth="1" min="2" max="2"/>
  </cols>
  <sheetData>
    <row r="1">
      <c r="A1" s="1" t="inlineStr">
        <is>
          <t>Assumptions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Data status: Sep 2026 locked (data retrieved 2pm, Tue 6 Oct 2026) · Generated 22 Oct 2026, 4:57pm</t>
        </is>
      </c>
    </row>
    <row r="4"/>
    <row r="5">
      <c r="A5" s="12" t="inlineStr">
        <is>
          <t>The organisation</t>
        </is>
      </c>
    </row>
    <row r="6">
      <c r="A6" s="36" t="inlineStr">
        <is>
          <t>What it is</t>
        </is>
      </c>
      <c r="B6" s="37" t="inlineStr">
        <is>
          <t>A Brisbane community services charity funded by six grants, donations, events and program fees. About 18 staff. Registered charity, income-tax exempt.</t>
        </is>
      </c>
    </row>
    <row r="7">
      <c r="A7" s="36" t="inlineStr">
        <is>
          <t>Reporting month</t>
        </is>
      </c>
      <c r="B7" s="37" t="inlineStr">
        <is>
          <t>September 2026, compared with August 2026</t>
        </is>
      </c>
    </row>
    <row r="8">
      <c r="A8" s="36" t="inlineStr">
        <is>
          <t>Financial year</t>
        </is>
      </c>
      <c r="B8" s="37" t="inlineStr">
        <is>
          <t>FY2027: 1 July 2026 to 30 June 2027</t>
        </is>
      </c>
    </row>
    <row r="9"/>
    <row r="10">
      <c r="A10" s="12" t="inlineStr">
        <is>
          <t>Grants</t>
        </is>
      </c>
    </row>
    <row r="11">
      <c r="A11" s="36" t="inlineStr">
        <is>
          <t>Youth outreach</t>
        </is>
      </c>
      <c r="B11" s="37" t="inlineStr">
        <is>
          <t>State Department of Families: $480,000, 2025-07 to 2027-06</t>
        </is>
      </c>
    </row>
    <row r="12">
      <c r="A12" s="36" t="inlineStr">
        <is>
          <t>Housing support</t>
        </is>
      </c>
      <c r="B12" s="37" t="inlineStr">
        <is>
          <t>State Housing Program: $360,000, 2026-01 to 2026-12</t>
        </is>
      </c>
    </row>
    <row r="13">
      <c r="A13" s="36" t="inlineStr">
        <is>
          <t>Community meals</t>
        </is>
      </c>
      <c r="B13" s="37" t="inlineStr">
        <is>
          <t>Local council community grant: $48,000, 2026-07 to 2027-06</t>
        </is>
      </c>
    </row>
    <row r="14">
      <c r="A14" s="36" t="inlineStr">
        <is>
          <t>Digital literacy</t>
        </is>
      </c>
      <c r="B14" s="37" t="inlineStr">
        <is>
          <t>Philanthropic foundation: $90,000, 2025-10 to 2027-03</t>
        </is>
      </c>
    </row>
    <row r="15">
      <c r="A15" s="36" t="inlineStr">
        <is>
          <t>Mental health first aid</t>
        </is>
      </c>
      <c r="B15" s="37" t="inlineStr">
        <is>
          <t>Federal health program: $120,000, 2026-04 to 2027-03</t>
        </is>
      </c>
    </row>
    <row r="16">
      <c r="A16" s="36" t="inlineStr">
        <is>
          <t>Volunteer coordinator</t>
        </is>
      </c>
      <c r="B16" s="37" t="inlineStr">
        <is>
          <t>State volunteering grant: $36,000, 2026-03 to 2027-02</t>
        </is>
      </c>
    </row>
    <row r="17">
      <c r="A17" s="36" t="inlineStr">
        <is>
          <t>Grant income</t>
        </is>
      </c>
      <c r="B17" s="37" t="inlineStr">
        <is>
          <t>recognised as the money is spent on the program</t>
        </is>
      </c>
    </row>
    <row r="18">
      <c r="A18" s="36" t="inlineStr">
        <is>
          <t>Unspent grants</t>
        </is>
      </c>
      <c r="B18" s="37" t="inlineStr">
        <is>
          <t>instalments received but not yet spent are a liability (grants received in advance)</t>
        </is>
      </c>
    </row>
    <row r="19"/>
    <row r="20">
      <c r="A20" s="12" t="inlineStr">
        <is>
          <t>Other income and costs</t>
        </is>
      </c>
    </row>
    <row r="21">
      <c r="A21" s="36" t="inlineStr">
        <is>
          <t>Donations</t>
        </is>
      </c>
      <c r="B21" s="37" t="inlineStr">
        <is>
          <t>including the spring appeal in September</t>
        </is>
      </c>
    </row>
    <row r="22">
      <c r="A22" s="36" t="inlineStr">
        <is>
          <t>Fundraising event</t>
        </is>
      </c>
      <c r="B22" s="37" t="inlineStr">
        <is>
          <t>September gala: income and costs in the same month</t>
        </is>
      </c>
    </row>
    <row r="23">
      <c r="A23" s="36" t="inlineStr">
        <is>
          <t>Grant-funded spending</t>
        </is>
      </c>
      <c r="B23" s="37" t="inlineStr">
        <is>
          <t>75% wages, the rest program costs</t>
        </is>
      </c>
    </row>
    <row r="24">
      <c r="A24" s="36" t="inlineStr">
        <is>
          <t>Income tax</t>
        </is>
      </c>
      <c r="B24" s="37" t="inlineStr">
        <is>
          <t>none: registered charity, income-tax exempt</t>
        </is>
      </c>
    </row>
    <row r="25"/>
    <row r="26">
      <c r="A26" s="12" t="inlineStr">
        <is>
          <t>Cash and balance sheet</t>
        </is>
      </c>
    </row>
    <row r="27">
      <c r="A27" s="36" t="inlineStr">
        <is>
          <t>Suppliers</t>
        </is>
      </c>
      <c r="B27" s="37" t="inlineStr">
        <is>
          <t>paid the following month</t>
        </is>
      </c>
    </row>
    <row r="28">
      <c r="A28" s="36" t="inlineStr">
        <is>
          <t>Unrestricted cash</t>
        </is>
      </c>
      <c r="B28" s="37" t="inlineStr">
        <is>
          <t>cash at bank less unspent grant money, and less GST and PAYG withheld owed to the ATO</t>
        </is>
      </c>
    </row>
    <row r="29">
      <c r="A29" s="36" t="inlineStr">
        <is>
          <t>Cash runway</t>
        </is>
      </c>
      <c r="B29" s="37" t="inlineStr">
        <is>
          <t>unrestricted cash ÷ this month's cash spending</t>
        </is>
      </c>
    </row>
    <row r="30">
      <c r="A30" s="36" t="inlineStr">
        <is>
          <t>Reserves target</t>
        </is>
      </c>
      <c r="B30" s="37" t="inlineStr">
        <is>
          <t>3 months of spending</t>
        </is>
      </c>
    </row>
    <row r="31"/>
    <row r="32">
      <c r="A32" s="12" t="inlineStr">
        <is>
          <t>GST, BAS and payroll</t>
        </is>
      </c>
    </row>
    <row r="33">
      <c r="A33" s="36" t="inlineStr">
        <is>
          <t>GST</t>
        </is>
      </c>
      <c r="B33" s="37" t="inlineStr">
        <is>
          <t>registered (income over the $150,000 not-for-profit threshold); 10%, accruals basis. The P&amp;L excludes GST; cash, fees receivable and bills include it</t>
        </is>
      </c>
    </row>
    <row r="34">
      <c r="A34" s="36" t="inlineStr">
        <is>
          <t>BAS</t>
        </is>
      </c>
      <c r="B34" s="37" t="inlineStr">
        <is>
          <t>quarterly, self-lodged: GST on sales − GST credits + PAYG withheld. July to September is due 28 October; October to December, 28 February</t>
        </is>
      </c>
    </row>
    <row r="35">
      <c r="A35" s="36" t="inlineStr">
        <is>
          <t>Pay runs</t>
        </is>
      </c>
      <c r="B35" s="37" t="inlineStr">
        <is>
          <t>fortnightly on Thursdays: $39,298 gross (a 26th of the year's gross wages); net pay $32,617 and super $4,716 paid on the day; PAYG withheld (about 17% of gross, $6,681) goes with the BAS. Two months a year have three pay runs</t>
        </is>
      </c>
    </row>
    <row r="36">
      <c r="A36" s="36" t="inlineStr">
        <is>
          <t>Super</t>
        </is>
      </c>
      <c r="B36" s="37" t="inlineStr">
        <is>
          <t>12% of gross wages, paid with each pay run (Payday Super, from 1 July 2026)</t>
        </is>
      </c>
    </row>
    <row r="37">
      <c r="A37" s="36" t="inlineStr">
        <is>
          <t>Payroll tax</t>
        </is>
      </c>
      <c r="B37" s="37" t="inlineStr">
        <is>
          <t>none: the charity is exempt for wages paid for its charitable work (assumption to confirm)</t>
        </is>
      </c>
    </row>
    <row r="38">
      <c r="A38" s="36" t="inlineStr">
        <is>
          <t>Banking days</t>
        </is>
      </c>
      <c r="B38" s="37" t="inlineStr">
        <is>
          <t>money only moves on banking days: a payment due on a weekend or Queensland public holiday moves to the next banking day</t>
        </is>
      </c>
    </row>
    <row r="39">
      <c r="A39" s="36" t="inlineStr">
        <is>
          <t>Donations (assumption to confirm)</t>
        </is>
      </c>
      <c r="B39" s="37" t="inlineStr">
        <is>
          <t>no GST: a gift isn't payment for anything</t>
        </is>
      </c>
    </row>
    <row r="40">
      <c r="A40" s="36" t="inlineStr">
        <is>
          <t>Program fees (assumption to confirm)</t>
        </is>
      </c>
      <c r="B40" s="37" t="inlineStr">
        <is>
          <t>taxable: GST included in what's charged</t>
        </is>
      </c>
    </row>
    <row r="41">
      <c r="A41" s="36" t="inlineStr">
        <is>
          <t>Grants (assumption to confirm)</t>
        </is>
      </c>
      <c r="B41" s="37" t="inlineStr">
        <is>
          <t>taxable supplies under each funding agreement: the funder pays each instalment plus 10% GST</t>
        </is>
      </c>
    </row>
    <row r="42">
      <c r="A42" s="36" t="inlineStr">
        <is>
          <t>Fundraising events (assumption to confirm)</t>
        </is>
      </c>
      <c r="B42" s="37" t="inlineStr">
        <is>
          <t>taxable: ticket sales include GST</t>
        </is>
      </c>
    </row>
    <row r="43"/>
    <row r="44">
      <c r="A44" s="12" t="inlineStr">
        <is>
          <t>Checks (all passed)</t>
        </is>
      </c>
    </row>
    <row r="45">
      <c r="A45" t="inlineStr">
        <is>
          <t>✓ Every subtotal and total adds up</t>
        </is>
      </c>
    </row>
    <row r="46">
      <c r="A46" t="inlineStr">
        <is>
          <t>✓ Balance sheet balances: assets = liabilities + accumulated funds</t>
        </is>
      </c>
    </row>
    <row r="47">
      <c r="A47" t="inlineStr">
        <is>
          <t>✓ Cash flow ends at the cash in the bank</t>
        </is>
      </c>
    </row>
    <row r="48">
      <c r="A48" t="inlineStr">
        <is>
          <t>✓ Surplus ties to the movement in accumulated funds</t>
        </is>
      </c>
    </row>
    <row r="49">
      <c r="A49" t="inlineStr">
        <is>
          <t>✓ Grant income equals what was spent on each grant</t>
        </is>
      </c>
    </row>
    <row r="50">
      <c r="A50" t="inlineStr">
        <is>
          <t>✓ Unspent grants equal instalments received less income recognised</t>
        </is>
      </c>
    </row>
    <row r="51"/>
    <row r="52">
      <c r="A52" s="12" t="inlineStr">
        <is>
          <t>Print check (done before this file was saved)</t>
        </is>
      </c>
    </row>
    <row r="53">
      <c r="A53" t="inlineStr">
        <is>
          <t>✓ The fourth sheet: 1 page, 100% scale, no block split</t>
        </is>
      </c>
    </row>
    <row r="54">
      <c r="A54" t="inlineStr">
        <is>
          <t>✓ Income and expenditure: 2 pages, 100% scale, no block split</t>
        </is>
      </c>
    </row>
    <row r="55">
      <c r="A55" t="inlineStr">
        <is>
          <t>✓ Balance sheet: 1 page, 100% scale, no block split</t>
        </is>
      </c>
    </row>
    <row r="56">
      <c r="A56" t="inlineStr">
        <is>
          <t>✓ Cash flow: 1 page, 100% scale, no block split</t>
        </is>
      </c>
    </row>
    <row r="57">
      <c r="A57" t="inlineStr">
        <is>
          <t>✓ Grants: 1 page, 66% scale, no block split</t>
        </is>
      </c>
    </row>
    <row r="58">
      <c r="A58" t="inlineStr">
        <is>
          <t>✓ Workings: 8 pages, 100% scale, no block split</t>
        </is>
      </c>
    </row>
    <row r="59">
      <c r="A59" t="inlineStr">
        <is>
          <t>✓ Assumptions: 2 pages, 100% scale, no block split</t>
        </is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nfp-sample-statements.xlsx&amp;C&amp;"Roboto,Regular"&amp;8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2026-10-22T06:57:31Z</dcterms:created>
  <dcterms:modified xmlns:dcterms="http://purl.org/dc/terms/" xmlns:xsi="http://www.w3.org/2001/XMLSchema-instance" xsi:type="dcterms:W3CDTF">2026-10-22T06:57:31Z</dcterms:modified>
</cp:coreProperties>
</file>