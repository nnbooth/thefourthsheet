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Deliveries out" sheetId="4" state="visible" r:id="rId4"/>
    <sheet xmlns:r="http://schemas.openxmlformats.org/officeDocument/2006/relationships" name="Deliveries in" sheetId="5" state="visible" r:id="rId5"/>
  </sheets>
  <definedNames>
    <definedName name="_xlnm.Print_Area" localSheetId="0">'Summary'!$A$1:$K$54</definedName>
    <definedName name="_xlnm._FilterDatabase" localSheetId="1" hidden="1">'Customers'!$A$5:$H$70</definedName>
    <definedName name="_xlnm.Print_Titles" localSheetId="1">'Customers'!$5:$5</definedName>
    <definedName name="_xlnm.Print_Area" localSheetId="1">'Customers'!$A$1:$H$70</definedName>
    <definedName name="_xlnm._FilterDatabase" localSheetId="2" hidden="1">'Suppliers'!$A$5:$H$19</definedName>
    <definedName name="_xlnm.Print_Titles" localSheetId="2">'Suppliers'!$5:$5</definedName>
    <definedName name="_xlnm.Print_Area" localSheetId="2">'Suppliers'!$A$1:$H$19</definedName>
    <definedName name="_xlnm._FilterDatabase" localSheetId="3" hidden="1">'Deliveries out'!$A$5:$Q$1885</definedName>
    <definedName name="_xlnm.Print_Titles" localSheetId="3">'Deliveries out'!$5:$5</definedName>
    <definedName name="_xlnm.Print_Area" localSheetId="3">'Deliveries out'!$A$1:$Q$1885</definedName>
    <definedName name="_xlnm._FilterDatabase" localSheetId="4" hidden="1">'Deliveries in'!$A$5:$P$294</definedName>
    <definedName name="_xlnm.Print_Titles" localSheetId="4">'Deliveries in'!$5:$5</definedName>
    <definedName name="_xlnm.Print_Area" localSheetId="4">'Deliveries in'!$A$1:$P$294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-&quot;"/>
    <numFmt numFmtId="165" formatCode="yyyy-mm-dd"/>
    <numFmt numFmtId="166" formatCode="d mmm yyyy"/>
    <numFmt numFmtId="167" formatCode="0.0%;[Red](0.0%);&quot;-&quot;"/>
  </numFmts>
  <fonts count="8">
    <font>
      <name val="Roboto"/>
      <sz val="11"/>
    </font>
    <font>
      <name val="Roboto"/>
      <sz val="11"/>
    </font>
    <font>
      <b val="1"/>
      <color rgb="0025342A"/>
      <sz val="14"/>
    </font>
    <font>
      <i val="1"/>
      <color rgb="005F6F63"/>
      <sz val="9"/>
    </font>
    <font>
      <b val="1"/>
      <color rgb="00FFFFFF"/>
    </font>
    <font>
      <b val="1"/>
      <color rgb="002F7A5D"/>
      <sz val="12"/>
    </font>
    <font>
      <color rgb="005F6F63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3EADF"/>
        </patternFill>
      </fill>
    </dxf>
    <dxf>
      <fill>
        <patternFill patternType="solid">
          <fgColor rgb="00EFD9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Deliveries in and out: summary</t>
        </is>
      </c>
    </row>
    <row r="2">
      <c r="A2" s="2" t="inlineStr">
        <is>
          <t>Sample Distribution · Wacol DC · SAMPLE DATA (invented) · The Fourth Sheet · Made with Python (openpyxl)</t>
        </is>
      </c>
    </row>
    <row r="3">
      <c r="A3" s="2" t="inlineStr">
        <is>
          <t>Data status (data retrieved 2pm, Tue 6 Oct 2026): today's deliveries are incomplete; 1–5 October is provisional (until October is locked); September and earlier are locked. Generated 22 Oct 2026, 7:51pm.</t>
        </is>
      </c>
    </row>
    <row r="4"/>
    <row r="5">
      <c r="A5" s="3" t="inlineStr">
        <is>
          <t>Deliveries out, to customers</t>
        </is>
      </c>
    </row>
    <row r="6">
      <c r="A6" s="4" t="inlineStr">
        <is>
          <t>Period</t>
        </is>
      </c>
      <c r="B6" s="4" t="inlineStr">
        <is>
          <t>From</t>
        </is>
      </c>
      <c r="C6" s="4" t="inlineStr">
        <is>
          <t>To</t>
        </is>
      </c>
      <c r="D6" s="4" t="inlineStr">
        <is>
          <t>Due in period</t>
        </is>
      </c>
      <c r="E6" s="4" t="inlineStr">
        <is>
          <t>On time</t>
        </is>
      </c>
      <c r="F6" s="4" t="inlineStr">
        <is>
          <t>Late</t>
        </is>
      </c>
      <c r="G6" s="4" t="inlineStr">
        <is>
          <t>Very late</t>
        </is>
      </c>
      <c r="H6" s="4" t="inlineStr">
        <is>
          <t>Overdue now</t>
        </is>
      </c>
      <c r="I6" s="4" t="inlineStr">
        <is>
          <t>Not due yet / on its way</t>
        </is>
      </c>
      <c r="J6" s="4" t="inlineStr">
        <is>
          <t>On time %</t>
        </is>
      </c>
      <c r="K6" s="4" t="inlineStr">
        <is>
          <t>In full %</t>
        </is>
      </c>
    </row>
    <row r="7">
      <c r="A7" t="inlineStr">
        <is>
          <t>Today, Tue 6 Oct (as at 2pm)</t>
        </is>
      </c>
      <c r="B7" s="5" t="n">
        <v>46301</v>
      </c>
      <c r="C7" s="5" t="n">
        <v>46301</v>
      </c>
      <c r="D7" s="6">
        <f>COUNTIFS('Deliveries out'!$H:$H,"&gt;="&amp;$B7,'Deliveries out'!$H:$H,"&lt;="&amp;$C7)</f>
        <v/>
      </c>
      <c r="E7" s="6">
        <f>COUNTIFS('Deliveries out'!$H:$H,"&gt;="&amp;$B7,'Deliveries out'!$H:$H,"&lt;="&amp;$C7,'Deliveries out'!$K:$K,"On time")</f>
        <v/>
      </c>
      <c r="F7" s="6">
        <f>COUNTIFS('Deliveries out'!$H:$H,"&gt;="&amp;$B7,'Deliveries out'!$H:$H,"&lt;="&amp;$C7,'Deliveries out'!$K:$K,"Late")</f>
        <v/>
      </c>
      <c r="G7" s="6">
        <f>COUNTIFS('Deliveries out'!$H:$H,"&gt;="&amp;$B7,'Deliveries out'!$H:$H,"&lt;="&amp;$C7,'Deliveries out'!$K:$K,"Very late")</f>
        <v/>
      </c>
      <c r="H7" s="6">
        <f>COUNTIFS('Deliveries out'!$H:$H,"&gt;="&amp;$B7,'Deliveries out'!$H:$H,"&lt;="&amp;$C7,'Deliveries out'!$K:$K,"Overdue")</f>
        <v/>
      </c>
      <c r="I7" s="6">
        <f>COUNTIFS('Deliveries out'!$H:$H,"&gt;="&amp;$B7,'Deliveries out'!$H:$H,"&lt;="&amp;$C7,'Deliveries out'!$K:$K,"In transit")</f>
        <v/>
      </c>
      <c r="J7" s="7">
        <f>IF(SUM(E7:H7)=0,"",E7/SUM(E7:H7))</f>
        <v/>
      </c>
      <c r="K7" s="7">
        <f>IF(SUM(E7:G7)=0,"",SUMIFS('Deliveries out'!$P:$P,'Deliveries out'!$H:$H,"&gt;="&amp;$B7,'Deliveries out'!$H:$H,"&lt;="&amp;$C7,'Deliveries out'!$Q:$Q,1)/SUM(E7:G7))</f>
        <v/>
      </c>
    </row>
    <row r="8">
      <c r="A8" t="inlineStr">
        <is>
          <t>Fri 2 Oct (last working day)</t>
        </is>
      </c>
      <c r="B8" s="5" t="n">
        <v>46297</v>
      </c>
      <c r="C8" s="5" t="n">
        <v>46297</v>
      </c>
      <c r="D8" s="6">
        <f>COUNTIFS('Deliveries out'!$H:$H,"&gt;="&amp;$B8,'Deliveries out'!$H:$H,"&lt;="&amp;$C8)</f>
        <v/>
      </c>
      <c r="E8" s="6">
        <f>COUNTIFS('Deliveries out'!$H:$H,"&gt;="&amp;$B8,'Deliveries out'!$H:$H,"&lt;="&amp;$C8,'Deliveries out'!$K:$K,"On time")</f>
        <v/>
      </c>
      <c r="F8" s="6">
        <f>COUNTIFS('Deliveries out'!$H:$H,"&gt;="&amp;$B8,'Deliveries out'!$H:$H,"&lt;="&amp;$C8,'Deliveries out'!$K:$K,"Late")</f>
        <v/>
      </c>
      <c r="G8" s="6">
        <f>COUNTIFS('Deliveries out'!$H:$H,"&gt;="&amp;$B8,'Deliveries out'!$H:$H,"&lt;="&amp;$C8,'Deliveries out'!$K:$K,"Very late")</f>
        <v/>
      </c>
      <c r="H8" s="6">
        <f>COUNTIFS('Deliveries out'!$H:$H,"&gt;="&amp;$B8,'Deliveries out'!$H:$H,"&lt;="&amp;$C8,'Deliveries out'!$K:$K,"Overdue")</f>
        <v/>
      </c>
      <c r="I8" s="6">
        <f>COUNTIFS('Deliveries out'!$H:$H,"&gt;="&amp;$B8,'Deliveries out'!$H:$H,"&lt;="&amp;$C8,'Deliveries out'!$K:$K,"In transit")</f>
        <v/>
      </c>
      <c r="J8" s="7">
        <f>IF(SUM(E8:H8)=0,"",E8/SUM(E8:H8))</f>
        <v/>
      </c>
      <c r="K8" s="7">
        <f>IF(SUM(E8:G8)=0,"",SUMIFS('Deliveries out'!$P:$P,'Deliveries out'!$H:$H,"&gt;="&amp;$B8,'Deliveries out'!$H:$H,"&lt;="&amp;$C8,'Deliveries out'!$Q:$Q,1)/SUM(E8:G8))</f>
        <v/>
      </c>
    </row>
    <row r="9">
      <c r="A9" t="inlineStr">
        <is>
          <t>Last 7 days (30 Sep to 6 Oct)</t>
        </is>
      </c>
      <c r="B9" s="5" t="n">
        <v>46295</v>
      </c>
      <c r="C9" s="5" t="n">
        <v>46301</v>
      </c>
      <c r="D9" s="6">
        <f>COUNTIFS('Deliveries out'!$H:$H,"&gt;="&amp;$B9,'Deliveries out'!$H:$H,"&lt;="&amp;$C9)</f>
        <v/>
      </c>
      <c r="E9" s="6">
        <f>COUNTIFS('Deliveries out'!$H:$H,"&gt;="&amp;$B9,'Deliveries out'!$H:$H,"&lt;="&amp;$C9,'Deliveries out'!$K:$K,"On time")</f>
        <v/>
      </c>
      <c r="F9" s="6">
        <f>COUNTIFS('Deliveries out'!$H:$H,"&gt;="&amp;$B9,'Deliveries out'!$H:$H,"&lt;="&amp;$C9,'Deliveries out'!$K:$K,"Late")</f>
        <v/>
      </c>
      <c r="G9" s="6">
        <f>COUNTIFS('Deliveries out'!$H:$H,"&gt;="&amp;$B9,'Deliveries out'!$H:$H,"&lt;="&amp;$C9,'Deliveries out'!$K:$K,"Very late")</f>
        <v/>
      </c>
      <c r="H9" s="6">
        <f>COUNTIFS('Deliveries out'!$H:$H,"&gt;="&amp;$B9,'Deliveries out'!$H:$H,"&lt;="&amp;$C9,'Deliveries out'!$K:$K,"Overdue")</f>
        <v/>
      </c>
      <c r="I9" s="6">
        <f>COUNTIFS('Deliveries out'!$H:$H,"&gt;="&amp;$B9,'Deliveries out'!$H:$H,"&lt;="&amp;$C9,'Deliveries out'!$K:$K,"In transit")</f>
        <v/>
      </c>
      <c r="J9" s="7">
        <f>IF(SUM(E9:H9)=0,"",E9/SUM(E9:H9))</f>
        <v/>
      </c>
      <c r="K9" s="7">
        <f>IF(SUM(E9:G9)=0,"",SUMIFS('Deliveries out'!$P:$P,'Deliveries out'!$H:$H,"&gt;="&amp;$B9,'Deliveries out'!$H:$H,"&lt;="&amp;$C9,'Deliveries out'!$Q:$Q,1)/SUM(E9:G9))</f>
        <v/>
      </c>
    </row>
    <row r="10">
      <c r="A10" t="inlineStr">
        <is>
          <t>Last 30 days (7 Sep to 6 Oct)</t>
        </is>
      </c>
      <c r="B10" s="5" t="n">
        <v>46272</v>
      </c>
      <c r="C10" s="5" t="n">
        <v>46301</v>
      </c>
      <c r="D10" s="6">
        <f>COUNTIFS('Deliveries out'!$H:$H,"&gt;="&amp;$B10,'Deliveries out'!$H:$H,"&lt;="&amp;$C10)</f>
        <v/>
      </c>
      <c r="E10" s="6">
        <f>COUNTIFS('Deliveries out'!$H:$H,"&gt;="&amp;$B10,'Deliveries out'!$H:$H,"&lt;="&amp;$C10,'Deliveries out'!$K:$K,"On time")</f>
        <v/>
      </c>
      <c r="F10" s="6">
        <f>COUNTIFS('Deliveries out'!$H:$H,"&gt;="&amp;$B10,'Deliveries out'!$H:$H,"&lt;="&amp;$C10,'Deliveries out'!$K:$K,"Late")</f>
        <v/>
      </c>
      <c r="G10" s="6">
        <f>COUNTIFS('Deliveries out'!$H:$H,"&gt;="&amp;$B10,'Deliveries out'!$H:$H,"&lt;="&amp;$C10,'Deliveries out'!$K:$K,"Very late")</f>
        <v/>
      </c>
      <c r="H10" s="6">
        <f>COUNTIFS('Deliveries out'!$H:$H,"&gt;="&amp;$B10,'Deliveries out'!$H:$H,"&lt;="&amp;$C10,'Deliveries out'!$K:$K,"Overdue")</f>
        <v/>
      </c>
      <c r="I10" s="6">
        <f>COUNTIFS('Deliveries out'!$H:$H,"&gt;="&amp;$B10,'Deliveries out'!$H:$H,"&lt;="&amp;$C10,'Deliveries out'!$K:$K,"In transit")</f>
        <v/>
      </c>
      <c r="J10" s="7">
        <f>IF(SUM(E10:H10)=0,"",E10/SUM(E10:H10))</f>
        <v/>
      </c>
      <c r="K10" s="7">
        <f>IF(SUM(E10:G10)=0,"",SUMIFS('Deliveries out'!$P:$P,'Deliveries out'!$H:$H,"&gt;="&amp;$B10,'Deliveries out'!$H:$H,"&lt;="&amp;$C10,'Deliveries out'!$Q:$Q,1)/SUM(E10:G10))</f>
        <v/>
      </c>
    </row>
    <row r="11"/>
    <row r="12"/>
    <row r="13">
      <c r="A13" s="3" t="inlineStr">
        <is>
          <t>Deliveries in, from suppliers</t>
        </is>
      </c>
    </row>
    <row r="14">
      <c r="A14" s="4" t="inlineStr">
        <is>
          <t>Period</t>
        </is>
      </c>
      <c r="B14" s="4" t="inlineStr">
        <is>
          <t>From</t>
        </is>
      </c>
      <c r="C14" s="4" t="inlineStr">
        <is>
          <t>To</t>
        </is>
      </c>
      <c r="D14" s="4" t="inlineStr">
        <is>
          <t>Due in period</t>
        </is>
      </c>
      <c r="E14" s="4" t="inlineStr">
        <is>
          <t>On time</t>
        </is>
      </c>
      <c r="F14" s="4" t="inlineStr">
        <is>
          <t>Late</t>
        </is>
      </c>
      <c r="G14" s="4" t="inlineStr">
        <is>
          <t>Very late</t>
        </is>
      </c>
      <c r="H14" s="4" t="inlineStr">
        <is>
          <t>Overdue now</t>
        </is>
      </c>
      <c r="I14" s="4" t="inlineStr">
        <is>
          <t>Not due yet / on its way</t>
        </is>
      </c>
      <c r="J14" s="4" t="inlineStr">
        <is>
          <t>On time %</t>
        </is>
      </c>
      <c r="K14" s="4" t="inlineStr">
        <is>
          <t>In full %</t>
        </is>
      </c>
    </row>
    <row r="15">
      <c r="A15" t="inlineStr">
        <is>
          <t>Today, Tue 6 Oct (as at 2pm)</t>
        </is>
      </c>
      <c r="B15" s="5" t="n">
        <v>46301</v>
      </c>
      <c r="C15" s="5" t="n">
        <v>46301</v>
      </c>
      <c r="D15" s="6">
        <f>COUNTIFS('Deliveries in'!$G:$G,"&gt;="&amp;$B15,'Deliveries in'!$G:$G,"&lt;="&amp;$C15)</f>
        <v/>
      </c>
      <c r="E15" s="6">
        <f>COUNTIFS('Deliveries in'!$G:$G,"&gt;="&amp;$B15,'Deliveries in'!$G:$G,"&lt;="&amp;$C15,'Deliveries in'!$I:$I,"On time")</f>
        <v/>
      </c>
      <c r="F15" s="6">
        <f>COUNTIFS('Deliveries in'!$G:$G,"&gt;="&amp;$B15,'Deliveries in'!$G:$G,"&lt;="&amp;$C15,'Deliveries in'!$I:$I,"Late")</f>
        <v/>
      </c>
      <c r="G15" s="6">
        <f>COUNTIFS('Deliveries in'!$G:$G,"&gt;="&amp;$B15,'Deliveries in'!$G:$G,"&lt;="&amp;$C15,'Deliveries in'!$I:$I,"Very late")</f>
        <v/>
      </c>
      <c r="H15" s="6">
        <f>COUNTIFS('Deliveries in'!$G:$G,"&gt;="&amp;$B15,'Deliveries in'!$G:$G,"&lt;="&amp;$C15,'Deliveries in'!$I:$I,"Overdue")</f>
        <v/>
      </c>
      <c r="I15" s="6">
        <f>COUNTIFS('Deliveries in'!$G:$G,"&gt;="&amp;$B15,'Deliveries in'!$G:$G,"&lt;="&amp;$C15,'Deliveries in'!$I:$I,"Due")</f>
        <v/>
      </c>
      <c r="J15" s="7">
        <f>IF(SUM(E15:H15)=0,"",E15/SUM(E15:H15))</f>
        <v/>
      </c>
      <c r="K15" s="7">
        <f>IF(SUM(E15:G15)=0,"",SUMIFS('Deliveries in'!$P:$P,'Deliveries in'!$G:$G,"&gt;="&amp;$B15,'Deliveries in'!$G:$G,"&lt;="&amp;$C15,'Deliveries in'!$O:$O,1)/SUM(E15:G15))</f>
        <v/>
      </c>
    </row>
    <row r="16">
      <c r="A16" t="inlineStr">
        <is>
          <t>Fri 2 Oct (last working day)</t>
        </is>
      </c>
      <c r="B16" s="5" t="n">
        <v>46297</v>
      </c>
      <c r="C16" s="5" t="n">
        <v>46297</v>
      </c>
      <c r="D16" s="6">
        <f>COUNTIFS('Deliveries in'!$G:$G,"&gt;="&amp;$B16,'Deliveries in'!$G:$G,"&lt;="&amp;$C16)</f>
        <v/>
      </c>
      <c r="E16" s="6">
        <f>COUNTIFS('Deliveries in'!$G:$G,"&gt;="&amp;$B16,'Deliveries in'!$G:$G,"&lt;="&amp;$C16,'Deliveries in'!$I:$I,"On time")</f>
        <v/>
      </c>
      <c r="F16" s="6">
        <f>COUNTIFS('Deliveries in'!$G:$G,"&gt;="&amp;$B16,'Deliveries in'!$G:$G,"&lt;="&amp;$C16,'Deliveries in'!$I:$I,"Late")</f>
        <v/>
      </c>
      <c r="G16" s="6">
        <f>COUNTIFS('Deliveries in'!$G:$G,"&gt;="&amp;$B16,'Deliveries in'!$G:$G,"&lt;="&amp;$C16,'Deliveries in'!$I:$I,"Very late")</f>
        <v/>
      </c>
      <c r="H16" s="6">
        <f>COUNTIFS('Deliveries in'!$G:$G,"&gt;="&amp;$B16,'Deliveries in'!$G:$G,"&lt;="&amp;$C16,'Deliveries in'!$I:$I,"Overdue")</f>
        <v/>
      </c>
      <c r="I16" s="6">
        <f>COUNTIFS('Deliveries in'!$G:$G,"&gt;="&amp;$B16,'Deliveries in'!$G:$G,"&lt;="&amp;$C16,'Deliveries in'!$I:$I,"Due")</f>
        <v/>
      </c>
      <c r="J16" s="7">
        <f>IF(SUM(E16:H16)=0,"",E16/SUM(E16:H16))</f>
        <v/>
      </c>
      <c r="K16" s="7">
        <f>IF(SUM(E16:G16)=0,"",SUMIFS('Deliveries in'!$P:$P,'Deliveries in'!$G:$G,"&gt;="&amp;$B16,'Deliveries in'!$G:$G,"&lt;="&amp;$C16,'Deliveries in'!$O:$O,1)/SUM(E16:G16))</f>
        <v/>
      </c>
    </row>
    <row r="17">
      <c r="A17" t="inlineStr">
        <is>
          <t>Last 7 days (30 Sep to 6 Oct)</t>
        </is>
      </c>
      <c r="B17" s="5" t="n">
        <v>46295</v>
      </c>
      <c r="C17" s="5" t="n">
        <v>46301</v>
      </c>
      <c r="D17" s="6">
        <f>COUNTIFS('Deliveries in'!$G:$G,"&gt;="&amp;$B17,'Deliveries in'!$G:$G,"&lt;="&amp;$C17)</f>
        <v/>
      </c>
      <c r="E17" s="6">
        <f>COUNTIFS('Deliveries in'!$G:$G,"&gt;="&amp;$B17,'Deliveries in'!$G:$G,"&lt;="&amp;$C17,'Deliveries in'!$I:$I,"On time")</f>
        <v/>
      </c>
      <c r="F17" s="6">
        <f>COUNTIFS('Deliveries in'!$G:$G,"&gt;="&amp;$B17,'Deliveries in'!$G:$G,"&lt;="&amp;$C17,'Deliveries in'!$I:$I,"Late")</f>
        <v/>
      </c>
      <c r="G17" s="6">
        <f>COUNTIFS('Deliveries in'!$G:$G,"&gt;="&amp;$B17,'Deliveries in'!$G:$G,"&lt;="&amp;$C17,'Deliveries in'!$I:$I,"Very late")</f>
        <v/>
      </c>
      <c r="H17" s="6">
        <f>COUNTIFS('Deliveries in'!$G:$G,"&gt;="&amp;$B17,'Deliveries in'!$G:$G,"&lt;="&amp;$C17,'Deliveries in'!$I:$I,"Overdue")</f>
        <v/>
      </c>
      <c r="I17" s="6">
        <f>COUNTIFS('Deliveries in'!$G:$G,"&gt;="&amp;$B17,'Deliveries in'!$G:$G,"&lt;="&amp;$C17,'Deliveries in'!$I:$I,"Due")</f>
        <v/>
      </c>
      <c r="J17" s="7">
        <f>IF(SUM(E17:H17)=0,"",E17/SUM(E17:H17))</f>
        <v/>
      </c>
      <c r="K17" s="7">
        <f>IF(SUM(E17:G17)=0,"",SUMIFS('Deliveries in'!$P:$P,'Deliveries in'!$G:$G,"&gt;="&amp;$B17,'Deliveries in'!$G:$G,"&lt;="&amp;$C17,'Deliveries in'!$O:$O,1)/SUM(E17:G17))</f>
        <v/>
      </c>
    </row>
    <row r="18">
      <c r="A18" t="inlineStr">
        <is>
          <t>Last 30 days (7 Sep to 6 Oct)</t>
        </is>
      </c>
      <c r="B18" s="5" t="n">
        <v>46272</v>
      </c>
      <c r="C18" s="5" t="n">
        <v>46301</v>
      </c>
      <c r="D18" s="6">
        <f>COUNTIFS('Deliveries in'!$G:$G,"&gt;="&amp;$B18,'Deliveries in'!$G:$G,"&lt;="&amp;$C18)</f>
        <v/>
      </c>
      <c r="E18" s="6">
        <f>COUNTIFS('Deliveries in'!$G:$G,"&gt;="&amp;$B18,'Deliveries in'!$G:$G,"&lt;="&amp;$C18,'Deliveries in'!$I:$I,"On time")</f>
        <v/>
      </c>
      <c r="F18" s="6">
        <f>COUNTIFS('Deliveries in'!$G:$G,"&gt;="&amp;$B18,'Deliveries in'!$G:$G,"&lt;="&amp;$C18,'Deliveries in'!$I:$I,"Late")</f>
        <v/>
      </c>
      <c r="G18" s="6">
        <f>COUNTIFS('Deliveries in'!$G:$G,"&gt;="&amp;$B18,'Deliveries in'!$G:$G,"&lt;="&amp;$C18,'Deliveries in'!$I:$I,"Very late")</f>
        <v/>
      </c>
      <c r="H18" s="6">
        <f>COUNTIFS('Deliveries in'!$G:$G,"&gt;="&amp;$B18,'Deliveries in'!$G:$G,"&lt;="&amp;$C18,'Deliveries in'!$I:$I,"Overdue")</f>
        <v/>
      </c>
      <c r="I18" s="6">
        <f>COUNTIFS('Deliveries in'!$G:$G,"&gt;="&amp;$B18,'Deliveries in'!$G:$G,"&lt;="&amp;$C18,'Deliveries in'!$I:$I,"Due")</f>
        <v/>
      </c>
      <c r="J18" s="7">
        <f>IF(SUM(E18:H18)=0,"",E18/SUM(E18:H18))</f>
        <v/>
      </c>
      <c r="K18" s="7">
        <f>IF(SUM(E18:G18)=0,"",SUMIFS('Deliveries in'!$P:$P,'Deliveries in'!$G:$G,"&gt;="&amp;$B18,'Deliveries in'!$G:$G,"&lt;="&amp;$C18,'Deliveries in'!$O:$O,1)/SUM(E18:G18))</f>
        <v/>
      </c>
    </row>
    <row r="19"/>
    <row r="20"/>
    <row r="21">
      <c r="A21" s="3" t="inlineStr">
        <is>
          <t>Late by carrier and region, last 30 days</t>
        </is>
      </c>
    </row>
    <row r="22">
      <c r="A22" s="8" t="inlineStr">
        <is>
          <t>From</t>
        </is>
      </c>
      <c r="B22" s="5" t="n">
        <v>46272</v>
      </c>
      <c r="C22" s="5" t="n">
        <v>46301</v>
      </c>
    </row>
    <row r="23">
      <c r="A23" s="4" t="inlineStr">
        <is>
          <t>Carrier · region</t>
        </is>
      </c>
      <c r="B23" s="4" t="inlineStr">
        <is>
          <t>Carrier</t>
        </is>
      </c>
      <c r="C23" s="4" t="inlineStr">
        <is>
          <t>Region</t>
        </is>
      </c>
      <c r="D23" s="4" t="inlineStr">
        <is>
          <t>Due in period</t>
        </is>
      </c>
      <c r="E23" s="4" t="inlineStr">
        <is>
          <t>Late, very late or overdue</t>
        </is>
      </c>
      <c r="F23" s="4" t="inlineStr">
        <is>
          <t>% late</t>
        </is>
      </c>
    </row>
    <row r="24">
      <c r="A24" t="inlineStr">
        <is>
          <t>Carrier A · Gold Coast</t>
        </is>
      </c>
      <c r="B24" t="inlineStr">
        <is>
          <t>Carrier A</t>
        </is>
      </c>
      <c r="C24" t="inlineStr">
        <is>
          <t>Gold Coast</t>
        </is>
      </c>
      <c r="D24" s="6">
        <f>COUNTIFS('Deliveries out'!$H:$H,"&gt;="&amp;$B$22,'Deliveries out'!$H:$H,"&lt;="&amp;$C$22,'Deliveries out'!$F:$F,$B24,'Deliveries out'!$E:$E,$C24)</f>
        <v/>
      </c>
      <c r="E24" s="6">
        <f>COUNTIFS('Deliveries out'!$H:$H,"&gt;="&amp;$B$22,'Deliveries out'!$H:$H,"&lt;="&amp;$C$22,'Deliveries out'!$F:$F,$B24,'Deliveries out'!$E:$E,$C24,'Deliveries out'!$K:$K,"Late")+COUNTIFS('Deliveries out'!$H:$H,"&gt;="&amp;$B$22,'Deliveries out'!$H:$H,"&lt;="&amp;$C$22,'Deliveries out'!$F:$F,$B24,'Deliveries out'!$E:$E,$C24,'Deliveries out'!$K:$K,"Very late")+COUNTIFS('Deliveries out'!$H:$H,"&gt;="&amp;$B$22,'Deliveries out'!$H:$H,"&lt;="&amp;$C$22,'Deliveries out'!$F:$F,$B24,'Deliveries out'!$E:$E,$C24,'Deliveries out'!$K:$K,"Overdue")</f>
        <v/>
      </c>
      <c r="F24" s="7">
        <f>IF(D24=0,"",E24/D24)</f>
        <v/>
      </c>
    </row>
    <row r="25">
      <c r="A25" t="inlineStr">
        <is>
          <t>Carrier B · Moreton Bay</t>
        </is>
      </c>
      <c r="B25" t="inlineStr">
        <is>
          <t>Carrier B</t>
        </is>
      </c>
      <c r="C25" t="inlineStr">
        <is>
          <t>Moreton Bay</t>
        </is>
      </c>
      <c r="D25" s="6">
        <f>COUNTIFS('Deliveries out'!$H:$H,"&gt;="&amp;$B$22,'Deliveries out'!$H:$H,"&lt;="&amp;$C$22,'Deliveries out'!$F:$F,$B25,'Deliveries out'!$E:$E,$C25)</f>
        <v/>
      </c>
      <c r="E25" s="6">
        <f>COUNTIFS('Deliveries out'!$H:$H,"&gt;="&amp;$B$22,'Deliveries out'!$H:$H,"&lt;="&amp;$C$22,'Deliveries out'!$F:$F,$B25,'Deliveries out'!$E:$E,$C25,'Deliveries out'!$K:$K,"Late")+COUNTIFS('Deliveries out'!$H:$H,"&gt;="&amp;$B$22,'Deliveries out'!$H:$H,"&lt;="&amp;$C$22,'Deliveries out'!$F:$F,$B25,'Deliveries out'!$E:$E,$C25,'Deliveries out'!$K:$K,"Very late")+COUNTIFS('Deliveries out'!$H:$H,"&gt;="&amp;$B$22,'Deliveries out'!$H:$H,"&lt;="&amp;$C$22,'Deliveries out'!$F:$F,$B25,'Deliveries out'!$E:$E,$C25,'Deliveries out'!$K:$K,"Overdue")</f>
        <v/>
      </c>
      <c r="F25" s="7">
        <f>IF(D25=0,"",E25/D25)</f>
        <v/>
      </c>
    </row>
    <row r="26">
      <c r="A26" t="inlineStr">
        <is>
          <t>Carrier A · Logan</t>
        </is>
      </c>
      <c r="B26" t="inlineStr">
        <is>
          <t>Carrier A</t>
        </is>
      </c>
      <c r="C26" t="inlineStr">
        <is>
          <t>Logan</t>
        </is>
      </c>
      <c r="D26" s="6">
        <f>COUNTIFS('Deliveries out'!$H:$H,"&gt;="&amp;$B$22,'Deliveries out'!$H:$H,"&lt;="&amp;$C$22,'Deliveries out'!$F:$F,$B26,'Deliveries out'!$E:$E,$C26)</f>
        <v/>
      </c>
      <c r="E26" s="6">
        <f>COUNTIFS('Deliveries out'!$H:$H,"&gt;="&amp;$B$22,'Deliveries out'!$H:$H,"&lt;="&amp;$C$22,'Deliveries out'!$F:$F,$B26,'Deliveries out'!$E:$E,$C26,'Deliveries out'!$K:$K,"Late")+COUNTIFS('Deliveries out'!$H:$H,"&gt;="&amp;$B$22,'Deliveries out'!$H:$H,"&lt;="&amp;$C$22,'Deliveries out'!$F:$F,$B26,'Deliveries out'!$E:$E,$C26,'Deliveries out'!$K:$K,"Very late")+COUNTIFS('Deliveries out'!$H:$H,"&gt;="&amp;$B$22,'Deliveries out'!$H:$H,"&lt;="&amp;$C$22,'Deliveries out'!$F:$F,$B26,'Deliveries out'!$E:$E,$C26,'Deliveries out'!$K:$K,"Overdue")</f>
        <v/>
      </c>
      <c r="F26" s="7">
        <f>IF(D26=0,"",E26/D26)</f>
        <v/>
      </c>
    </row>
    <row r="27">
      <c r="A27" t="inlineStr">
        <is>
          <t>Own trucks · Brisbane South</t>
        </is>
      </c>
      <c r="B27" t="inlineStr">
        <is>
          <t>Own trucks</t>
        </is>
      </c>
      <c r="C27" t="inlineStr">
        <is>
          <t>Brisbane South</t>
        </is>
      </c>
      <c r="D27" s="6">
        <f>COUNTIFS('Deliveries out'!$H:$H,"&gt;="&amp;$B$22,'Deliveries out'!$H:$H,"&lt;="&amp;$C$22,'Deliveries out'!$F:$F,$B27,'Deliveries out'!$E:$E,$C27)</f>
        <v/>
      </c>
      <c r="E27" s="6">
        <f>COUNTIFS('Deliveries out'!$H:$H,"&gt;="&amp;$B$22,'Deliveries out'!$H:$H,"&lt;="&amp;$C$22,'Deliveries out'!$F:$F,$B27,'Deliveries out'!$E:$E,$C27,'Deliveries out'!$K:$K,"Late")+COUNTIFS('Deliveries out'!$H:$H,"&gt;="&amp;$B$22,'Deliveries out'!$H:$H,"&lt;="&amp;$C$22,'Deliveries out'!$F:$F,$B27,'Deliveries out'!$E:$E,$C27,'Deliveries out'!$K:$K,"Very late")+COUNTIFS('Deliveries out'!$H:$H,"&gt;="&amp;$B$22,'Deliveries out'!$H:$H,"&lt;="&amp;$C$22,'Deliveries out'!$F:$F,$B27,'Deliveries out'!$E:$E,$C27,'Deliveries out'!$K:$K,"Overdue")</f>
        <v/>
      </c>
      <c r="F27" s="7">
        <f>IF(D27=0,"",E27/D27)</f>
        <v/>
      </c>
    </row>
    <row r="28">
      <c r="A28" t="inlineStr">
        <is>
          <t>Carrier B · Sunshine Coast</t>
        </is>
      </c>
      <c r="B28" t="inlineStr">
        <is>
          <t>Carrier B</t>
        </is>
      </c>
      <c r="C28" t="inlineStr">
        <is>
          <t>Sunshine Coast</t>
        </is>
      </c>
      <c r="D28" s="6">
        <f>COUNTIFS('Deliveries out'!$H:$H,"&gt;="&amp;$B$22,'Deliveries out'!$H:$H,"&lt;="&amp;$C$22,'Deliveries out'!$F:$F,$B28,'Deliveries out'!$E:$E,$C28)</f>
        <v/>
      </c>
      <c r="E28" s="6">
        <f>COUNTIFS('Deliveries out'!$H:$H,"&gt;="&amp;$B$22,'Deliveries out'!$H:$H,"&lt;="&amp;$C$22,'Deliveries out'!$F:$F,$B28,'Deliveries out'!$E:$E,$C28,'Deliveries out'!$K:$K,"Late")+COUNTIFS('Deliveries out'!$H:$H,"&gt;="&amp;$B$22,'Deliveries out'!$H:$H,"&lt;="&amp;$C$22,'Deliveries out'!$F:$F,$B28,'Deliveries out'!$E:$E,$C28,'Deliveries out'!$K:$K,"Very late")+COUNTIFS('Deliveries out'!$H:$H,"&gt;="&amp;$B$22,'Deliveries out'!$H:$H,"&lt;="&amp;$C$22,'Deliveries out'!$F:$F,$B28,'Deliveries out'!$E:$E,$C28,'Deliveries out'!$K:$K,"Overdue")</f>
        <v/>
      </c>
      <c r="F28" s="7">
        <f>IF(D28=0,"",E28/D28)</f>
        <v/>
      </c>
    </row>
    <row r="29">
      <c r="A29" t="inlineStr">
        <is>
          <t>Own trucks · Inner Brisbane</t>
        </is>
      </c>
      <c r="B29" t="inlineStr">
        <is>
          <t>Own trucks</t>
        </is>
      </c>
      <c r="C29" t="inlineStr">
        <is>
          <t>Inner Brisbane</t>
        </is>
      </c>
      <c r="D29" s="6">
        <f>COUNTIFS('Deliveries out'!$H:$H,"&gt;="&amp;$B$22,'Deliveries out'!$H:$H,"&lt;="&amp;$C$22,'Deliveries out'!$F:$F,$B29,'Deliveries out'!$E:$E,$C29)</f>
        <v/>
      </c>
      <c r="E29" s="6">
        <f>COUNTIFS('Deliveries out'!$H:$H,"&gt;="&amp;$B$22,'Deliveries out'!$H:$H,"&lt;="&amp;$C$22,'Deliveries out'!$F:$F,$B29,'Deliveries out'!$E:$E,$C29,'Deliveries out'!$K:$K,"Late")+COUNTIFS('Deliveries out'!$H:$H,"&gt;="&amp;$B$22,'Deliveries out'!$H:$H,"&lt;="&amp;$C$22,'Deliveries out'!$F:$F,$B29,'Deliveries out'!$E:$E,$C29,'Deliveries out'!$K:$K,"Very late")+COUNTIFS('Deliveries out'!$H:$H,"&gt;="&amp;$B$22,'Deliveries out'!$H:$H,"&lt;="&amp;$C$22,'Deliveries out'!$F:$F,$B29,'Deliveries out'!$E:$E,$C29,'Deliveries out'!$K:$K,"Overdue")</f>
        <v/>
      </c>
      <c r="F29" s="7">
        <f>IF(D29=0,"",E29/D29)</f>
        <v/>
      </c>
    </row>
    <row r="30">
      <c r="A30" t="inlineStr">
        <is>
          <t>Carrier B · Toowoomba</t>
        </is>
      </c>
      <c r="B30" t="inlineStr">
        <is>
          <t>Carrier B</t>
        </is>
      </c>
      <c r="C30" t="inlineStr">
        <is>
          <t>Toowoomba</t>
        </is>
      </c>
      <c r="D30" s="6">
        <f>COUNTIFS('Deliveries out'!$H:$H,"&gt;="&amp;$B$22,'Deliveries out'!$H:$H,"&lt;="&amp;$C$22,'Deliveries out'!$F:$F,$B30,'Deliveries out'!$E:$E,$C30)</f>
        <v/>
      </c>
      <c r="E30" s="6">
        <f>COUNTIFS('Deliveries out'!$H:$H,"&gt;="&amp;$B$22,'Deliveries out'!$H:$H,"&lt;="&amp;$C$22,'Deliveries out'!$F:$F,$B30,'Deliveries out'!$E:$E,$C30,'Deliveries out'!$K:$K,"Late")+COUNTIFS('Deliveries out'!$H:$H,"&gt;="&amp;$B$22,'Deliveries out'!$H:$H,"&lt;="&amp;$C$22,'Deliveries out'!$F:$F,$B30,'Deliveries out'!$E:$E,$C30,'Deliveries out'!$K:$K,"Very late")+COUNTIFS('Deliveries out'!$H:$H,"&gt;="&amp;$B$22,'Deliveries out'!$H:$H,"&lt;="&amp;$C$22,'Deliveries out'!$F:$F,$B30,'Deliveries out'!$E:$E,$C30,'Deliveries out'!$K:$K,"Overdue")</f>
        <v/>
      </c>
      <c r="F30" s="7">
        <f>IF(D30=0,"",E30/D30)</f>
        <v/>
      </c>
    </row>
    <row r="31">
      <c r="A31" t="inlineStr">
        <is>
          <t>Own trucks · Brisbane West</t>
        </is>
      </c>
      <c r="B31" t="inlineStr">
        <is>
          <t>Own trucks</t>
        </is>
      </c>
      <c r="C31" t="inlineStr">
        <is>
          <t>Brisbane West</t>
        </is>
      </c>
      <c r="D31" s="6">
        <f>COUNTIFS('Deliveries out'!$H:$H,"&gt;="&amp;$B$22,'Deliveries out'!$H:$H,"&lt;="&amp;$C$22,'Deliveries out'!$F:$F,$B31,'Deliveries out'!$E:$E,$C31)</f>
        <v/>
      </c>
      <c r="E31" s="6">
        <f>COUNTIFS('Deliveries out'!$H:$H,"&gt;="&amp;$B$22,'Deliveries out'!$H:$H,"&lt;="&amp;$C$22,'Deliveries out'!$F:$F,$B31,'Deliveries out'!$E:$E,$C31,'Deliveries out'!$K:$K,"Late")+COUNTIFS('Deliveries out'!$H:$H,"&gt;="&amp;$B$22,'Deliveries out'!$H:$H,"&lt;="&amp;$C$22,'Deliveries out'!$F:$F,$B31,'Deliveries out'!$E:$E,$C31,'Deliveries out'!$K:$K,"Very late")+COUNTIFS('Deliveries out'!$H:$H,"&gt;="&amp;$B$22,'Deliveries out'!$H:$H,"&lt;="&amp;$C$22,'Deliveries out'!$F:$F,$B31,'Deliveries out'!$E:$E,$C31,'Deliveries out'!$K:$K,"Overdue")</f>
        <v/>
      </c>
      <c r="F31" s="7">
        <f>IF(D31=0,"",E31/D31)</f>
        <v/>
      </c>
    </row>
    <row r="32">
      <c r="A32" t="inlineStr">
        <is>
          <t>Own trucks · Brisbane East</t>
        </is>
      </c>
      <c r="B32" t="inlineStr">
        <is>
          <t>Own trucks</t>
        </is>
      </c>
      <c r="C32" t="inlineStr">
        <is>
          <t>Brisbane East</t>
        </is>
      </c>
      <c r="D32" s="6">
        <f>COUNTIFS('Deliveries out'!$H:$H,"&gt;="&amp;$B$22,'Deliveries out'!$H:$H,"&lt;="&amp;$C$22,'Deliveries out'!$F:$F,$B32,'Deliveries out'!$E:$E,$C32)</f>
        <v/>
      </c>
      <c r="E32" s="6">
        <f>COUNTIFS('Deliveries out'!$H:$H,"&gt;="&amp;$B$22,'Deliveries out'!$H:$H,"&lt;="&amp;$C$22,'Deliveries out'!$F:$F,$B32,'Deliveries out'!$E:$E,$C32,'Deliveries out'!$K:$K,"Late")+COUNTIFS('Deliveries out'!$H:$H,"&gt;="&amp;$B$22,'Deliveries out'!$H:$H,"&lt;="&amp;$C$22,'Deliveries out'!$F:$F,$B32,'Deliveries out'!$E:$E,$C32,'Deliveries out'!$K:$K,"Very late")+COUNTIFS('Deliveries out'!$H:$H,"&gt;="&amp;$B$22,'Deliveries out'!$H:$H,"&lt;="&amp;$C$22,'Deliveries out'!$F:$F,$B32,'Deliveries out'!$E:$E,$C32,'Deliveries out'!$K:$K,"Overdue")</f>
        <v/>
      </c>
      <c r="F32" s="7">
        <f>IF(D32=0,"",E32/D32)</f>
        <v/>
      </c>
    </row>
    <row r="33">
      <c r="A33" t="inlineStr">
        <is>
          <t>Own trucks · Brisbane North</t>
        </is>
      </c>
      <c r="B33" t="inlineStr">
        <is>
          <t>Own trucks</t>
        </is>
      </c>
      <c r="C33" t="inlineStr">
        <is>
          <t>Brisbane North</t>
        </is>
      </c>
      <c r="D33" s="6">
        <f>COUNTIFS('Deliveries out'!$H:$H,"&gt;="&amp;$B$22,'Deliveries out'!$H:$H,"&lt;="&amp;$C$22,'Deliveries out'!$F:$F,$B33,'Deliveries out'!$E:$E,$C33)</f>
        <v/>
      </c>
      <c r="E33" s="6">
        <f>COUNTIFS('Deliveries out'!$H:$H,"&gt;="&amp;$B$22,'Deliveries out'!$H:$H,"&lt;="&amp;$C$22,'Deliveries out'!$F:$F,$B33,'Deliveries out'!$E:$E,$C33,'Deliveries out'!$K:$K,"Late")+COUNTIFS('Deliveries out'!$H:$H,"&gt;="&amp;$B$22,'Deliveries out'!$H:$H,"&lt;="&amp;$C$22,'Deliveries out'!$F:$F,$B33,'Deliveries out'!$E:$E,$C33,'Deliveries out'!$K:$K,"Very late")+COUNTIFS('Deliveries out'!$H:$H,"&gt;="&amp;$B$22,'Deliveries out'!$H:$H,"&lt;="&amp;$C$22,'Deliveries out'!$F:$F,$B33,'Deliveries out'!$E:$E,$C33,'Deliveries out'!$K:$K,"Overdue")</f>
        <v/>
      </c>
      <c r="F33" s="7">
        <f>IF(D33=0,"",E33/D33)</f>
        <v/>
      </c>
    </row>
    <row r="34">
      <c r="A34" t="inlineStr">
        <is>
          <t>Own trucks · Ipswich</t>
        </is>
      </c>
      <c r="B34" t="inlineStr">
        <is>
          <t>Own trucks</t>
        </is>
      </c>
      <c r="C34" t="inlineStr">
        <is>
          <t>Ipswich</t>
        </is>
      </c>
      <c r="D34" s="6">
        <f>COUNTIFS('Deliveries out'!$H:$H,"&gt;="&amp;$B$22,'Deliveries out'!$H:$H,"&lt;="&amp;$C$22,'Deliveries out'!$F:$F,$B34,'Deliveries out'!$E:$E,$C34)</f>
        <v/>
      </c>
      <c r="E34" s="6">
        <f>COUNTIFS('Deliveries out'!$H:$H,"&gt;="&amp;$B$22,'Deliveries out'!$H:$H,"&lt;="&amp;$C$22,'Deliveries out'!$F:$F,$B34,'Deliveries out'!$E:$E,$C34,'Deliveries out'!$K:$K,"Late")+COUNTIFS('Deliveries out'!$H:$H,"&gt;="&amp;$B$22,'Deliveries out'!$H:$H,"&lt;="&amp;$C$22,'Deliveries out'!$F:$F,$B34,'Deliveries out'!$E:$E,$C34,'Deliveries out'!$K:$K,"Very late")+COUNTIFS('Deliveries out'!$H:$H,"&gt;="&amp;$B$22,'Deliveries out'!$H:$H,"&lt;="&amp;$C$22,'Deliveries out'!$F:$F,$B34,'Deliveries out'!$E:$E,$C34,'Deliveries out'!$K:$K,"Overdue")</f>
        <v/>
      </c>
      <c r="F34" s="7">
        <f>IF(D34=0,"",E34/D34)</f>
        <v/>
      </c>
    </row>
    <row r="35">
      <c r="A35" t="inlineStr">
        <is>
          <t>Same-day courier · Inner Brisbane</t>
        </is>
      </c>
      <c r="B35" t="inlineStr">
        <is>
          <t>Same-day courier</t>
        </is>
      </c>
      <c r="C35" t="inlineStr">
        <is>
          <t>Inner Brisbane</t>
        </is>
      </c>
      <c r="D35" s="6">
        <f>COUNTIFS('Deliveries out'!$H:$H,"&gt;="&amp;$B$22,'Deliveries out'!$H:$H,"&lt;="&amp;$C$22,'Deliveries out'!$F:$F,$B35,'Deliveries out'!$E:$E,$C35)</f>
        <v/>
      </c>
      <c r="E35" s="6">
        <f>COUNTIFS('Deliveries out'!$H:$H,"&gt;="&amp;$B$22,'Deliveries out'!$H:$H,"&lt;="&amp;$C$22,'Deliveries out'!$F:$F,$B35,'Deliveries out'!$E:$E,$C35,'Deliveries out'!$K:$K,"Late")+COUNTIFS('Deliveries out'!$H:$H,"&gt;="&amp;$B$22,'Deliveries out'!$H:$H,"&lt;="&amp;$C$22,'Deliveries out'!$F:$F,$B35,'Deliveries out'!$E:$E,$C35,'Deliveries out'!$K:$K,"Very late")+COUNTIFS('Deliveries out'!$H:$H,"&gt;="&amp;$B$22,'Deliveries out'!$H:$H,"&lt;="&amp;$C$22,'Deliveries out'!$F:$F,$B35,'Deliveries out'!$E:$E,$C35,'Deliveries out'!$K:$K,"Overdue")</f>
        <v/>
      </c>
      <c r="F35" s="7">
        <f>IF(D35=0,"",E35/D35)</f>
        <v/>
      </c>
    </row>
    <row r="36"/>
    <row r="37"/>
    <row r="38">
      <c r="A38" s="3" t="inlineStr">
        <is>
          <t>Late by supplier, last 30 days</t>
        </is>
      </c>
    </row>
    <row r="39">
      <c r="A39" s="8" t="inlineStr">
        <is>
          <t>From</t>
        </is>
      </c>
      <c r="B39" s="5" t="n">
        <v>46272</v>
      </c>
      <c r="C39" s="5" t="n">
        <v>46301</v>
      </c>
    </row>
    <row r="40">
      <c r="A40" s="4" t="inlineStr">
        <is>
          <t>Supplier</t>
        </is>
      </c>
      <c r="B40" s="4" t="inlineStr">
        <is>
          <t>Supplier ID</t>
        </is>
      </c>
      <c r="C40" s="4" t="inlineStr"/>
      <c r="D40" s="4" t="inlineStr">
        <is>
          <t>Due in period</t>
        </is>
      </c>
      <c r="E40" s="4" t="inlineStr">
        <is>
          <t>Late, very late or overdue</t>
        </is>
      </c>
      <c r="F40" s="4" t="inlineStr">
        <is>
          <t>% late</t>
        </is>
      </c>
    </row>
    <row r="41">
      <c r="A41" t="inlineStr">
        <is>
          <t>Supplier A</t>
        </is>
      </c>
      <c r="B41" t="inlineStr">
        <is>
          <t>SUP2078</t>
        </is>
      </c>
      <c r="D41" s="6">
        <f>COUNTIFS('Deliveries in'!$G:$G,"&gt;="&amp;$B$39,'Deliveries in'!$G:$G,"&lt;="&amp;$C$39,'Deliveries in'!$C:$C,$B41)</f>
        <v/>
      </c>
      <c r="E41" s="6">
        <f>COUNTIFS('Deliveries in'!$G:$G,"&gt;="&amp;$B$39,'Deliveries in'!$G:$G,"&lt;="&amp;$C$39,'Deliveries in'!$C:$C,$B41,'Deliveries in'!$I:$I,"Late")+COUNTIFS('Deliveries in'!$G:$G,"&gt;="&amp;$B$39,'Deliveries in'!$G:$G,"&lt;="&amp;$C$39,'Deliveries in'!$C:$C,$B41,'Deliveries in'!$I:$I,"Very late")+COUNTIFS('Deliveries in'!$G:$G,"&gt;="&amp;$B$39,'Deliveries in'!$G:$G,"&lt;="&amp;$C$39,'Deliveries in'!$C:$C,$B41,'Deliveries in'!$I:$I,"Overdue")</f>
        <v/>
      </c>
      <c r="F41" s="7">
        <f>IF(D41=0,"",E41/D41)</f>
        <v/>
      </c>
    </row>
    <row r="42">
      <c r="A42" t="inlineStr">
        <is>
          <t>Supplier C</t>
        </is>
      </c>
      <c r="B42" t="inlineStr">
        <is>
          <t>SUP2151</t>
        </is>
      </c>
      <c r="D42" s="6">
        <f>COUNTIFS('Deliveries in'!$G:$G,"&gt;="&amp;$B$39,'Deliveries in'!$G:$G,"&lt;="&amp;$C$39,'Deliveries in'!$C:$C,$B42)</f>
        <v/>
      </c>
      <c r="E42" s="6">
        <f>COUNTIFS('Deliveries in'!$G:$G,"&gt;="&amp;$B$39,'Deliveries in'!$G:$G,"&lt;="&amp;$C$39,'Deliveries in'!$C:$C,$B42,'Deliveries in'!$I:$I,"Late")+COUNTIFS('Deliveries in'!$G:$G,"&gt;="&amp;$B$39,'Deliveries in'!$G:$G,"&lt;="&amp;$C$39,'Deliveries in'!$C:$C,$B42,'Deliveries in'!$I:$I,"Very late")+COUNTIFS('Deliveries in'!$G:$G,"&gt;="&amp;$B$39,'Deliveries in'!$G:$G,"&lt;="&amp;$C$39,'Deliveries in'!$C:$C,$B42,'Deliveries in'!$I:$I,"Overdue")</f>
        <v/>
      </c>
      <c r="F42" s="7">
        <f>IF(D42=0,"",E42/D42)</f>
        <v/>
      </c>
    </row>
    <row r="43">
      <c r="A43" t="inlineStr">
        <is>
          <t>Supplier D (imports)</t>
        </is>
      </c>
      <c r="B43" t="inlineStr">
        <is>
          <t>SUP2189</t>
        </is>
      </c>
      <c r="D43" s="6">
        <f>COUNTIFS('Deliveries in'!$G:$G,"&gt;="&amp;$B$39,'Deliveries in'!$G:$G,"&lt;="&amp;$C$39,'Deliveries in'!$C:$C,$B43)</f>
        <v/>
      </c>
      <c r="E43" s="6">
        <f>COUNTIFS('Deliveries in'!$G:$G,"&gt;="&amp;$B$39,'Deliveries in'!$G:$G,"&lt;="&amp;$C$39,'Deliveries in'!$C:$C,$B43,'Deliveries in'!$I:$I,"Late")+COUNTIFS('Deliveries in'!$G:$G,"&gt;="&amp;$B$39,'Deliveries in'!$G:$G,"&lt;="&amp;$C$39,'Deliveries in'!$C:$C,$B43,'Deliveries in'!$I:$I,"Very late")+COUNTIFS('Deliveries in'!$G:$G,"&gt;="&amp;$B$39,'Deliveries in'!$G:$G,"&lt;="&amp;$C$39,'Deliveries in'!$C:$C,$B43,'Deliveries in'!$I:$I,"Overdue")</f>
        <v/>
      </c>
      <c r="F43" s="7">
        <f>IF(D43=0,"",E43/D43)</f>
        <v/>
      </c>
    </row>
    <row r="44">
      <c r="A44" t="inlineStr">
        <is>
          <t>Supplier K</t>
        </is>
      </c>
      <c r="B44" t="inlineStr">
        <is>
          <t>SUP2461</t>
        </is>
      </c>
      <c r="D44" s="6">
        <f>COUNTIFS('Deliveries in'!$G:$G,"&gt;="&amp;$B$39,'Deliveries in'!$G:$G,"&lt;="&amp;$C$39,'Deliveries in'!$C:$C,$B44)</f>
        <v/>
      </c>
      <c r="E44" s="6">
        <f>COUNTIFS('Deliveries in'!$G:$G,"&gt;="&amp;$B$39,'Deliveries in'!$G:$G,"&lt;="&amp;$C$39,'Deliveries in'!$C:$C,$B44,'Deliveries in'!$I:$I,"Late")+COUNTIFS('Deliveries in'!$G:$G,"&gt;="&amp;$B$39,'Deliveries in'!$G:$G,"&lt;="&amp;$C$39,'Deliveries in'!$C:$C,$B44,'Deliveries in'!$I:$I,"Very late")+COUNTIFS('Deliveries in'!$G:$G,"&gt;="&amp;$B$39,'Deliveries in'!$G:$G,"&lt;="&amp;$C$39,'Deliveries in'!$C:$C,$B44,'Deliveries in'!$I:$I,"Overdue")</f>
        <v/>
      </c>
      <c r="F44" s="7">
        <f>IF(D44=0,"",E44/D44)</f>
        <v/>
      </c>
    </row>
    <row r="45">
      <c r="A45" t="inlineStr">
        <is>
          <t>Supplier E</t>
        </is>
      </c>
      <c r="B45" t="inlineStr">
        <is>
          <t>SUP2208</t>
        </is>
      </c>
      <c r="D45" s="6">
        <f>COUNTIFS('Deliveries in'!$G:$G,"&gt;="&amp;$B$39,'Deliveries in'!$G:$G,"&lt;="&amp;$C$39,'Deliveries in'!$C:$C,$B45)</f>
        <v/>
      </c>
      <c r="E45" s="6">
        <f>COUNTIFS('Deliveries in'!$G:$G,"&gt;="&amp;$B$39,'Deliveries in'!$G:$G,"&lt;="&amp;$C$39,'Deliveries in'!$C:$C,$B45,'Deliveries in'!$I:$I,"Late")+COUNTIFS('Deliveries in'!$G:$G,"&gt;="&amp;$B$39,'Deliveries in'!$G:$G,"&lt;="&amp;$C$39,'Deliveries in'!$C:$C,$B45,'Deliveries in'!$I:$I,"Very late")+COUNTIFS('Deliveries in'!$G:$G,"&gt;="&amp;$B$39,'Deliveries in'!$G:$G,"&lt;="&amp;$C$39,'Deliveries in'!$C:$C,$B45,'Deliveries in'!$I:$I,"Overdue")</f>
        <v/>
      </c>
      <c r="F45" s="7">
        <f>IF(D45=0,"",E45/D45)</f>
        <v/>
      </c>
    </row>
    <row r="46">
      <c r="A46" t="inlineStr">
        <is>
          <t>Supplier G</t>
        </is>
      </c>
      <c r="B46" t="inlineStr">
        <is>
          <t>SUP2304</t>
        </is>
      </c>
      <c r="D46" s="6">
        <f>COUNTIFS('Deliveries in'!$G:$G,"&gt;="&amp;$B$39,'Deliveries in'!$G:$G,"&lt;="&amp;$C$39,'Deliveries in'!$C:$C,$B46)</f>
        <v/>
      </c>
      <c r="E46" s="6">
        <f>COUNTIFS('Deliveries in'!$G:$G,"&gt;="&amp;$B$39,'Deliveries in'!$G:$G,"&lt;="&amp;$C$39,'Deliveries in'!$C:$C,$B46,'Deliveries in'!$I:$I,"Late")+COUNTIFS('Deliveries in'!$G:$G,"&gt;="&amp;$B$39,'Deliveries in'!$G:$G,"&lt;="&amp;$C$39,'Deliveries in'!$C:$C,$B46,'Deliveries in'!$I:$I,"Very late")+COUNTIFS('Deliveries in'!$G:$G,"&gt;="&amp;$B$39,'Deliveries in'!$G:$G,"&lt;="&amp;$C$39,'Deliveries in'!$C:$C,$B46,'Deliveries in'!$I:$I,"Overdue")</f>
        <v/>
      </c>
      <c r="F46" s="7">
        <f>IF(D46=0,"",E46/D46)</f>
        <v/>
      </c>
    </row>
    <row r="47">
      <c r="A47" t="inlineStr">
        <is>
          <t>Supplier B</t>
        </is>
      </c>
      <c r="B47" t="inlineStr">
        <is>
          <t>SUP2109</t>
        </is>
      </c>
      <c r="D47" s="6">
        <f>COUNTIFS('Deliveries in'!$G:$G,"&gt;="&amp;$B$39,'Deliveries in'!$G:$G,"&lt;="&amp;$C$39,'Deliveries in'!$C:$C,$B47)</f>
        <v/>
      </c>
      <c r="E47" s="6">
        <f>COUNTIFS('Deliveries in'!$G:$G,"&gt;="&amp;$B$39,'Deliveries in'!$G:$G,"&lt;="&amp;$C$39,'Deliveries in'!$C:$C,$B47,'Deliveries in'!$I:$I,"Late")+COUNTIFS('Deliveries in'!$G:$G,"&gt;="&amp;$B$39,'Deliveries in'!$G:$G,"&lt;="&amp;$C$39,'Deliveries in'!$C:$C,$B47,'Deliveries in'!$I:$I,"Very late")+COUNTIFS('Deliveries in'!$G:$G,"&gt;="&amp;$B$39,'Deliveries in'!$G:$G,"&lt;="&amp;$C$39,'Deliveries in'!$C:$C,$B47,'Deliveries in'!$I:$I,"Overdue")</f>
        <v/>
      </c>
      <c r="F47" s="7">
        <f>IF(D47=0,"",E47/D47)</f>
        <v/>
      </c>
    </row>
    <row r="48">
      <c r="A48" t="inlineStr">
        <is>
          <t>Supplier F</t>
        </is>
      </c>
      <c r="B48" t="inlineStr">
        <is>
          <t>SUP2219</t>
        </is>
      </c>
      <c r="D48" s="6">
        <f>COUNTIFS('Deliveries in'!$G:$G,"&gt;="&amp;$B$39,'Deliveries in'!$G:$G,"&lt;="&amp;$C$39,'Deliveries in'!$C:$C,$B48)</f>
        <v/>
      </c>
      <c r="E48" s="6">
        <f>COUNTIFS('Deliveries in'!$G:$G,"&gt;="&amp;$B$39,'Deliveries in'!$G:$G,"&lt;="&amp;$C$39,'Deliveries in'!$C:$C,$B48,'Deliveries in'!$I:$I,"Late")+COUNTIFS('Deliveries in'!$G:$G,"&gt;="&amp;$B$39,'Deliveries in'!$G:$G,"&lt;="&amp;$C$39,'Deliveries in'!$C:$C,$B48,'Deliveries in'!$I:$I,"Very late")+COUNTIFS('Deliveries in'!$G:$G,"&gt;="&amp;$B$39,'Deliveries in'!$G:$G,"&lt;="&amp;$C$39,'Deliveries in'!$C:$C,$B48,'Deliveries in'!$I:$I,"Overdue")</f>
        <v/>
      </c>
      <c r="F48" s="7">
        <f>IF(D48=0,"",E48/D48)</f>
        <v/>
      </c>
    </row>
    <row r="49">
      <c r="A49" t="inlineStr">
        <is>
          <t>Supplier H</t>
        </is>
      </c>
      <c r="B49" t="inlineStr">
        <is>
          <t>SUP2336</t>
        </is>
      </c>
      <c r="D49" s="6">
        <f>COUNTIFS('Deliveries in'!$G:$G,"&gt;="&amp;$B$39,'Deliveries in'!$G:$G,"&lt;="&amp;$C$39,'Deliveries in'!$C:$C,$B49)</f>
        <v/>
      </c>
      <c r="E49" s="6">
        <f>COUNTIFS('Deliveries in'!$G:$G,"&gt;="&amp;$B$39,'Deliveries in'!$G:$G,"&lt;="&amp;$C$39,'Deliveries in'!$C:$C,$B49,'Deliveries in'!$I:$I,"Late")+COUNTIFS('Deliveries in'!$G:$G,"&gt;="&amp;$B$39,'Deliveries in'!$G:$G,"&lt;="&amp;$C$39,'Deliveries in'!$C:$C,$B49,'Deliveries in'!$I:$I,"Very late")+COUNTIFS('Deliveries in'!$G:$G,"&gt;="&amp;$B$39,'Deliveries in'!$G:$G,"&lt;="&amp;$C$39,'Deliveries in'!$C:$C,$B49,'Deliveries in'!$I:$I,"Overdue")</f>
        <v/>
      </c>
      <c r="F49" s="7">
        <f>IF(D49=0,"",E49/D49)</f>
        <v/>
      </c>
    </row>
    <row r="50">
      <c r="A50" t="inlineStr">
        <is>
          <t>Supplier I</t>
        </is>
      </c>
      <c r="B50" t="inlineStr">
        <is>
          <t>SUP2422</t>
        </is>
      </c>
      <c r="D50" s="6">
        <f>COUNTIFS('Deliveries in'!$G:$G,"&gt;="&amp;$B$39,'Deliveries in'!$G:$G,"&lt;="&amp;$C$39,'Deliveries in'!$C:$C,$B50)</f>
        <v/>
      </c>
      <c r="E50" s="6">
        <f>COUNTIFS('Deliveries in'!$G:$G,"&gt;="&amp;$B$39,'Deliveries in'!$G:$G,"&lt;="&amp;$C$39,'Deliveries in'!$C:$C,$B50,'Deliveries in'!$I:$I,"Late")+COUNTIFS('Deliveries in'!$G:$G,"&gt;="&amp;$B$39,'Deliveries in'!$G:$G,"&lt;="&amp;$C$39,'Deliveries in'!$C:$C,$B50,'Deliveries in'!$I:$I,"Very late")+COUNTIFS('Deliveries in'!$G:$G,"&gt;="&amp;$B$39,'Deliveries in'!$G:$G,"&lt;="&amp;$C$39,'Deliveries in'!$C:$C,$B50,'Deliveries in'!$I:$I,"Overdue")</f>
        <v/>
      </c>
      <c r="F50" s="7">
        <f>IF(D50=0,"",E50/D50)</f>
        <v/>
      </c>
    </row>
    <row r="51">
      <c r="A51" t="inlineStr">
        <is>
          <t>Supplier J</t>
        </is>
      </c>
      <c r="B51" t="inlineStr">
        <is>
          <t>SUP2438</t>
        </is>
      </c>
      <c r="D51" s="6">
        <f>COUNTIFS('Deliveries in'!$G:$G,"&gt;="&amp;$B$39,'Deliveries in'!$G:$G,"&lt;="&amp;$C$39,'Deliveries in'!$C:$C,$B51)</f>
        <v/>
      </c>
      <c r="E51" s="6">
        <f>COUNTIFS('Deliveries in'!$G:$G,"&gt;="&amp;$B$39,'Deliveries in'!$G:$G,"&lt;="&amp;$C$39,'Deliveries in'!$C:$C,$B51,'Deliveries in'!$I:$I,"Late")+COUNTIFS('Deliveries in'!$G:$G,"&gt;="&amp;$B$39,'Deliveries in'!$G:$G,"&lt;="&amp;$C$39,'Deliveries in'!$C:$C,$B51,'Deliveries in'!$I:$I,"Very late")+COUNTIFS('Deliveries in'!$G:$G,"&gt;="&amp;$B$39,'Deliveries in'!$G:$G,"&lt;="&amp;$C$39,'Deliveries in'!$C:$C,$B51,'Deliveries in'!$I:$I,"Overdue")</f>
        <v/>
      </c>
      <c r="F51" s="7">
        <f>IF(D51=0,"",E51/D51)</f>
        <v/>
      </c>
    </row>
    <row r="52">
      <c r="A52" t="inlineStr">
        <is>
          <t>Supplier L</t>
        </is>
      </c>
      <c r="B52" t="inlineStr">
        <is>
          <t>SUP2480</t>
        </is>
      </c>
      <c r="D52" s="6">
        <f>COUNTIFS('Deliveries in'!$G:$G,"&gt;="&amp;$B$39,'Deliveries in'!$G:$G,"&lt;="&amp;$C$39,'Deliveries in'!$C:$C,$B52)</f>
        <v/>
      </c>
      <c r="E52" s="6">
        <f>COUNTIFS('Deliveries in'!$G:$G,"&gt;="&amp;$B$39,'Deliveries in'!$G:$G,"&lt;="&amp;$C$39,'Deliveries in'!$C:$C,$B52,'Deliveries in'!$I:$I,"Late")+COUNTIFS('Deliveries in'!$G:$G,"&gt;="&amp;$B$39,'Deliveries in'!$G:$G,"&lt;="&amp;$C$39,'Deliveries in'!$C:$C,$B52,'Deliveries in'!$I:$I,"Very late")+COUNTIFS('Deliveries in'!$G:$G,"&gt;="&amp;$B$39,'Deliveries in'!$G:$G,"&lt;="&amp;$C$39,'Deliveries in'!$C:$C,$B52,'Deliveries in'!$I:$I,"Overdue")</f>
        <v/>
      </c>
      <c r="F52" s="7">
        <f>IF(D52=0,"",E52/D52)</f>
        <v/>
      </c>
    </row>
    <row r="53">
      <c r="A53" t="inlineStr">
        <is>
          <t>Supplier M (air)</t>
        </is>
      </c>
      <c r="B53" t="inlineStr">
        <is>
          <t>SUP2506</t>
        </is>
      </c>
      <c r="D53" s="6">
        <f>COUNTIFS('Deliveries in'!$G:$G,"&gt;="&amp;$B$39,'Deliveries in'!$G:$G,"&lt;="&amp;$C$39,'Deliveries in'!$C:$C,$B53)</f>
        <v/>
      </c>
      <c r="E53" s="6">
        <f>COUNTIFS('Deliveries in'!$G:$G,"&gt;="&amp;$B$39,'Deliveries in'!$G:$G,"&lt;="&amp;$C$39,'Deliveries in'!$C:$C,$B53,'Deliveries in'!$I:$I,"Late")+COUNTIFS('Deliveries in'!$G:$G,"&gt;="&amp;$B$39,'Deliveries in'!$G:$G,"&lt;="&amp;$C$39,'Deliveries in'!$C:$C,$B53,'Deliveries in'!$I:$I,"Very late")+COUNTIFS('Deliveries in'!$G:$G,"&gt;="&amp;$B$39,'Deliveries in'!$G:$G,"&lt;="&amp;$C$39,'Deliveries in'!$C:$C,$B53,'Deliveries in'!$I:$I,"Overdue")</f>
        <v/>
      </c>
      <c r="F53" s="7">
        <f>IF(D53=0,"",E53/D53)</f>
        <v/>
      </c>
    </row>
    <row r="54">
      <c r="A54" t="inlineStr">
        <is>
          <t>Supplier N</t>
        </is>
      </c>
      <c r="B54" t="inlineStr">
        <is>
          <t>SUP2542</t>
        </is>
      </c>
      <c r="D54" s="6">
        <f>COUNTIFS('Deliveries in'!$G:$G,"&gt;="&amp;$B$39,'Deliveries in'!$G:$G,"&lt;="&amp;$C$39,'Deliveries in'!$C:$C,$B54)</f>
        <v/>
      </c>
      <c r="E54" s="6">
        <f>COUNTIFS('Deliveries in'!$G:$G,"&gt;="&amp;$B$39,'Deliveries in'!$G:$G,"&lt;="&amp;$C$39,'Deliveries in'!$C:$C,$B54,'Deliveries in'!$I:$I,"Late")+COUNTIFS('Deliveries in'!$G:$G,"&gt;="&amp;$B$39,'Deliveries in'!$G:$G,"&lt;="&amp;$C$39,'Deliveries in'!$C:$C,$B54,'Deliveries in'!$I:$I,"Very late")+COUNTIFS('Deliveries in'!$G:$G,"&gt;="&amp;$B$39,'Deliveries in'!$G:$G,"&lt;="&amp;$C$39,'Deliveries in'!$C:$C,$B54,'Deliveries in'!$I:$I,"Overdue")</f>
        <v/>
      </c>
      <c r="F54" s="7">
        <f>IF(D54=0,"",E54/D54)</f>
        <v/>
      </c>
    </row>
    <row r="55"/>
    <row r="56"/>
    <row r="57"/>
    <row r="59">
      <c r="A59" s="9" t="inlineStr">
        <is>
          <t>Print check (done before this file was saved)</t>
        </is>
      </c>
    </row>
    <row r="60">
      <c r="A60" t="inlineStr">
        <is>
          <t>✓ Summary: 3 pages, 86% scale, no block split</t>
        </is>
      </c>
    </row>
    <row r="61">
      <c r="A61" t="inlineStr">
        <is>
          <t>✓ Customers: 3 pages, 100% scale, no block split</t>
        </is>
      </c>
    </row>
    <row r="62">
      <c r="A62" t="inlineStr">
        <is>
          <t>✓ Suppliers: 1 page, 100% scale, no block split</t>
        </is>
      </c>
    </row>
    <row r="63">
      <c r="A63" t="inlineStr">
        <is>
          <t>✓ Deliveries out: 35 pages, 55% scale, no block split</t>
        </is>
      </c>
    </row>
    <row r="64">
      <c r="A64" t="inlineStr">
        <is>
          <t>✓ Deliveries in: 7 pages, 59% scale, no block split</t>
        </is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Distribution Pty Ltd&amp;R&amp;"Roboto,Regular"&amp;8 &amp;A</oddHeader>
    <oddFooter>&amp;L&amp;"Roboto,Regular"&amp;8 deliveries-sample.xlsx&amp;C&amp;"Roboto,Regular"&amp;8 Data retrieved 2pm, Tue 6 Oct 2026 · Generated 22 Oct 2026, 7:51pm&amp;R&amp;"Roboto,Regular"&amp;8 Page &amp;P of &amp;N</oddFooter>
    <evenHeader/>
    <evenFooter/>
    <firstHeader/>
    <firstFooter/>
  </headerFooter>
  <rowBreaks count="2" manualBreakCount="2">
    <brk id="20" min="0" max="16383" man="1"/>
    <brk id="3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6" customWidth="1" min="4" max="4"/>
    <col width="13" customWidth="1" min="5" max="5"/>
    <col width="13" customWidth="1" min="6" max="6"/>
    <col width="18" customWidth="1" min="7" max="7"/>
    <col width="13" customWidth="1" min="8" max="8"/>
  </cols>
  <sheetData>
    <row r="1">
      <c r="A1" s="1" t="inlineStr">
        <is>
          <t>Customers</t>
        </is>
      </c>
    </row>
    <row r="2">
      <c r="A2" s="2" t="inlineStr">
        <is>
          <t>Sample Distribution · Wacol DC · SAMPLE DATA (invented) · The Fourth Sheet · Made with Python (openpyxl)</t>
        </is>
      </c>
    </row>
    <row r="3">
      <c r="A3" s="2" t="inlineStr">
        <is>
          <t>Data status (data retrieved 2pm, Tue 6 Oct 2026): today's deliveries are incomplete; 1–5 October is provisional (until October is locked); September and earlier are locked. Generated 22 Oct 2026, 7:51pm.</t>
        </is>
      </c>
    </row>
    <row r="4"/>
    <row r="5">
      <c r="A5" s="4" t="inlineStr">
        <is>
          <t>Customer ID</t>
        </is>
      </c>
      <c r="B5" s="4" t="inlineStr">
        <is>
          <t>Customer</t>
        </is>
      </c>
      <c r="C5" s="4" t="inlineStr">
        <is>
          <t>Suburb</t>
        </is>
      </c>
      <c r="D5" s="4" t="inlineStr">
        <is>
          <t>Region</t>
        </is>
      </c>
      <c r="E5" s="4" t="inlineStr">
        <is>
          <t>Latitude</t>
        </is>
      </c>
      <c r="F5" s="4" t="inlineStr">
        <is>
          <t>Longitude</t>
        </is>
      </c>
      <c r="G5" s="4" t="inlineStr">
        <is>
          <t>Usual carrier</t>
        </is>
      </c>
      <c r="H5" s="4" t="inlineStr">
        <is>
          <t>Deliveries a week</t>
        </is>
      </c>
    </row>
    <row r="6">
      <c r="A6" s="10" t="inlineStr">
        <is>
          <t>C11107</t>
        </is>
      </c>
      <c r="B6" s="10" t="inlineStr">
        <is>
          <t>Bulimba Hardware</t>
        </is>
      </c>
      <c r="C6" s="10" t="inlineStr">
        <is>
          <t>Bulimba</t>
        </is>
      </c>
      <c r="D6" s="10" t="inlineStr">
        <is>
          <t>Brisbane East</t>
        </is>
      </c>
      <c r="E6" s="10" t="n">
        <v>-27.4558</v>
      </c>
      <c r="F6" s="10" t="n">
        <v>153.064</v>
      </c>
      <c r="G6" s="10" t="inlineStr">
        <is>
          <t>Own trucks</t>
        </is>
      </c>
      <c r="H6" s="6" t="n">
        <v>5</v>
      </c>
    </row>
    <row r="7">
      <c r="A7" s="10" t="inlineStr">
        <is>
          <t>C11143</t>
        </is>
      </c>
      <c r="B7" s="10" t="inlineStr">
        <is>
          <t>Cannon Hill Cafe supplies</t>
        </is>
      </c>
      <c r="C7" s="10" t="inlineStr">
        <is>
          <t>Cannon Hill</t>
        </is>
      </c>
      <c r="D7" s="10" t="inlineStr">
        <is>
          <t>Brisbane East</t>
        </is>
      </c>
      <c r="E7" s="10" t="n">
        <v>-27.4723</v>
      </c>
      <c r="F7" s="10" t="n">
        <v>153.0841</v>
      </c>
      <c r="G7" s="10" t="inlineStr">
        <is>
          <t>Own trucks</t>
        </is>
      </c>
      <c r="H7" s="6" t="n">
        <v>3</v>
      </c>
    </row>
    <row r="8">
      <c r="A8" s="10" t="inlineStr">
        <is>
          <t>C11314</t>
        </is>
      </c>
      <c r="B8" s="10" t="inlineStr">
        <is>
          <t>Capalaba Pharmacy</t>
        </is>
      </c>
      <c r="C8" s="10" t="inlineStr">
        <is>
          <t>Capalaba</t>
        </is>
      </c>
      <c r="D8" s="10" t="inlineStr">
        <is>
          <t>Brisbane East</t>
        </is>
      </c>
      <c r="E8" s="10" t="n">
        <v>-27.5467</v>
      </c>
      <c r="F8" s="10" t="n">
        <v>153.1907</v>
      </c>
      <c r="G8" s="10" t="inlineStr">
        <is>
          <t>Own trucks</t>
        </is>
      </c>
      <c r="H8" s="6" t="n">
        <v>5</v>
      </c>
    </row>
    <row r="9">
      <c r="A9" s="10" t="inlineStr">
        <is>
          <t>C11264</t>
        </is>
      </c>
      <c r="B9" s="10" t="inlineStr">
        <is>
          <t>Carindale Auto parts</t>
        </is>
      </c>
      <c r="C9" s="10" t="inlineStr">
        <is>
          <t>Carindale</t>
        </is>
      </c>
      <c r="D9" s="10" t="inlineStr">
        <is>
          <t>Brisbane East</t>
        </is>
      </c>
      <c r="E9" s="10" t="n">
        <v>-27.5069</v>
      </c>
      <c r="F9" s="10" t="n">
        <v>153.0995</v>
      </c>
      <c r="G9" s="10" t="inlineStr">
        <is>
          <t>Own trucks</t>
        </is>
      </c>
      <c r="H9" s="6" t="n">
        <v>5</v>
      </c>
    </row>
    <row r="10">
      <c r="A10" s="10" t="inlineStr">
        <is>
          <t>C10915</t>
        </is>
      </c>
      <c r="B10" s="10" t="inlineStr">
        <is>
          <t>Eagle Farm Trade centre</t>
        </is>
      </c>
      <c r="C10" s="10" t="inlineStr">
        <is>
          <t>Eagle Farm</t>
        </is>
      </c>
      <c r="D10" s="10" t="inlineStr">
        <is>
          <t>Brisbane East</t>
        </is>
      </c>
      <c r="E10" s="10" t="n">
        <v>-27.4348</v>
      </c>
      <c r="F10" s="10" t="n">
        <v>153.0912</v>
      </c>
      <c r="G10" s="10" t="inlineStr">
        <is>
          <t>Own trucks</t>
        </is>
      </c>
      <c r="H10" s="6" t="n">
        <v>3</v>
      </c>
    </row>
    <row r="11">
      <c r="A11" s="10" t="inlineStr">
        <is>
          <t>C10982</t>
        </is>
      </c>
      <c r="B11" s="10" t="inlineStr">
        <is>
          <t>Hamilton Medical clinic</t>
        </is>
      </c>
      <c r="C11" s="10" t="inlineStr">
        <is>
          <t>Hamilton</t>
        </is>
      </c>
      <c r="D11" s="10" t="inlineStr">
        <is>
          <t>Brisbane East</t>
        </is>
      </c>
      <c r="E11" s="10" t="n">
        <v>-27.4402</v>
      </c>
      <c r="F11" s="10" t="n">
        <v>153.0679</v>
      </c>
      <c r="G11" s="10" t="inlineStr">
        <is>
          <t>Own trucks</t>
        </is>
      </c>
      <c r="H11" s="6" t="n">
        <v>5</v>
      </c>
    </row>
    <row r="12">
      <c r="A12" s="10" t="inlineStr">
        <is>
          <t>C11186</t>
        </is>
      </c>
      <c r="B12" s="10" t="inlineStr">
        <is>
          <t>Murarrie Building supplies</t>
        </is>
      </c>
      <c r="C12" s="10" t="inlineStr">
        <is>
          <t>Murarrie</t>
        </is>
      </c>
      <c r="D12" s="10" t="inlineStr">
        <is>
          <t>Brisbane East</t>
        </is>
      </c>
      <c r="E12" s="10" t="n">
        <v>-27.4562</v>
      </c>
      <c r="F12" s="10" t="n">
        <v>153.1</v>
      </c>
      <c r="G12" s="10" t="inlineStr">
        <is>
          <t>Own trucks</t>
        </is>
      </c>
      <c r="H12" s="6" t="n">
        <v>3</v>
      </c>
    </row>
    <row r="13">
      <c r="A13" s="10" t="inlineStr">
        <is>
          <t>C11049</t>
        </is>
      </c>
      <c r="B13" s="10" t="inlineStr">
        <is>
          <t>Pinkenba Garden centre</t>
        </is>
      </c>
      <c r="C13" s="10" t="inlineStr">
        <is>
          <t>Pinkenba</t>
        </is>
      </c>
      <c r="D13" s="10" t="inlineStr">
        <is>
          <t>Brisbane East</t>
        </is>
      </c>
      <c r="E13" s="10" t="n">
        <v>-27.4236</v>
      </c>
      <c r="F13" s="10" t="n">
        <v>153.123</v>
      </c>
      <c r="G13" s="10" t="inlineStr">
        <is>
          <t>Own trucks</t>
        </is>
      </c>
      <c r="H13" s="6" t="n">
        <v>2</v>
      </c>
    </row>
    <row r="14">
      <c r="A14" s="10" t="inlineStr">
        <is>
          <t>C11247</t>
        </is>
      </c>
      <c r="B14" s="10" t="inlineStr">
        <is>
          <t>Wynnum Pet supplies</t>
        </is>
      </c>
      <c r="C14" s="10" t="inlineStr">
        <is>
          <t>Wynnum</t>
        </is>
      </c>
      <c r="D14" s="10" t="inlineStr">
        <is>
          <t>Brisbane East</t>
        </is>
      </c>
      <c r="E14" s="10" t="n">
        <v>-27.4439</v>
      </c>
      <c r="F14" s="10" t="n">
        <v>153.1743</v>
      </c>
      <c r="G14" s="10" t="inlineStr">
        <is>
          <t>Own trucks</t>
        </is>
      </c>
      <c r="H14" s="6" t="n">
        <v>4</v>
      </c>
    </row>
    <row r="15">
      <c r="A15" s="10" t="inlineStr">
        <is>
          <t>C10689</t>
        </is>
      </c>
      <c r="B15" s="10" t="inlineStr">
        <is>
          <t>Aspley Auto parts</t>
        </is>
      </c>
      <c r="C15" s="10" t="inlineStr">
        <is>
          <t>Aspley</t>
        </is>
      </c>
      <c r="D15" s="10" t="inlineStr">
        <is>
          <t>Brisbane North</t>
        </is>
      </c>
      <c r="E15" s="10" t="n">
        <v>-27.3605</v>
      </c>
      <c r="F15" s="10" t="n">
        <v>153.0159</v>
      </c>
      <c r="G15" s="10" t="inlineStr">
        <is>
          <t>Own trucks</t>
        </is>
      </c>
      <c r="H15" s="6" t="n">
        <v>2</v>
      </c>
    </row>
    <row r="16">
      <c r="A16" s="10" t="inlineStr">
        <is>
          <t>C10847</t>
        </is>
      </c>
      <c r="B16" s="10" t="inlineStr">
        <is>
          <t>Banyo Grocer</t>
        </is>
      </c>
      <c r="C16" s="10" t="inlineStr">
        <is>
          <t>Banyo</t>
        </is>
      </c>
      <c r="D16" s="10" t="inlineStr">
        <is>
          <t>Brisbane North</t>
        </is>
      </c>
      <c r="E16" s="10" t="n">
        <v>-27.3783</v>
      </c>
      <c r="F16" s="10" t="n">
        <v>153.0788</v>
      </c>
      <c r="G16" s="10" t="inlineStr">
        <is>
          <t>Own trucks</t>
        </is>
      </c>
      <c r="H16" s="6" t="n">
        <v>4</v>
      </c>
    </row>
    <row r="17">
      <c r="A17" s="10" t="inlineStr">
        <is>
          <t>C10684</t>
        </is>
      </c>
      <c r="B17" s="10" t="inlineStr">
        <is>
          <t>Chermside Pet supplies</t>
        </is>
      </c>
      <c r="C17" s="10" t="inlineStr">
        <is>
          <t>Chermside</t>
        </is>
      </c>
      <c r="D17" s="10" t="inlineStr">
        <is>
          <t>Brisbane North</t>
        </is>
      </c>
      <c r="E17" s="10" t="n">
        <v>-27.3799</v>
      </c>
      <c r="F17" s="10" t="n">
        <v>153.0366</v>
      </c>
      <c r="G17" s="10" t="inlineStr">
        <is>
          <t>Own trucks</t>
        </is>
      </c>
      <c r="H17" s="6" t="n">
        <v>2</v>
      </c>
    </row>
    <row r="18">
      <c r="A18" s="10" t="inlineStr">
        <is>
          <t>C10676</t>
        </is>
      </c>
      <c r="B18" s="10" t="inlineStr">
        <is>
          <t>Everton Park Building supplies</t>
        </is>
      </c>
      <c r="C18" s="10" t="inlineStr">
        <is>
          <t>Everton Park</t>
        </is>
      </c>
      <c r="D18" s="10" t="inlineStr">
        <is>
          <t>Brisbane North</t>
        </is>
      </c>
      <c r="E18" s="10" t="n">
        <v>-27.4076</v>
      </c>
      <c r="F18" s="10" t="n">
        <v>152.9848</v>
      </c>
      <c r="G18" s="10" t="inlineStr">
        <is>
          <t>Own trucks</t>
        </is>
      </c>
      <c r="H18" s="6" t="n">
        <v>5</v>
      </c>
    </row>
    <row r="19">
      <c r="A19" s="10" t="inlineStr">
        <is>
          <t>C10648</t>
        </is>
      </c>
      <c r="B19" s="10" t="inlineStr">
        <is>
          <t>Mitchelton Cafe supplies</t>
        </is>
      </c>
      <c r="C19" s="10" t="inlineStr">
        <is>
          <t>Mitchelton</t>
        </is>
      </c>
      <c r="D19" s="10" t="inlineStr">
        <is>
          <t>Brisbane North</t>
        </is>
      </c>
      <c r="E19" s="10" t="n">
        <v>-27.4192</v>
      </c>
      <c r="F19" s="10" t="n">
        <v>152.9778</v>
      </c>
      <c r="G19" s="10" t="inlineStr">
        <is>
          <t>Own trucks</t>
        </is>
      </c>
      <c r="H19" s="6" t="n">
        <v>2</v>
      </c>
    </row>
    <row r="20">
      <c r="A20" s="10" t="inlineStr">
        <is>
          <t>C10746</t>
        </is>
      </c>
      <c r="B20" s="10" t="inlineStr">
        <is>
          <t>Nundah Pharmacy</t>
        </is>
      </c>
      <c r="C20" s="10" t="inlineStr">
        <is>
          <t>Nundah</t>
        </is>
      </c>
      <c r="D20" s="10" t="inlineStr">
        <is>
          <t>Brisbane North</t>
        </is>
      </c>
      <c r="E20" s="10" t="n">
        <v>-27.406</v>
      </c>
      <c r="F20" s="10" t="n">
        <v>153.0563</v>
      </c>
      <c r="G20" s="10" t="inlineStr">
        <is>
          <t>Own trucks</t>
        </is>
      </c>
      <c r="H20" s="6" t="n">
        <v>3</v>
      </c>
    </row>
    <row r="21">
      <c r="A21" s="10" t="inlineStr">
        <is>
          <t>C10796</t>
        </is>
      </c>
      <c r="B21" s="10" t="inlineStr">
        <is>
          <t>Virginia Homewares</t>
        </is>
      </c>
      <c r="C21" s="10" t="inlineStr">
        <is>
          <t>Virginia</t>
        </is>
      </c>
      <c r="D21" s="10" t="inlineStr">
        <is>
          <t>Brisbane North</t>
        </is>
      </c>
      <c r="E21" s="10" t="n">
        <v>-27.3826</v>
      </c>
      <c r="F21" s="10" t="n">
        <v>153.0617</v>
      </c>
      <c r="G21" s="10" t="inlineStr">
        <is>
          <t>Own trucks</t>
        </is>
      </c>
      <c r="H21" s="6" t="n">
        <v>3</v>
      </c>
    </row>
    <row r="22">
      <c r="A22" s="10" t="inlineStr">
        <is>
          <t>C11463</t>
        </is>
      </c>
      <c r="B22" s="10" t="inlineStr">
        <is>
          <t>Acacia Ridge Trade centre</t>
        </is>
      </c>
      <c r="C22" s="10" t="inlineStr">
        <is>
          <t>Acacia Ridge</t>
        </is>
      </c>
      <c r="D22" s="10" t="inlineStr">
        <is>
          <t>Brisbane South</t>
        </is>
      </c>
      <c r="E22" s="10" t="n">
        <v>-27.5839</v>
      </c>
      <c r="F22" s="10" t="n">
        <v>153.0284</v>
      </c>
      <c r="G22" s="10" t="inlineStr">
        <is>
          <t>Own trucks</t>
        </is>
      </c>
      <c r="H22" s="6" t="n">
        <v>2</v>
      </c>
    </row>
    <row r="23">
      <c r="A23" s="10" t="inlineStr">
        <is>
          <t>C11518</t>
        </is>
      </c>
      <c r="B23" s="10" t="inlineStr">
        <is>
          <t>Archerfield Medical clinic</t>
        </is>
      </c>
      <c r="C23" s="10" t="inlineStr">
        <is>
          <t>Archerfield</t>
        </is>
      </c>
      <c r="D23" s="10" t="inlineStr">
        <is>
          <t>Brisbane South</t>
        </is>
      </c>
      <c r="E23" s="10" t="n">
        <v>-27.5658</v>
      </c>
      <c r="F23" s="10" t="n">
        <v>153.0152</v>
      </c>
      <c r="G23" s="10" t="inlineStr">
        <is>
          <t>Own trucks</t>
        </is>
      </c>
      <c r="H23" s="6" t="n">
        <v>3</v>
      </c>
    </row>
    <row r="24">
      <c r="A24" s="10" t="inlineStr">
        <is>
          <t>C11616</t>
        </is>
      </c>
      <c r="B24" s="10" t="inlineStr">
        <is>
          <t>Coopers Plains Hardware</t>
        </is>
      </c>
      <c r="C24" s="10" t="inlineStr">
        <is>
          <t>Coopers Plains</t>
        </is>
      </c>
      <c r="D24" s="10" t="inlineStr">
        <is>
          <t>Brisbane South</t>
        </is>
      </c>
      <c r="E24" s="10" t="n">
        <v>-27.5664</v>
      </c>
      <c r="F24" s="10" t="n">
        <v>153.0408</v>
      </c>
      <c r="G24" s="10" t="inlineStr">
        <is>
          <t>Own trucks</t>
        </is>
      </c>
      <c r="H24" s="6" t="n">
        <v>3</v>
      </c>
    </row>
    <row r="25">
      <c r="A25" s="10" t="inlineStr">
        <is>
          <t>C11745</t>
        </is>
      </c>
      <c r="B25" s="10" t="inlineStr">
        <is>
          <t>Forest Lake Pet supplies</t>
        </is>
      </c>
      <c r="C25" s="10" t="inlineStr">
        <is>
          <t>Forest Lake</t>
        </is>
      </c>
      <c r="D25" s="10" t="inlineStr">
        <is>
          <t>Brisbane South</t>
        </is>
      </c>
      <c r="E25" s="10" t="n">
        <v>-27.6239</v>
      </c>
      <c r="F25" s="10" t="n">
        <v>152.9667</v>
      </c>
      <c r="G25" s="10" t="inlineStr">
        <is>
          <t>Own trucks</t>
        </is>
      </c>
      <c r="H25" s="6" t="n">
        <v>2</v>
      </c>
    </row>
    <row r="26">
      <c r="A26" s="10" t="inlineStr">
        <is>
          <t>C11333</t>
        </is>
      </c>
      <c r="B26" s="10" t="inlineStr">
        <is>
          <t>Mount Gravatt Homewares</t>
        </is>
      </c>
      <c r="C26" s="10" t="inlineStr">
        <is>
          <t>Mount Gravatt</t>
        </is>
      </c>
      <c r="D26" s="10" t="inlineStr">
        <is>
          <t>Brisbane South</t>
        </is>
      </c>
      <c r="E26" s="10" t="n">
        <v>-27.5386</v>
      </c>
      <c r="F26" s="10" t="n">
        <v>153.0754</v>
      </c>
      <c r="G26" s="10" t="inlineStr">
        <is>
          <t>Own trucks</t>
        </is>
      </c>
      <c r="H26" s="6" t="n">
        <v>3</v>
      </c>
    </row>
    <row r="27">
      <c r="A27" s="10" t="inlineStr">
        <is>
          <t>C11718</t>
        </is>
      </c>
      <c r="B27" s="10" t="inlineStr">
        <is>
          <t>Oxley Building supplies</t>
        </is>
      </c>
      <c r="C27" s="10" t="inlineStr">
        <is>
          <t>Oxley</t>
        </is>
      </c>
      <c r="D27" s="10" t="inlineStr">
        <is>
          <t>Brisbane South</t>
        </is>
      </c>
      <c r="E27" s="10" t="n">
        <v>-27.5593</v>
      </c>
      <c r="F27" s="10" t="n">
        <v>152.9824</v>
      </c>
      <c r="G27" s="10" t="inlineStr">
        <is>
          <t>Own trucks</t>
        </is>
      </c>
      <c r="H27" s="6" t="n">
        <v>1</v>
      </c>
    </row>
    <row r="28">
      <c r="A28" s="10" t="inlineStr">
        <is>
          <t>C11666</t>
        </is>
      </c>
      <c r="B28" s="10" t="inlineStr">
        <is>
          <t>Rocklea Cafe supplies</t>
        </is>
      </c>
      <c r="C28" s="10" t="inlineStr">
        <is>
          <t>Rocklea</t>
        </is>
      </c>
      <c r="D28" s="10" t="inlineStr">
        <is>
          <t>Brisbane South</t>
        </is>
      </c>
      <c r="E28" s="10" t="n">
        <v>-27.5422</v>
      </c>
      <c r="F28" s="10" t="n">
        <v>153.0005</v>
      </c>
      <c r="G28" s="10" t="inlineStr">
        <is>
          <t>Own trucks</t>
        </is>
      </c>
      <c r="H28" s="6" t="n">
        <v>5</v>
      </c>
    </row>
    <row r="29">
      <c r="A29" s="10" t="inlineStr">
        <is>
          <t>C11579</t>
        </is>
      </c>
      <c r="B29" s="10" t="inlineStr">
        <is>
          <t>Salisbury Garden centre</t>
        </is>
      </c>
      <c r="C29" s="10" t="inlineStr">
        <is>
          <t>Salisbury</t>
        </is>
      </c>
      <c r="D29" s="10" t="inlineStr">
        <is>
          <t>Brisbane South</t>
        </is>
      </c>
      <c r="E29" s="10" t="n">
        <v>-27.5578</v>
      </c>
      <c r="F29" s="10" t="n">
        <v>153.0262</v>
      </c>
      <c r="G29" s="10" t="inlineStr">
        <is>
          <t>Own trucks</t>
        </is>
      </c>
      <c r="H29" s="6" t="n">
        <v>4</v>
      </c>
    </row>
    <row r="30">
      <c r="A30" s="10" t="inlineStr">
        <is>
          <t>C11400</t>
        </is>
      </c>
      <c r="B30" s="10" t="inlineStr">
        <is>
          <t>Sunnybank Grocer</t>
        </is>
      </c>
      <c r="C30" s="10" t="inlineStr">
        <is>
          <t>Sunnybank</t>
        </is>
      </c>
      <c r="D30" s="10" t="inlineStr">
        <is>
          <t>Brisbane South</t>
        </is>
      </c>
      <c r="E30" s="10" t="n">
        <v>-27.5857</v>
      </c>
      <c r="F30" s="10" t="n">
        <v>153.0634</v>
      </c>
      <c r="G30" s="10" t="inlineStr">
        <is>
          <t>Own trucks</t>
        </is>
      </c>
      <c r="H30" s="6" t="n">
        <v>3</v>
      </c>
    </row>
    <row r="31">
      <c r="A31" s="10" t="inlineStr">
        <is>
          <t>C10551</t>
        </is>
      </c>
      <c r="B31" s="10" t="inlineStr">
        <is>
          <t>Indooroopilly Medical clinic</t>
        </is>
      </c>
      <c r="C31" s="10" t="inlineStr">
        <is>
          <t>Indooroopilly</t>
        </is>
      </c>
      <c r="D31" s="10" t="inlineStr">
        <is>
          <t>Brisbane West</t>
        </is>
      </c>
      <c r="E31" s="10" t="n">
        <v>-27.5004</v>
      </c>
      <c r="F31" s="10" t="n">
        <v>152.9686</v>
      </c>
      <c r="G31" s="10" t="inlineStr">
        <is>
          <t>Own trucks</t>
        </is>
      </c>
      <c r="H31" s="6" t="n">
        <v>1</v>
      </c>
    </row>
    <row r="32">
      <c r="A32" s="10" t="inlineStr">
        <is>
          <t>C10589</t>
        </is>
      </c>
      <c r="B32" s="10" t="inlineStr">
        <is>
          <t>Kenmore Garden centre</t>
        </is>
      </c>
      <c r="C32" s="10" t="inlineStr">
        <is>
          <t>Kenmore</t>
        </is>
      </c>
      <c r="D32" s="10" t="inlineStr">
        <is>
          <t>Brisbane West</t>
        </is>
      </c>
      <c r="E32" s="10" t="n">
        <v>-27.5024</v>
      </c>
      <c r="F32" s="10" t="n">
        <v>152.9405</v>
      </c>
      <c r="G32" s="10" t="inlineStr">
        <is>
          <t>Own trucks</t>
        </is>
      </c>
      <c r="H32" s="6" t="n">
        <v>4</v>
      </c>
    </row>
    <row r="33">
      <c r="A33" s="10" t="inlineStr">
        <is>
          <t>C10622</t>
        </is>
      </c>
      <c r="B33" s="10" t="inlineStr">
        <is>
          <t>The Gap Hardware</t>
        </is>
      </c>
      <c r="C33" s="10" t="inlineStr">
        <is>
          <t>The Gap</t>
        </is>
      </c>
      <c r="D33" s="10" t="inlineStr">
        <is>
          <t>Brisbane West</t>
        </is>
      </c>
      <c r="E33" s="10" t="n">
        <v>-27.4434</v>
      </c>
      <c r="F33" s="10" t="n">
        <v>152.9494</v>
      </c>
      <c r="G33" s="10" t="inlineStr">
        <is>
          <t>Own trucks</t>
        </is>
      </c>
      <c r="H33" s="6" t="n">
        <v>4</v>
      </c>
    </row>
    <row r="34">
      <c r="A34" s="10" t="inlineStr">
        <is>
          <t>C10536</t>
        </is>
      </c>
      <c r="B34" s="10" t="inlineStr">
        <is>
          <t>Toowong Trade centre</t>
        </is>
      </c>
      <c r="C34" s="10" t="inlineStr">
        <is>
          <t>Toowong</t>
        </is>
      </c>
      <c r="D34" s="10" t="inlineStr">
        <is>
          <t>Brisbane West</t>
        </is>
      </c>
      <c r="E34" s="10" t="n">
        <v>-27.4849</v>
      </c>
      <c r="F34" s="10" t="n">
        <v>152.9933</v>
      </c>
      <c r="G34" s="10" t="inlineStr">
        <is>
          <t>Own trucks</t>
        </is>
      </c>
      <c r="H34" s="6" t="n">
        <v>5</v>
      </c>
    </row>
    <row r="35">
      <c r="A35" s="10" t="inlineStr">
        <is>
          <t>C12527</t>
        </is>
      </c>
      <c r="B35" s="10" t="inlineStr">
        <is>
          <t>Burleigh Heads Auto parts</t>
        </is>
      </c>
      <c r="C35" s="10" t="inlineStr">
        <is>
          <t>Burleigh Heads</t>
        </is>
      </c>
      <c r="D35" s="10" t="inlineStr">
        <is>
          <t>Gold Coast</t>
        </is>
      </c>
      <c r="E35" s="10" t="n">
        <v>-28.091</v>
      </c>
      <c r="F35" s="10" t="n">
        <v>153.4538</v>
      </c>
      <c r="G35" s="10" t="inlineStr">
        <is>
          <t>Carrier A</t>
        </is>
      </c>
      <c r="H35" s="6" t="n">
        <v>2</v>
      </c>
    </row>
    <row r="36">
      <c r="A36" s="10" t="inlineStr">
        <is>
          <t>C12371</t>
        </is>
      </c>
      <c r="B36" s="10" t="inlineStr">
        <is>
          <t>Coomera Garden centre</t>
        </is>
      </c>
      <c r="C36" s="10" t="inlineStr">
        <is>
          <t>Coomera</t>
        </is>
      </c>
      <c r="D36" s="10" t="inlineStr">
        <is>
          <t>Gold Coast</t>
        </is>
      </c>
      <c r="E36" s="10" t="n">
        <v>-27.8658</v>
      </c>
      <c r="F36" s="10" t="n">
        <v>153.3172</v>
      </c>
      <c r="G36" s="10" t="inlineStr">
        <is>
          <t>Carrier A</t>
        </is>
      </c>
      <c r="H36" s="6" t="n">
        <v>3</v>
      </c>
    </row>
    <row r="37">
      <c r="A37" s="10" t="inlineStr">
        <is>
          <t>C12389</t>
        </is>
      </c>
      <c r="B37" s="10" t="inlineStr">
        <is>
          <t>Nerang Hardware</t>
        </is>
      </c>
      <c r="C37" s="10" t="inlineStr">
        <is>
          <t>Nerang</t>
        </is>
      </c>
      <c r="D37" s="10" t="inlineStr">
        <is>
          <t>Gold Coast</t>
        </is>
      </c>
      <c r="E37" s="10" t="n">
        <v>-27.992</v>
      </c>
      <c r="F37" s="10" t="n">
        <v>153.3364</v>
      </c>
      <c r="G37" s="10" t="inlineStr">
        <is>
          <t>Carrier A</t>
        </is>
      </c>
      <c r="H37" s="6" t="n">
        <v>2</v>
      </c>
    </row>
    <row r="38">
      <c r="A38" s="10" t="inlineStr">
        <is>
          <t>C12490</t>
        </is>
      </c>
      <c r="B38" s="10" t="inlineStr">
        <is>
          <t>Robina Pet supplies</t>
        </is>
      </c>
      <c r="C38" s="10" t="inlineStr">
        <is>
          <t>Robina</t>
        </is>
      </c>
      <c r="D38" s="10" t="inlineStr">
        <is>
          <t>Gold Coast</t>
        </is>
      </c>
      <c r="E38" s="10" t="n">
        <v>-28.0725</v>
      </c>
      <c r="F38" s="10" t="n">
        <v>153.3817</v>
      </c>
      <c r="G38" s="10" t="inlineStr">
        <is>
          <t>Carrier A</t>
        </is>
      </c>
      <c r="H38" s="6" t="n">
        <v>3</v>
      </c>
    </row>
    <row r="39">
      <c r="A39" s="10" t="inlineStr">
        <is>
          <t>C12393</t>
        </is>
      </c>
      <c r="B39" s="10" t="inlineStr">
        <is>
          <t>Southport Cafe supplies</t>
        </is>
      </c>
      <c r="C39" s="10" t="inlineStr">
        <is>
          <t>Southport</t>
        </is>
      </c>
      <c r="D39" s="10" t="inlineStr">
        <is>
          <t>Gold Coast</t>
        </is>
      </c>
      <c r="E39" s="10" t="n">
        <v>-27.9648</v>
      </c>
      <c r="F39" s="10" t="n">
        <v>153.3949</v>
      </c>
      <c r="G39" s="10" t="inlineStr">
        <is>
          <t>Carrier A</t>
        </is>
      </c>
      <c r="H39" s="6" t="n">
        <v>1</v>
      </c>
    </row>
    <row r="40">
      <c r="A40" s="10" t="inlineStr">
        <is>
          <t>C12420</t>
        </is>
      </c>
      <c r="B40" s="10" t="inlineStr">
        <is>
          <t>Surfers Paradise Building supplies</t>
        </is>
      </c>
      <c r="C40" s="10" t="inlineStr">
        <is>
          <t>Surfers Paradise</t>
        </is>
      </c>
      <c r="D40" s="10" t="inlineStr">
        <is>
          <t>Gold Coast</t>
        </is>
      </c>
      <c r="E40" s="10" t="n">
        <v>-27.997</v>
      </c>
      <c r="F40" s="10" t="n">
        <v>153.4325</v>
      </c>
      <c r="G40" s="10" t="inlineStr">
        <is>
          <t>Carrier A</t>
        </is>
      </c>
      <c r="H40" s="6" t="n">
        <v>4</v>
      </c>
    </row>
    <row r="41">
      <c r="A41" s="10" t="inlineStr">
        <is>
          <t>C10268</t>
        </is>
      </c>
      <c r="B41" s="10" t="inlineStr">
        <is>
          <t>Brisbane CBD Cafe supplies</t>
        </is>
      </c>
      <c r="C41" s="10" t="inlineStr">
        <is>
          <t>Brisbane CBD</t>
        </is>
      </c>
      <c r="D41" s="10" t="inlineStr">
        <is>
          <t>Inner Brisbane</t>
        </is>
      </c>
      <c r="E41" s="10" t="n">
        <v>-27.475</v>
      </c>
      <c r="F41" s="10" t="n">
        <v>153.0243</v>
      </c>
      <c r="G41" s="10" t="inlineStr">
        <is>
          <t>Own trucks</t>
        </is>
      </c>
      <c r="H41" s="6" t="n">
        <v>2</v>
      </c>
    </row>
    <row r="42">
      <c r="A42" s="10" t="inlineStr">
        <is>
          <t>C10322</t>
        </is>
      </c>
      <c r="B42" s="10" t="inlineStr">
        <is>
          <t>Fortitude Valley Building supplies</t>
        </is>
      </c>
      <c r="C42" s="10" t="inlineStr">
        <is>
          <t>Fortitude Valley</t>
        </is>
      </c>
      <c r="D42" s="10" t="inlineStr">
        <is>
          <t>Inner Brisbane</t>
        </is>
      </c>
      <c r="E42" s="10" t="n">
        <v>-27.4536</v>
      </c>
      <c r="F42" s="10" t="n">
        <v>153.0321</v>
      </c>
      <c r="G42" s="10" t="inlineStr">
        <is>
          <t>Own trucks</t>
        </is>
      </c>
      <c r="H42" s="6" t="n">
        <v>5</v>
      </c>
    </row>
    <row r="43">
      <c r="A43" s="10" t="inlineStr">
        <is>
          <t>C10522</t>
        </is>
      </c>
      <c r="B43" s="10" t="inlineStr">
        <is>
          <t>Milton Grocer</t>
        </is>
      </c>
      <c r="C43" s="10" t="inlineStr">
        <is>
          <t>Milton</t>
        </is>
      </c>
      <c r="D43" s="10" t="inlineStr">
        <is>
          <t>Inner Brisbane</t>
        </is>
      </c>
      <c r="E43" s="10" t="n">
        <v>-27.4711</v>
      </c>
      <c r="F43" s="10" t="n">
        <v>153.0055</v>
      </c>
      <c r="G43" s="10" t="inlineStr">
        <is>
          <t>Own trucks</t>
        </is>
      </c>
      <c r="H43" s="6" t="n">
        <v>4</v>
      </c>
    </row>
    <row r="44">
      <c r="A44" s="10" t="inlineStr">
        <is>
          <t>C10343</t>
        </is>
      </c>
      <c r="B44" s="10" t="inlineStr">
        <is>
          <t>Newstead Pet supplies</t>
        </is>
      </c>
      <c r="C44" s="10" t="inlineStr">
        <is>
          <t>Newstead</t>
        </is>
      </c>
      <c r="D44" s="10" t="inlineStr">
        <is>
          <t>Inner Brisbane</t>
        </is>
      </c>
      <c r="E44" s="10" t="n">
        <v>-27.4433</v>
      </c>
      <c r="F44" s="10" t="n">
        <v>153.0401</v>
      </c>
      <c r="G44" s="10" t="inlineStr">
        <is>
          <t>Own trucks</t>
        </is>
      </c>
      <c r="H44" s="6" t="n">
        <v>5</v>
      </c>
    </row>
    <row r="45">
      <c r="A45" s="10" t="inlineStr">
        <is>
          <t>C10413</t>
        </is>
      </c>
      <c r="B45" s="10" t="inlineStr">
        <is>
          <t>South Brisbane Auto parts</t>
        </is>
      </c>
      <c r="C45" s="10" t="inlineStr">
        <is>
          <t>South Brisbane</t>
        </is>
      </c>
      <c r="D45" s="10" t="inlineStr">
        <is>
          <t>Inner Brisbane</t>
        </is>
      </c>
      <c r="E45" s="10" t="n">
        <v>-27.4749</v>
      </c>
      <c r="F45" s="10" t="n">
        <v>153.0179</v>
      </c>
      <c r="G45" s="10" t="inlineStr">
        <is>
          <t>Own trucks</t>
        </is>
      </c>
      <c r="H45" s="6" t="n">
        <v>3</v>
      </c>
    </row>
    <row r="46">
      <c r="A46" s="10" t="inlineStr">
        <is>
          <t>C10446</t>
        </is>
      </c>
      <c r="B46" s="10" t="inlineStr">
        <is>
          <t>West End Pharmacy</t>
        </is>
      </c>
      <c r="C46" s="10" t="inlineStr">
        <is>
          <t>West End</t>
        </is>
      </c>
      <c r="D46" s="10" t="inlineStr">
        <is>
          <t>Inner Brisbane</t>
        </is>
      </c>
      <c r="E46" s="10" t="n">
        <v>-27.4817</v>
      </c>
      <c r="F46" s="10" t="n">
        <v>153.014</v>
      </c>
      <c r="G46" s="10" t="inlineStr">
        <is>
          <t>Own trucks</t>
        </is>
      </c>
      <c r="H46" s="6" t="n">
        <v>4</v>
      </c>
    </row>
    <row r="47">
      <c r="A47" s="10" t="inlineStr">
        <is>
          <t>C10515</t>
        </is>
      </c>
      <c r="B47" s="10" t="inlineStr">
        <is>
          <t>Woolloongabba Homewares</t>
        </is>
      </c>
      <c r="C47" s="10" t="inlineStr">
        <is>
          <t>Woolloongabba</t>
        </is>
      </c>
      <c r="D47" s="10" t="inlineStr">
        <is>
          <t>Inner Brisbane</t>
        </is>
      </c>
      <c r="E47" s="10" t="n">
        <v>-27.4942</v>
      </c>
      <c r="F47" s="10" t="n">
        <v>153.0344</v>
      </c>
      <c r="G47" s="10" t="inlineStr">
        <is>
          <t>Own trucks</t>
        </is>
      </c>
      <c r="H47" s="6" t="n">
        <v>2</v>
      </c>
    </row>
    <row r="48">
      <c r="A48" s="10" t="inlineStr">
        <is>
          <t>C11971</t>
        </is>
      </c>
      <c r="B48" s="10" t="inlineStr">
        <is>
          <t>Darra Garden centre</t>
        </is>
      </c>
      <c r="C48" s="10" t="inlineStr">
        <is>
          <t>Darra</t>
        </is>
      </c>
      <c r="D48" s="10" t="inlineStr">
        <is>
          <t>Ipswich</t>
        </is>
      </c>
      <c r="E48" s="10" t="n">
        <v>-27.5683</v>
      </c>
      <c r="F48" s="10" t="n">
        <v>152.9581</v>
      </c>
      <c r="G48" s="10" t="inlineStr">
        <is>
          <t>Own trucks</t>
        </is>
      </c>
      <c r="H48" s="6" t="n">
        <v>5</v>
      </c>
    </row>
    <row r="49">
      <c r="A49" s="10" t="inlineStr">
        <is>
          <t>C11982</t>
        </is>
      </c>
      <c r="B49" s="10" t="inlineStr">
        <is>
          <t>Goodna Hardware</t>
        </is>
      </c>
      <c r="C49" s="10" t="inlineStr">
        <is>
          <t>Goodna</t>
        </is>
      </c>
      <c r="D49" s="10" t="inlineStr">
        <is>
          <t>Ipswich</t>
        </is>
      </c>
      <c r="E49" s="10" t="n">
        <v>-27.6146</v>
      </c>
      <c r="F49" s="10" t="n">
        <v>152.9014</v>
      </c>
      <c r="G49" s="10" t="inlineStr">
        <is>
          <t>Own trucks</t>
        </is>
      </c>
      <c r="H49" s="6" t="n">
        <v>3</v>
      </c>
    </row>
    <row r="50">
      <c r="A50" s="10" t="inlineStr">
        <is>
          <t>C12117</t>
        </is>
      </c>
      <c r="B50" s="10" t="inlineStr">
        <is>
          <t>Ipswich Pet supplies</t>
        </is>
      </c>
      <c r="C50" s="10" t="inlineStr">
        <is>
          <t>Ipswich</t>
        </is>
      </c>
      <c r="D50" s="10" t="inlineStr">
        <is>
          <t>Ipswich</t>
        </is>
      </c>
      <c r="E50" s="10" t="n">
        <v>-27.6173</v>
      </c>
      <c r="F50" s="10" t="n">
        <v>152.7628</v>
      </c>
      <c r="G50" s="10" t="inlineStr">
        <is>
          <t>Own trucks</t>
        </is>
      </c>
      <c r="H50" s="6" t="n">
        <v>1</v>
      </c>
    </row>
    <row r="51">
      <c r="A51" s="10" t="inlineStr">
        <is>
          <t>C12037</t>
        </is>
      </c>
      <c r="B51" s="10" t="inlineStr">
        <is>
          <t>Redbank Cafe supplies</t>
        </is>
      </c>
      <c r="C51" s="10" t="inlineStr">
        <is>
          <t>Redbank</t>
        </is>
      </c>
      <c r="D51" s="10" t="inlineStr">
        <is>
          <t>Ipswich</t>
        </is>
      </c>
      <c r="E51" s="10" t="n">
        <v>-27.5948</v>
      </c>
      <c r="F51" s="10" t="n">
        <v>152.8672</v>
      </c>
      <c r="G51" s="10" t="inlineStr">
        <is>
          <t>Own trucks</t>
        </is>
      </c>
      <c r="H51" s="6" t="n">
        <v>3</v>
      </c>
    </row>
    <row r="52">
      <c r="A52" s="10" t="inlineStr">
        <is>
          <t>C12103</t>
        </is>
      </c>
      <c r="B52" s="10" t="inlineStr">
        <is>
          <t>Springfield Building supplies</t>
        </is>
      </c>
      <c r="C52" s="10" t="inlineStr">
        <is>
          <t>Springfield</t>
        </is>
      </c>
      <c r="D52" s="10" t="inlineStr">
        <is>
          <t>Ipswich</t>
        </is>
      </c>
      <c r="E52" s="10" t="n">
        <v>-27.6504</v>
      </c>
      <c r="F52" s="10" t="n">
        <v>152.9155</v>
      </c>
      <c r="G52" s="10" t="inlineStr">
        <is>
          <t>Own trucks</t>
        </is>
      </c>
      <c r="H52" s="6" t="n">
        <v>5</v>
      </c>
    </row>
    <row r="53">
      <c r="A53" s="10" t="inlineStr">
        <is>
          <t>C11910</t>
        </is>
      </c>
      <c r="B53" s="10" t="inlineStr">
        <is>
          <t>Beenleigh Trade centre</t>
        </is>
      </c>
      <c r="C53" s="10" t="inlineStr">
        <is>
          <t>Beenleigh</t>
        </is>
      </c>
      <c r="D53" s="10" t="inlineStr">
        <is>
          <t>Logan</t>
        </is>
      </c>
      <c r="E53" s="10" t="n">
        <v>-27.7193</v>
      </c>
      <c r="F53" s="10" t="n">
        <v>153.1979</v>
      </c>
      <c r="G53" s="10" t="inlineStr">
        <is>
          <t>Carrier A</t>
        </is>
      </c>
      <c r="H53" s="6" t="n">
        <v>1</v>
      </c>
    </row>
    <row r="54">
      <c r="A54" s="10" t="inlineStr">
        <is>
          <t>C11866</t>
        </is>
      </c>
      <c r="B54" s="10" t="inlineStr">
        <is>
          <t>Browns Plains Grocer</t>
        </is>
      </c>
      <c r="C54" s="10" t="inlineStr">
        <is>
          <t>Browns Plains</t>
        </is>
      </c>
      <c r="D54" s="10" t="inlineStr">
        <is>
          <t>Logan</t>
        </is>
      </c>
      <c r="E54" s="10" t="n">
        <v>-27.6642</v>
      </c>
      <c r="F54" s="10" t="n">
        <v>153.0511</v>
      </c>
      <c r="G54" s="10" t="inlineStr">
        <is>
          <t>Carrier A</t>
        </is>
      </c>
      <c r="H54" s="6" t="n">
        <v>4</v>
      </c>
    </row>
    <row r="55">
      <c r="A55" s="10" t="inlineStr">
        <is>
          <t>C11858</t>
        </is>
      </c>
      <c r="B55" s="10" t="inlineStr">
        <is>
          <t>Logan Central Homewares</t>
        </is>
      </c>
      <c r="C55" s="10" t="inlineStr">
        <is>
          <t>Logan Central</t>
        </is>
      </c>
      <c r="D55" s="10" t="inlineStr">
        <is>
          <t>Logan</t>
        </is>
      </c>
      <c r="E55" s="10" t="n">
        <v>-27.6441</v>
      </c>
      <c r="F55" s="10" t="n">
        <v>153.112</v>
      </c>
      <c r="G55" s="10" t="inlineStr">
        <is>
          <t>Carrier A</t>
        </is>
      </c>
      <c r="H55" s="6" t="n">
        <v>2</v>
      </c>
    </row>
    <row r="56">
      <c r="A56" s="10" t="inlineStr">
        <is>
          <t>C11798</t>
        </is>
      </c>
      <c r="B56" s="10" t="inlineStr">
        <is>
          <t>Springwood Pharmacy</t>
        </is>
      </c>
      <c r="C56" s="10" t="inlineStr">
        <is>
          <t>Springwood</t>
        </is>
      </c>
      <c r="D56" s="10" t="inlineStr">
        <is>
          <t>Logan</t>
        </is>
      </c>
      <c r="E56" s="10" t="n">
        <v>-27.6138</v>
      </c>
      <c r="F56" s="10" t="n">
        <v>153.1255</v>
      </c>
      <c r="G56" s="10" t="inlineStr">
        <is>
          <t>Carrier A</t>
        </is>
      </c>
      <c r="H56" s="6" t="n">
        <v>3</v>
      </c>
    </row>
    <row r="57">
      <c r="A57" s="10" t="inlineStr">
        <is>
          <t>C11790</t>
        </is>
      </c>
      <c r="B57" s="10" t="inlineStr">
        <is>
          <t>Underwood Auto parts</t>
        </is>
      </c>
      <c r="C57" s="10" t="inlineStr">
        <is>
          <t>Underwood</t>
        </is>
      </c>
      <c r="D57" s="10" t="inlineStr">
        <is>
          <t>Logan</t>
        </is>
      </c>
      <c r="E57" s="10" t="n">
        <v>-27.6114</v>
      </c>
      <c r="F57" s="10" t="n">
        <v>153.1052</v>
      </c>
      <c r="G57" s="10" t="inlineStr">
        <is>
          <t>Carrier A</t>
        </is>
      </c>
      <c r="H57" s="6" t="n">
        <v>2</v>
      </c>
    </row>
    <row r="58">
      <c r="A58" s="10" t="inlineStr">
        <is>
          <t>C11950</t>
        </is>
      </c>
      <c r="B58" s="10" t="inlineStr">
        <is>
          <t>Yatala Medical clinic</t>
        </is>
      </c>
      <c r="C58" s="10" t="inlineStr">
        <is>
          <t>Yatala</t>
        </is>
      </c>
      <c r="D58" s="10" t="inlineStr">
        <is>
          <t>Logan</t>
        </is>
      </c>
      <c r="E58" s="10" t="n">
        <v>-27.7447</v>
      </c>
      <c r="F58" s="10" t="n">
        <v>153.2281</v>
      </c>
      <c r="G58" s="10" t="inlineStr">
        <is>
          <t>Carrier A</t>
        </is>
      </c>
      <c r="H58" s="6" t="n">
        <v>3</v>
      </c>
    </row>
    <row r="59">
      <c r="A59" s="10" t="inlineStr">
        <is>
          <t>C12213</t>
        </is>
      </c>
      <c r="B59" s="10" t="inlineStr">
        <is>
          <t>Brendale Pharmacy</t>
        </is>
      </c>
      <c r="C59" s="10" t="inlineStr">
        <is>
          <t>Brendale</t>
        </is>
      </c>
      <c r="D59" s="10" t="inlineStr">
        <is>
          <t>Moreton Bay</t>
        </is>
      </c>
      <c r="E59" s="10" t="n">
        <v>-27.3236</v>
      </c>
      <c r="F59" s="10" t="n">
        <v>152.9783</v>
      </c>
      <c r="G59" s="10" t="inlineStr">
        <is>
          <t>Carrier B</t>
        </is>
      </c>
      <c r="H59" s="6" t="n">
        <v>1</v>
      </c>
    </row>
    <row r="60">
      <c r="A60" s="10" t="inlineStr">
        <is>
          <t>C12365</t>
        </is>
      </c>
      <c r="B60" s="10" t="inlineStr">
        <is>
          <t>Caboolture Medical clinic</t>
        </is>
      </c>
      <c r="C60" s="10" t="inlineStr">
        <is>
          <t>Caboolture</t>
        </is>
      </c>
      <c r="D60" s="10" t="inlineStr">
        <is>
          <t>Moreton Bay</t>
        </is>
      </c>
      <c r="E60" s="10" t="n">
        <v>-27.0803</v>
      </c>
      <c r="F60" s="10" t="n">
        <v>152.9499</v>
      </c>
      <c r="G60" s="10" t="inlineStr">
        <is>
          <t>Carrier B</t>
        </is>
      </c>
      <c r="H60" s="6" t="n">
        <v>3</v>
      </c>
    </row>
    <row r="61">
      <c r="A61" s="10" t="inlineStr">
        <is>
          <t>C12305</t>
        </is>
      </c>
      <c r="B61" s="10" t="inlineStr">
        <is>
          <t>Morayfield Trade centre</t>
        </is>
      </c>
      <c r="C61" s="10" t="inlineStr">
        <is>
          <t>Morayfield</t>
        </is>
      </c>
      <c r="D61" s="10" t="inlineStr">
        <is>
          <t>Moreton Bay</t>
        </is>
      </c>
      <c r="E61" s="10" t="n">
        <v>-27.1129</v>
      </c>
      <c r="F61" s="10" t="n">
        <v>152.9454</v>
      </c>
      <c r="G61" s="10" t="inlineStr">
        <is>
          <t>Carrier B</t>
        </is>
      </c>
      <c r="H61" s="6" t="n">
        <v>4</v>
      </c>
    </row>
    <row r="62">
      <c r="A62" s="10" t="inlineStr">
        <is>
          <t>C12239</t>
        </is>
      </c>
      <c r="B62" s="10" t="inlineStr">
        <is>
          <t>North Lakes Homewares</t>
        </is>
      </c>
      <c r="C62" s="10" t="inlineStr">
        <is>
          <t>North Lakes</t>
        </is>
      </c>
      <c r="D62" s="10" t="inlineStr">
        <is>
          <t>Moreton Bay</t>
        </is>
      </c>
      <c r="E62" s="10" t="n">
        <v>-27.2362</v>
      </c>
      <c r="F62" s="10" t="n">
        <v>153.0198</v>
      </c>
      <c r="G62" s="10" t="inlineStr">
        <is>
          <t>Carrier B</t>
        </is>
      </c>
      <c r="H62" s="6" t="n">
        <v>4</v>
      </c>
    </row>
    <row r="63">
      <c r="A63" s="10" t="inlineStr">
        <is>
          <t>C12262</t>
        </is>
      </c>
      <c r="B63" s="10" t="inlineStr">
        <is>
          <t>Redcliffe Grocer</t>
        </is>
      </c>
      <c r="C63" s="10" t="inlineStr">
        <is>
          <t>Redcliffe</t>
        </is>
      </c>
      <c r="D63" s="10" t="inlineStr">
        <is>
          <t>Moreton Bay</t>
        </is>
      </c>
      <c r="E63" s="10" t="n">
        <v>-27.2316</v>
      </c>
      <c r="F63" s="10" t="n">
        <v>153.1141</v>
      </c>
      <c r="G63" s="10" t="inlineStr">
        <is>
          <t>Carrier B</t>
        </is>
      </c>
      <c r="H63" s="6" t="n">
        <v>4</v>
      </c>
    </row>
    <row r="64">
      <c r="A64" s="10" t="inlineStr">
        <is>
          <t>C12183</t>
        </is>
      </c>
      <c r="B64" s="10" t="inlineStr">
        <is>
          <t>Strathpine Auto parts</t>
        </is>
      </c>
      <c r="C64" s="10" t="inlineStr">
        <is>
          <t>Strathpine</t>
        </is>
      </c>
      <c r="D64" s="10" t="inlineStr">
        <is>
          <t>Moreton Bay</t>
        </is>
      </c>
      <c r="E64" s="10" t="n">
        <v>-27.3062</v>
      </c>
      <c r="F64" s="10" t="n">
        <v>152.9877</v>
      </c>
      <c r="G64" s="10" t="inlineStr">
        <is>
          <t>Carrier B</t>
        </is>
      </c>
      <c r="H64" s="6" t="n">
        <v>2</v>
      </c>
    </row>
    <row r="65">
      <c r="A65" s="10" t="inlineStr">
        <is>
          <t>C12543</t>
        </is>
      </c>
      <c r="B65" s="10" t="inlineStr">
        <is>
          <t>Caloundra Pharmacy</t>
        </is>
      </c>
      <c r="C65" s="10" t="inlineStr">
        <is>
          <t>Caloundra</t>
        </is>
      </c>
      <c r="D65" s="10" t="inlineStr">
        <is>
          <t>Sunshine Coast</t>
        </is>
      </c>
      <c r="E65" s="10" t="n">
        <v>-26.7982</v>
      </c>
      <c r="F65" s="10" t="n">
        <v>153.1245</v>
      </c>
      <c r="G65" s="10" t="inlineStr">
        <is>
          <t>Carrier B</t>
        </is>
      </c>
      <c r="H65" s="6" t="n">
        <v>5</v>
      </c>
    </row>
    <row r="66">
      <c r="A66" s="10" t="inlineStr">
        <is>
          <t>C12557</t>
        </is>
      </c>
      <c r="B66" s="10" t="inlineStr">
        <is>
          <t>Maroochydore Homewares</t>
        </is>
      </c>
      <c r="C66" s="10" t="inlineStr">
        <is>
          <t>Maroochydore</t>
        </is>
      </c>
      <c r="D66" s="10" t="inlineStr">
        <is>
          <t>Sunshine Coast</t>
        </is>
      </c>
      <c r="E66" s="10" t="n">
        <v>-26.6627</v>
      </c>
      <c r="F66" s="10" t="n">
        <v>153.0983</v>
      </c>
      <c r="G66" s="10" t="inlineStr">
        <is>
          <t>Carrier B</t>
        </is>
      </c>
      <c r="H66" s="6" t="n">
        <v>1</v>
      </c>
    </row>
    <row r="67">
      <c r="A67" s="10" t="inlineStr">
        <is>
          <t>C12617</t>
        </is>
      </c>
      <c r="B67" s="10" t="inlineStr">
        <is>
          <t>Nambour Grocer</t>
        </is>
      </c>
      <c r="C67" s="10" t="inlineStr">
        <is>
          <t>Nambour</t>
        </is>
      </c>
      <c r="D67" s="10" t="inlineStr">
        <is>
          <t>Sunshine Coast</t>
        </is>
      </c>
      <c r="E67" s="10" t="n">
        <v>-26.6226</v>
      </c>
      <c r="F67" s="10" t="n">
        <v>152.9576</v>
      </c>
      <c r="G67" s="10" t="inlineStr">
        <is>
          <t>Carrier B</t>
        </is>
      </c>
      <c r="H67" s="6" t="n">
        <v>5</v>
      </c>
    </row>
    <row r="68">
      <c r="A68" s="10" t="inlineStr">
        <is>
          <t>C12631</t>
        </is>
      </c>
      <c r="B68" s="10" t="inlineStr">
        <is>
          <t>Noosa Heads Trade centre</t>
        </is>
      </c>
      <c r="C68" s="10" t="inlineStr">
        <is>
          <t>Noosa Heads</t>
        </is>
      </c>
      <c r="D68" s="10" t="inlineStr">
        <is>
          <t>Sunshine Coast</t>
        </is>
      </c>
      <c r="E68" s="10" t="n">
        <v>-26.3885</v>
      </c>
      <c r="F68" s="10" t="n">
        <v>153.0893</v>
      </c>
      <c r="G68" s="10" t="inlineStr">
        <is>
          <t>Carrier B</t>
        </is>
      </c>
      <c r="H68" s="6" t="n">
        <v>2</v>
      </c>
    </row>
    <row r="69">
      <c r="A69" s="10" t="inlineStr">
        <is>
          <t>C12675</t>
        </is>
      </c>
      <c r="B69" s="10" t="inlineStr">
        <is>
          <t>Toowoomba Garden centre</t>
        </is>
      </c>
      <c r="C69" s="10" t="inlineStr">
        <is>
          <t>Toowoomba</t>
        </is>
      </c>
      <c r="D69" s="10" t="inlineStr">
        <is>
          <t>Toowoomba</t>
        </is>
      </c>
      <c r="E69" s="10" t="n">
        <v>-27.5746</v>
      </c>
      <c r="F69" s="10" t="n">
        <v>151.9286</v>
      </c>
      <c r="G69" s="10" t="inlineStr">
        <is>
          <t>Carrier B</t>
        </is>
      </c>
      <c r="H69" s="6" t="n">
        <v>4</v>
      </c>
    </row>
    <row r="70">
      <c r="A70" s="10" t="inlineStr">
        <is>
          <t>C12639</t>
        </is>
      </c>
      <c r="B70" s="10" t="inlineStr">
        <is>
          <t>Toowoomba Medical clinic 2</t>
        </is>
      </c>
      <c r="C70" s="10" t="inlineStr">
        <is>
          <t>Toowoomba</t>
        </is>
      </c>
      <c r="D70" s="10" t="inlineStr">
        <is>
          <t>Toowoomba</t>
        </is>
      </c>
      <c r="E70" s="10" t="n">
        <v>-27.5595</v>
      </c>
      <c r="F70" s="10" t="n">
        <v>151.9555</v>
      </c>
      <c r="G70" s="10" t="inlineStr">
        <is>
          <t>Carrier B</t>
        </is>
      </c>
      <c r="H70" s="6" t="n">
        <v>5</v>
      </c>
    </row>
  </sheetData>
  <autoFilter ref="A5:H70"/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Distribution Pty Ltd&amp;R&amp;"Roboto,Regular"&amp;8 &amp;A</oddHeader>
    <oddFooter>&amp;L&amp;"Roboto,Regular"&amp;8 deliveries-sample.xlsx&amp;C&amp;"Roboto,Regular"&amp;8 Data retrieved 2pm, Tue 6 Oct 2026 · Generated 22 Oct 2026, 7:51pm&amp;R&amp;"Roboto,Regular"&amp;8 Page &amp;P of &amp;N</oddFooter>
    <evenHeader/>
    <evenFooter/>
    <firstHeader/>
    <firstFooter/>
  </headerFooter>
  <rowBreaks count="2" manualBreakCount="2">
    <brk id="30" min="0" max="16383" man="1"/>
    <brk id="5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</cols>
  <sheetData>
    <row r="1">
      <c r="A1" s="1" t="inlineStr">
        <is>
          <t>Suppliers</t>
        </is>
      </c>
    </row>
    <row r="2">
      <c r="A2" s="2" t="inlineStr">
        <is>
          <t>Sample Distribution · Wacol DC · SAMPLE DATA (invented) · The Fourth Sheet · Made with Python (openpyxl)</t>
        </is>
      </c>
    </row>
    <row r="3">
      <c r="A3" s="2" t="inlineStr">
        <is>
          <t>Data status (data retrieved 2pm, Tue 6 Oct 2026): today's deliveries are incomplete; 1–5 October is provisional (until October is locked); September and earlier are locked. Generated 22 Oct 2026, 7:51pm.</t>
        </is>
      </c>
    </row>
    <row r="4"/>
    <row r="5">
      <c r="A5" s="4" t="inlineStr">
        <is>
          <t>Supplier ID</t>
        </is>
      </c>
      <c r="B5" s="4" t="inlineStr">
        <is>
          <t>Supplier</t>
        </is>
      </c>
      <c r="C5" s="4" t="inlineStr">
        <is>
          <t>Place</t>
        </is>
      </c>
      <c r="D5" s="4" t="inlineStr">
        <is>
          <t>State</t>
        </is>
      </c>
      <c r="E5" s="4" t="inlineStr">
        <is>
          <t>Latitude</t>
        </is>
      </c>
      <c r="F5" s="4" t="inlineStr">
        <is>
          <t>Longitude</t>
        </is>
      </c>
      <c r="G5" s="4" t="inlineStr">
        <is>
          <t>Transit (working days)</t>
        </is>
      </c>
      <c r="H5" s="4" t="inlineStr">
        <is>
          <t>Usual carrier</t>
        </is>
      </c>
    </row>
    <row r="6">
      <c r="A6" s="10" t="inlineStr">
        <is>
          <t>SUP2078</t>
        </is>
      </c>
      <c r="B6" s="10" t="inlineStr">
        <is>
          <t>Supplier A</t>
        </is>
      </c>
      <c r="C6" s="10" t="inlineStr">
        <is>
          <t>Wetherill Park</t>
        </is>
      </c>
      <c r="D6" s="10" t="inlineStr">
        <is>
          <t>NSW</t>
        </is>
      </c>
      <c r="E6" s="10" t="n">
        <v>-33.85</v>
      </c>
      <c r="F6" s="10" t="n">
        <v>150.9</v>
      </c>
      <c r="G6" s="6" t="n">
        <v>2</v>
      </c>
      <c r="H6" s="10" t="inlineStr">
        <is>
          <t>Line-haul (road)</t>
        </is>
      </c>
    </row>
    <row r="7">
      <c r="A7" s="10" t="inlineStr">
        <is>
          <t>SUP2109</t>
        </is>
      </c>
      <c r="B7" s="10" t="inlineStr">
        <is>
          <t>Supplier B</t>
        </is>
      </c>
      <c r="C7" s="10" t="inlineStr">
        <is>
          <t>Dandenong South</t>
        </is>
      </c>
      <c r="D7" s="10" t="inlineStr">
        <is>
          <t>VIC</t>
        </is>
      </c>
      <c r="E7" s="10" t="n">
        <v>-38.02</v>
      </c>
      <c r="F7" s="10" t="n">
        <v>145.21</v>
      </c>
      <c r="G7" s="6" t="n">
        <v>3</v>
      </c>
      <c r="H7" s="10" t="inlineStr">
        <is>
          <t>Line-haul (road)</t>
        </is>
      </c>
    </row>
    <row r="8">
      <c r="A8" s="10" t="inlineStr">
        <is>
          <t>SUP2151</t>
        </is>
      </c>
      <c r="B8" s="10" t="inlineStr">
        <is>
          <t>Supplier C</t>
        </is>
      </c>
      <c r="C8" s="10" t="inlineStr">
        <is>
          <t>Laverton North</t>
        </is>
      </c>
      <c r="D8" s="10" t="inlineStr">
        <is>
          <t>VIC</t>
        </is>
      </c>
      <c r="E8" s="10" t="n">
        <v>-37.83</v>
      </c>
      <c r="F8" s="10" t="n">
        <v>144.79</v>
      </c>
      <c r="G8" s="6" t="n">
        <v>3</v>
      </c>
      <c r="H8" s="10" t="inlineStr">
        <is>
          <t>Line-haul (road)</t>
        </is>
      </c>
    </row>
    <row r="9">
      <c r="A9" s="10" t="inlineStr">
        <is>
          <t>SUP2189</t>
        </is>
      </c>
      <c r="B9" s="10" t="inlineStr">
        <is>
          <t>Supplier D (imports)</t>
        </is>
      </c>
      <c r="C9" s="10" t="inlineStr">
        <is>
          <t>Port of Brisbane</t>
        </is>
      </c>
      <c r="D9" s="10" t="inlineStr">
        <is>
          <t>QLD</t>
        </is>
      </c>
      <c r="E9" s="10" t="n">
        <v>-27.38</v>
      </c>
      <c r="F9" s="10" t="n">
        <v>153.17</v>
      </c>
      <c r="G9" s="6" t="n">
        <v>1</v>
      </c>
      <c r="H9" s="10" t="inlineStr">
        <is>
          <t>Container cartage</t>
        </is>
      </c>
    </row>
    <row r="10">
      <c r="A10" s="10" t="inlineStr">
        <is>
          <t>SUP2208</t>
        </is>
      </c>
      <c r="B10" s="10" t="inlineStr">
        <is>
          <t>Supplier E</t>
        </is>
      </c>
      <c r="C10" s="10" t="inlineStr">
        <is>
          <t>Yatala</t>
        </is>
      </c>
      <c r="D10" s="10" t="inlineStr">
        <is>
          <t>QLD</t>
        </is>
      </c>
      <c r="E10" s="10" t="n">
        <v>-27.75</v>
      </c>
      <c r="F10" s="10" t="n">
        <v>153.22</v>
      </c>
      <c r="G10" s="6" t="n">
        <v>1</v>
      </c>
      <c r="H10" s="10" t="inlineStr">
        <is>
          <t>Supplier's own truck</t>
        </is>
      </c>
    </row>
    <row r="11">
      <c r="A11" s="10" t="inlineStr">
        <is>
          <t>SUP2219</t>
        </is>
      </c>
      <c r="B11" s="10" t="inlineStr">
        <is>
          <t>Supplier F</t>
        </is>
      </c>
      <c r="C11" s="10" t="inlineStr">
        <is>
          <t>Narangba</t>
        </is>
      </c>
      <c r="D11" s="10" t="inlineStr">
        <is>
          <t>QLD</t>
        </is>
      </c>
      <c r="E11" s="10" t="n">
        <v>-27.2</v>
      </c>
      <c r="F11" s="10" t="n">
        <v>152.96</v>
      </c>
      <c r="G11" s="6" t="n">
        <v>1</v>
      </c>
      <c r="H11" s="10" t="inlineStr">
        <is>
          <t>Supplier's own truck</t>
        </is>
      </c>
    </row>
    <row r="12">
      <c r="A12" s="10" t="inlineStr">
        <is>
          <t>SUP2304</t>
        </is>
      </c>
      <c r="B12" s="10" t="inlineStr">
        <is>
          <t>Supplier G</t>
        </is>
      </c>
      <c r="C12" s="10" t="inlineStr">
        <is>
          <t>Toowoomba</t>
        </is>
      </c>
      <c r="D12" s="10" t="inlineStr">
        <is>
          <t>QLD</t>
        </is>
      </c>
      <c r="E12" s="10" t="n">
        <v>-27.56</v>
      </c>
      <c r="F12" s="10" t="n">
        <v>151.95</v>
      </c>
      <c r="G12" s="6" t="n">
        <v>1</v>
      </c>
      <c r="H12" s="10" t="inlineStr">
        <is>
          <t>Supplier's own truck</t>
        </is>
      </c>
    </row>
    <row r="13">
      <c r="A13" s="10" t="inlineStr">
        <is>
          <t>SUP2336</t>
        </is>
      </c>
      <c r="B13" s="10" t="inlineStr">
        <is>
          <t>Supplier H</t>
        </is>
      </c>
      <c r="C13" s="10" t="inlineStr">
        <is>
          <t>Wingfield</t>
        </is>
      </c>
      <c r="D13" s="10" t="inlineStr">
        <is>
          <t>SA</t>
        </is>
      </c>
      <c r="E13" s="10" t="n">
        <v>-34.85</v>
      </c>
      <c r="F13" s="10" t="n">
        <v>138.57</v>
      </c>
      <c r="G13" s="6" t="n">
        <v>4</v>
      </c>
      <c r="H13" s="10" t="inlineStr">
        <is>
          <t>Line-haul (road)</t>
        </is>
      </c>
    </row>
    <row r="14">
      <c r="A14" s="10" t="inlineStr">
        <is>
          <t>SUP2422</t>
        </is>
      </c>
      <c r="B14" s="10" t="inlineStr">
        <is>
          <t>Supplier I</t>
        </is>
      </c>
      <c r="C14" s="10" t="inlineStr">
        <is>
          <t>Kewdale</t>
        </is>
      </c>
      <c r="D14" s="10" t="inlineStr">
        <is>
          <t>WA</t>
        </is>
      </c>
      <c r="E14" s="10" t="n">
        <v>-31.98</v>
      </c>
      <c r="F14" s="10" t="n">
        <v>115.95</v>
      </c>
      <c r="G14" s="6" t="n">
        <v>6</v>
      </c>
      <c r="H14" s="10" t="inlineStr">
        <is>
          <t>Line-haul (rail)</t>
        </is>
      </c>
    </row>
    <row r="15">
      <c r="A15" s="10" t="inlineStr">
        <is>
          <t>SUP2438</t>
        </is>
      </c>
      <c r="B15" s="10" t="inlineStr">
        <is>
          <t>Supplier J</t>
        </is>
      </c>
      <c r="C15" s="10" t="inlineStr">
        <is>
          <t>Beresfield</t>
        </is>
      </c>
      <c r="D15" s="10" t="inlineStr">
        <is>
          <t>NSW</t>
        </is>
      </c>
      <c r="E15" s="10" t="n">
        <v>-32.8</v>
      </c>
      <c r="F15" s="10" t="n">
        <v>151.65</v>
      </c>
      <c r="G15" s="6" t="n">
        <v>2</v>
      </c>
      <c r="H15" s="10" t="inlineStr">
        <is>
          <t>Line-haul (road)</t>
        </is>
      </c>
    </row>
    <row r="16">
      <c r="A16" s="10" t="inlineStr">
        <is>
          <t>SUP2461</t>
        </is>
      </c>
      <c r="B16" s="10" t="inlineStr">
        <is>
          <t>Supplier K</t>
        </is>
      </c>
      <c r="C16" s="10" t="inlineStr">
        <is>
          <t>Townsville</t>
        </is>
      </c>
      <c r="D16" s="10" t="inlineStr">
        <is>
          <t>QLD</t>
        </is>
      </c>
      <c r="E16" s="10" t="n">
        <v>-19.26</v>
      </c>
      <c r="F16" s="10" t="n">
        <v>146.82</v>
      </c>
      <c r="G16" s="6" t="n">
        <v>3</v>
      </c>
      <c r="H16" s="10" t="inlineStr">
        <is>
          <t>Line-haul (road)</t>
        </is>
      </c>
    </row>
    <row r="17">
      <c r="A17" s="10" t="inlineStr">
        <is>
          <t>SUP2480</t>
        </is>
      </c>
      <c r="B17" s="10" t="inlineStr">
        <is>
          <t>Supplier L</t>
        </is>
      </c>
      <c r="C17" s="10" t="inlineStr">
        <is>
          <t>Rocklea</t>
        </is>
      </c>
      <c r="D17" s="10" t="inlineStr">
        <is>
          <t>QLD</t>
        </is>
      </c>
      <c r="E17" s="10" t="n">
        <v>-27.54</v>
      </c>
      <c r="F17" s="10" t="n">
        <v>152.99</v>
      </c>
      <c r="G17" s="6" t="n">
        <v>1</v>
      </c>
      <c r="H17" s="10" t="inlineStr">
        <is>
          <t>Supplier's own truck</t>
        </is>
      </c>
    </row>
    <row r="18">
      <c r="A18" s="10" t="inlineStr">
        <is>
          <t>SUP2506</t>
        </is>
      </c>
      <c r="B18" s="10" t="inlineStr">
        <is>
          <t>Supplier M (air)</t>
        </is>
      </c>
      <c r="C18" s="10" t="inlineStr">
        <is>
          <t>Brisbane Airport</t>
        </is>
      </c>
      <c r="D18" s="10" t="inlineStr">
        <is>
          <t>QLD</t>
        </is>
      </c>
      <c r="E18" s="10" t="n">
        <v>-27.39</v>
      </c>
      <c r="F18" s="10" t="n">
        <v>153.12</v>
      </c>
      <c r="G18" s="6" t="n">
        <v>1</v>
      </c>
      <c r="H18" s="10" t="inlineStr">
        <is>
          <t>Air freight</t>
        </is>
      </c>
    </row>
    <row r="19">
      <c r="A19" s="10" t="inlineStr">
        <is>
          <t>SUP2542</t>
        </is>
      </c>
      <c r="B19" s="10" t="inlineStr">
        <is>
          <t>Supplier N</t>
        </is>
      </c>
      <c r="C19" s="10" t="inlineStr">
        <is>
          <t>Bundamba</t>
        </is>
      </c>
      <c r="D19" s="10" t="inlineStr">
        <is>
          <t>QLD</t>
        </is>
      </c>
      <c r="E19" s="10" t="n">
        <v>-27.61</v>
      </c>
      <c r="F19" s="10" t="n">
        <v>152.8</v>
      </c>
      <c r="G19" s="6" t="n">
        <v>1</v>
      </c>
      <c r="H19" s="10" t="inlineStr">
        <is>
          <t>Supplier's own truck</t>
        </is>
      </c>
    </row>
  </sheetData>
  <autoFilter ref="A5:H19"/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Distribution Pty Ltd&amp;R&amp;"Roboto,Regular"&amp;8 &amp;A</oddHeader>
    <oddFooter>&amp;L&amp;"Roboto,Regular"&amp;8 deliveries-sample.xlsx&amp;C&amp;"Roboto,Regular"&amp;8 Data retrieved 2pm, Tue 6 Oct 2026 · Generated 22 Oct 2026, 7:51pm&amp;R&amp;"Roboto,Regular"&amp;8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88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8" customWidth="1" min="4" max="4"/>
    <col width="16" customWidth="1" min="5" max="5"/>
    <col width="17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  <col width="28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Every delivery out, 3 Aug to 6 Oct 2026</t>
        </is>
      </c>
    </row>
    <row r="2">
      <c r="A2" s="2" t="inlineStr">
        <is>
          <t>Sample Distribution · Wacol DC · SAMPLE DATA (invented) · The Fourth Sheet · Made with Python (openpyxl)</t>
        </is>
      </c>
    </row>
    <row r="3">
      <c r="A3" s="2" t="inlineStr">
        <is>
          <t>Data status (data retrieved 2pm, Tue 6 Oct 2026): today's deliveries are incomplete; 1–5 October is provisional (until October is locked); September and earlier are locked. Generated 22 Oct 2026, 7:51pm.</t>
        </is>
      </c>
    </row>
    <row r="4"/>
    <row r="5">
      <c r="A5" s="4" t="inlineStr">
        <is>
          <t>Delivery</t>
        </is>
      </c>
      <c r="B5" s="4" t="inlineStr">
        <is>
          <t>Order</t>
        </is>
      </c>
      <c r="C5" s="4" t="inlineStr">
        <is>
          <t>Customer ID</t>
        </is>
      </c>
      <c r="D5" s="4" t="inlineStr">
        <is>
          <t>Customer</t>
        </is>
      </c>
      <c r="E5" s="4" t="inlineStr">
        <is>
          <t>Region</t>
        </is>
      </c>
      <c r="F5" s="4" t="inlineStr">
        <is>
          <t>Carrier</t>
        </is>
      </c>
      <c r="G5" s="4" t="inlineStr">
        <is>
          <t>Order date</t>
        </is>
      </c>
      <c r="H5" s="4" t="inlineStr">
        <is>
          <t>Promised</t>
        </is>
      </c>
      <c r="I5" s="4" t="inlineStr">
        <is>
          <t>Delivered</t>
        </is>
      </c>
      <c r="J5" s="4" t="inlineStr">
        <is>
          <t>Time</t>
        </is>
      </c>
      <c r="K5" s="4" t="inlineStr">
        <is>
          <t>Status</t>
        </is>
      </c>
      <c r="L5" s="4" t="inlineStr">
        <is>
          <t>Working days late</t>
        </is>
      </c>
      <c r="M5" s="4" t="inlineStr">
        <is>
          <t>Late reason</t>
        </is>
      </c>
      <c r="N5" s="4" t="inlineStr">
        <is>
          <t>Cartons</t>
        </is>
      </c>
      <c r="O5" s="4" t="inlineStr">
        <is>
          <t>Order value</t>
        </is>
      </c>
      <c r="P5" s="4" t="inlineStr">
        <is>
          <t>In full</t>
        </is>
      </c>
      <c r="Q5" s="4" t="inlineStr">
        <is>
          <t>Completed</t>
        </is>
      </c>
    </row>
    <row r="6">
      <c r="A6" s="10" t="inlineStr">
        <is>
          <t>DN318207</t>
        </is>
      </c>
      <c r="B6" s="10" t="inlineStr">
        <is>
          <t>SO61874</t>
        </is>
      </c>
      <c r="C6" s="10" t="inlineStr">
        <is>
          <t>C10268</t>
        </is>
      </c>
      <c r="D6" s="10">
        <f>INDEX(Customers!$B:$B,MATCH(C6,Customers!$A:$A,0))</f>
        <v/>
      </c>
      <c r="E6" s="10">
        <f>INDEX(Customers!$D:$D,MATCH(C6,Customers!$A:$A,0))</f>
        <v/>
      </c>
      <c r="F6" s="10" t="inlineStr">
        <is>
          <t>Own trucks</t>
        </is>
      </c>
      <c r="G6" s="5" t="n">
        <v>46234</v>
      </c>
      <c r="H6" s="5" t="n">
        <v>46237</v>
      </c>
      <c r="I6" s="5" t="n">
        <v>46237</v>
      </c>
      <c r="J6" s="10" t="inlineStr">
        <is>
          <t>08:10</t>
        </is>
      </c>
      <c r="K6" s="10" t="inlineStr">
        <is>
          <t>On time</t>
        </is>
      </c>
      <c r="L6" s="6" t="n">
        <v>0</v>
      </c>
      <c r="M6" s="10" t="n"/>
      <c r="N6" s="6" t="n">
        <v>40</v>
      </c>
      <c r="O6" s="6" t="n">
        <v>5360</v>
      </c>
      <c r="P6" s="6" t="n">
        <v>1</v>
      </c>
      <c r="Q6" s="6">
        <f>IF(OR(K6="On time",K6="Late",K6="Very late"),1,0)</f>
        <v/>
      </c>
    </row>
    <row r="7">
      <c r="A7" s="10" t="inlineStr">
        <is>
          <t>DN318208</t>
        </is>
      </c>
      <c r="B7" s="10" t="inlineStr">
        <is>
          <t>SO61875</t>
        </is>
      </c>
      <c r="C7" s="10" t="inlineStr">
        <is>
          <t>C10322</t>
        </is>
      </c>
      <c r="D7" s="10">
        <f>INDEX(Customers!$B:$B,MATCH(C7,Customers!$A:$A,0))</f>
        <v/>
      </c>
      <c r="E7" s="10">
        <f>INDEX(Customers!$D:$D,MATCH(C7,Customers!$A:$A,0))</f>
        <v/>
      </c>
      <c r="F7" s="10" t="inlineStr">
        <is>
          <t>Own trucks</t>
        </is>
      </c>
      <c r="G7" s="5" t="n">
        <v>46234</v>
      </c>
      <c r="H7" s="5" t="n">
        <v>46237</v>
      </c>
      <c r="I7" s="5" t="n">
        <v>46237</v>
      </c>
      <c r="J7" s="10" t="inlineStr">
        <is>
          <t>14:40</t>
        </is>
      </c>
      <c r="K7" s="10" t="inlineStr">
        <is>
          <t>On time</t>
        </is>
      </c>
      <c r="L7" s="6" t="n">
        <v>0</v>
      </c>
      <c r="M7" s="10" t="n"/>
      <c r="N7" s="6" t="n">
        <v>30</v>
      </c>
      <c r="O7" s="6" t="n">
        <v>2550</v>
      </c>
      <c r="P7" s="6" t="n">
        <v>0</v>
      </c>
      <c r="Q7" s="6">
        <f>IF(OR(K7="On time",K7="Late",K7="Very late"),1,0)</f>
        <v/>
      </c>
    </row>
    <row r="8">
      <c r="A8" s="10" t="inlineStr">
        <is>
          <t>DN318209</t>
        </is>
      </c>
      <c r="B8" s="10" t="inlineStr">
        <is>
          <t>SO61876</t>
        </is>
      </c>
      <c r="C8" s="10" t="inlineStr">
        <is>
          <t>C10343</t>
        </is>
      </c>
      <c r="D8" s="10">
        <f>INDEX(Customers!$B:$B,MATCH(C8,Customers!$A:$A,0))</f>
        <v/>
      </c>
      <c r="E8" s="10">
        <f>INDEX(Customers!$D:$D,MATCH(C8,Customers!$A:$A,0))</f>
        <v/>
      </c>
      <c r="F8" s="10" t="inlineStr">
        <is>
          <t>Own trucks</t>
        </is>
      </c>
      <c r="G8" s="5" t="n">
        <v>46234</v>
      </c>
      <c r="H8" s="5" t="n">
        <v>46237</v>
      </c>
      <c r="I8" s="5" t="n">
        <v>46237</v>
      </c>
      <c r="J8" s="10" t="inlineStr">
        <is>
          <t>07:50</t>
        </is>
      </c>
      <c r="K8" s="10" t="inlineStr">
        <is>
          <t>On time</t>
        </is>
      </c>
      <c r="L8" s="6" t="n">
        <v>0</v>
      </c>
      <c r="M8" s="10" t="n"/>
      <c r="N8" s="6" t="n">
        <v>33</v>
      </c>
      <c r="O8" s="6" t="n">
        <v>3135</v>
      </c>
      <c r="P8" s="6" t="n">
        <v>1</v>
      </c>
      <c r="Q8" s="6">
        <f>IF(OR(K8="On time",K8="Late",K8="Very late"),1,0)</f>
        <v/>
      </c>
    </row>
    <row r="9">
      <c r="A9" s="10" t="inlineStr">
        <is>
          <t>DN318210</t>
        </is>
      </c>
      <c r="B9" s="10" t="inlineStr">
        <is>
          <t>SO61877</t>
        </is>
      </c>
      <c r="C9" s="10" t="inlineStr">
        <is>
          <t>C10413</t>
        </is>
      </c>
      <c r="D9" s="10">
        <f>INDEX(Customers!$B:$B,MATCH(C9,Customers!$A:$A,0))</f>
        <v/>
      </c>
      <c r="E9" s="10">
        <f>INDEX(Customers!$D:$D,MATCH(C9,Customers!$A:$A,0))</f>
        <v/>
      </c>
      <c r="F9" s="10" t="inlineStr">
        <is>
          <t>Own trucks</t>
        </is>
      </c>
      <c r="G9" s="5" t="n">
        <v>46234</v>
      </c>
      <c r="H9" s="5" t="n">
        <v>46237</v>
      </c>
      <c r="I9" s="5" t="n">
        <v>46237</v>
      </c>
      <c r="J9" s="10" t="inlineStr">
        <is>
          <t>13:50</t>
        </is>
      </c>
      <c r="K9" s="10" t="inlineStr">
        <is>
          <t>On time</t>
        </is>
      </c>
      <c r="L9" s="6" t="n">
        <v>0</v>
      </c>
      <c r="M9" s="10" t="n"/>
      <c r="N9" s="6" t="n">
        <v>34</v>
      </c>
      <c r="O9" s="6" t="n">
        <v>4624</v>
      </c>
      <c r="P9" s="6" t="n">
        <v>1</v>
      </c>
      <c r="Q9" s="6">
        <f>IF(OR(K9="On time",K9="Late",K9="Very late"),1,0)</f>
        <v/>
      </c>
    </row>
    <row r="10">
      <c r="A10" s="10" t="inlineStr">
        <is>
          <t>DN318211</t>
        </is>
      </c>
      <c r="B10" s="10" t="inlineStr">
        <is>
          <t>SO61878</t>
        </is>
      </c>
      <c r="C10" s="10" t="inlineStr">
        <is>
          <t>C10446</t>
        </is>
      </c>
      <c r="D10" s="10">
        <f>INDEX(Customers!$B:$B,MATCH(C10,Customers!$A:$A,0))</f>
        <v/>
      </c>
      <c r="E10" s="10">
        <f>INDEX(Customers!$D:$D,MATCH(C10,Customers!$A:$A,0))</f>
        <v/>
      </c>
      <c r="F10" s="10" t="inlineStr">
        <is>
          <t>Own trucks</t>
        </is>
      </c>
      <c r="G10" s="5" t="n">
        <v>46234</v>
      </c>
      <c r="H10" s="5" t="n">
        <v>46237</v>
      </c>
      <c r="I10" s="5" t="n">
        <v>46237</v>
      </c>
      <c r="J10" s="10" t="inlineStr">
        <is>
          <t>14:10</t>
        </is>
      </c>
      <c r="K10" s="10" t="inlineStr">
        <is>
          <t>On time</t>
        </is>
      </c>
      <c r="L10" s="6" t="n">
        <v>0</v>
      </c>
      <c r="M10" s="10" t="n"/>
      <c r="N10" s="6" t="n">
        <v>38</v>
      </c>
      <c r="O10" s="6" t="n">
        <v>3572</v>
      </c>
      <c r="P10" s="6" t="n">
        <v>0</v>
      </c>
      <c r="Q10" s="6">
        <f>IF(OR(K10="On time",K10="Late",K10="Very late"),1,0)</f>
        <v/>
      </c>
    </row>
    <row r="11">
      <c r="A11" s="10" t="inlineStr">
        <is>
          <t>DN318212</t>
        </is>
      </c>
      <c r="B11" s="10" t="inlineStr">
        <is>
          <t>SO61879</t>
        </is>
      </c>
      <c r="C11" s="10" t="inlineStr">
        <is>
          <t>C10522</t>
        </is>
      </c>
      <c r="D11" s="10">
        <f>INDEX(Customers!$B:$B,MATCH(C11,Customers!$A:$A,0))</f>
        <v/>
      </c>
      <c r="E11" s="10">
        <f>INDEX(Customers!$D:$D,MATCH(C11,Customers!$A:$A,0))</f>
        <v/>
      </c>
      <c r="F11" s="10" t="inlineStr">
        <is>
          <t>Own trucks</t>
        </is>
      </c>
      <c r="G11" s="5" t="n">
        <v>46234</v>
      </c>
      <c r="H11" s="5" t="n">
        <v>46237</v>
      </c>
      <c r="I11" s="5" t="n">
        <v>46237</v>
      </c>
      <c r="J11" s="10" t="inlineStr">
        <is>
          <t>16:40</t>
        </is>
      </c>
      <c r="K11" s="10" t="inlineStr">
        <is>
          <t>On time</t>
        </is>
      </c>
      <c r="L11" s="6" t="n">
        <v>0</v>
      </c>
      <c r="M11" s="10" t="n"/>
      <c r="N11" s="6" t="n">
        <v>33</v>
      </c>
      <c r="O11" s="6" t="n">
        <v>2277</v>
      </c>
      <c r="P11" s="6" t="n">
        <v>1</v>
      </c>
      <c r="Q11" s="6">
        <f>IF(OR(K11="On time",K11="Late",K11="Very late"),1,0)</f>
        <v/>
      </c>
    </row>
    <row r="12">
      <c r="A12" s="10" t="inlineStr">
        <is>
          <t>DN318213</t>
        </is>
      </c>
      <c r="B12" s="10" t="inlineStr">
        <is>
          <t>SO61880</t>
        </is>
      </c>
      <c r="C12" s="10" t="inlineStr">
        <is>
          <t>C10536</t>
        </is>
      </c>
      <c r="D12" s="10">
        <f>INDEX(Customers!$B:$B,MATCH(C12,Customers!$A:$A,0))</f>
        <v/>
      </c>
      <c r="E12" s="10">
        <f>INDEX(Customers!$D:$D,MATCH(C12,Customers!$A:$A,0))</f>
        <v/>
      </c>
      <c r="F12" s="10" t="inlineStr">
        <is>
          <t>Own trucks</t>
        </is>
      </c>
      <c r="G12" s="5" t="n">
        <v>46234</v>
      </c>
      <c r="H12" s="5" t="n">
        <v>46237</v>
      </c>
      <c r="I12" s="5" t="n">
        <v>46237</v>
      </c>
      <c r="J12" s="10" t="inlineStr">
        <is>
          <t>14:30</t>
        </is>
      </c>
      <c r="K12" s="10" t="inlineStr">
        <is>
          <t>On time</t>
        </is>
      </c>
      <c r="L12" s="6" t="n">
        <v>0</v>
      </c>
      <c r="M12" s="10" t="n"/>
      <c r="N12" s="6" t="n">
        <v>35</v>
      </c>
      <c r="O12" s="6" t="n">
        <v>3080</v>
      </c>
      <c r="P12" s="6" t="n">
        <v>1</v>
      </c>
      <c r="Q12" s="6">
        <f>IF(OR(K12="On time",K12="Late",K12="Very late"),1,0)</f>
        <v/>
      </c>
    </row>
    <row r="13">
      <c r="A13" s="10" t="inlineStr">
        <is>
          <t>DN318214</t>
        </is>
      </c>
      <c r="B13" s="10" t="inlineStr">
        <is>
          <t>SO61881</t>
        </is>
      </c>
      <c r="C13" s="10" t="inlineStr">
        <is>
          <t>C10622</t>
        </is>
      </c>
      <c r="D13" s="10">
        <f>INDEX(Customers!$B:$B,MATCH(C13,Customers!$A:$A,0))</f>
        <v/>
      </c>
      <c r="E13" s="10">
        <f>INDEX(Customers!$D:$D,MATCH(C13,Customers!$A:$A,0))</f>
        <v/>
      </c>
      <c r="F13" s="10" t="inlineStr">
        <is>
          <t>Own trucks</t>
        </is>
      </c>
      <c r="G13" s="5" t="n">
        <v>46234</v>
      </c>
      <c r="H13" s="5" t="n">
        <v>46237</v>
      </c>
      <c r="I13" s="5" t="n">
        <v>46237</v>
      </c>
      <c r="J13" s="10" t="inlineStr">
        <is>
          <t>16:10</t>
        </is>
      </c>
      <c r="K13" s="10" t="inlineStr">
        <is>
          <t>On time</t>
        </is>
      </c>
      <c r="L13" s="6" t="n">
        <v>0</v>
      </c>
      <c r="M13" s="10" t="n"/>
      <c r="N13" s="6" t="n">
        <v>10</v>
      </c>
      <c r="O13" s="6" t="n">
        <v>610</v>
      </c>
      <c r="P13" s="6" t="n">
        <v>1</v>
      </c>
      <c r="Q13" s="6">
        <f>IF(OR(K13="On time",K13="Late",K13="Very late"),1,0)</f>
        <v/>
      </c>
    </row>
    <row r="14">
      <c r="A14" s="10" t="inlineStr">
        <is>
          <t>DN318215</t>
        </is>
      </c>
      <c r="B14" s="10" t="inlineStr">
        <is>
          <t>SO61882</t>
        </is>
      </c>
      <c r="C14" s="10" t="inlineStr">
        <is>
          <t>C10676</t>
        </is>
      </c>
      <c r="D14" s="10">
        <f>INDEX(Customers!$B:$B,MATCH(C14,Customers!$A:$A,0))</f>
        <v/>
      </c>
      <c r="E14" s="10">
        <f>INDEX(Customers!$D:$D,MATCH(C14,Customers!$A:$A,0))</f>
        <v/>
      </c>
      <c r="F14" s="10" t="inlineStr">
        <is>
          <t>Own trucks</t>
        </is>
      </c>
      <c r="G14" s="5" t="n">
        <v>46234</v>
      </c>
      <c r="H14" s="5" t="n">
        <v>46237</v>
      </c>
      <c r="I14" s="5" t="n">
        <v>46237</v>
      </c>
      <c r="J14" s="10" t="inlineStr">
        <is>
          <t>13:30</t>
        </is>
      </c>
      <c r="K14" s="10" t="inlineStr">
        <is>
          <t>On time</t>
        </is>
      </c>
      <c r="L14" s="6" t="n">
        <v>0</v>
      </c>
      <c r="M14" s="10" t="n"/>
      <c r="N14" s="6" t="n">
        <v>11</v>
      </c>
      <c r="O14" s="6" t="n">
        <v>1276</v>
      </c>
      <c r="P14" s="6" t="n">
        <v>1</v>
      </c>
      <c r="Q14" s="6">
        <f>IF(OR(K14="On time",K14="Late",K14="Very late"),1,0)</f>
        <v/>
      </c>
    </row>
    <row r="15">
      <c r="A15" s="10" t="inlineStr">
        <is>
          <t>DN318216</t>
        </is>
      </c>
      <c r="B15" s="10" t="inlineStr">
        <is>
          <t>SO61883</t>
        </is>
      </c>
      <c r="C15" s="10" t="inlineStr">
        <is>
          <t>C10689</t>
        </is>
      </c>
      <c r="D15" s="10">
        <f>INDEX(Customers!$B:$B,MATCH(C15,Customers!$A:$A,0))</f>
        <v/>
      </c>
      <c r="E15" s="10">
        <f>INDEX(Customers!$D:$D,MATCH(C15,Customers!$A:$A,0))</f>
        <v/>
      </c>
      <c r="F15" s="10" t="inlineStr">
        <is>
          <t>Own trucks</t>
        </is>
      </c>
      <c r="G15" s="5" t="n">
        <v>46234</v>
      </c>
      <c r="H15" s="5" t="n">
        <v>46237</v>
      </c>
      <c r="I15" s="5" t="n">
        <v>46237</v>
      </c>
      <c r="J15" s="10" t="inlineStr">
        <is>
          <t>14:50</t>
        </is>
      </c>
      <c r="K15" s="10" t="inlineStr">
        <is>
          <t>On time</t>
        </is>
      </c>
      <c r="L15" s="6" t="n">
        <v>0</v>
      </c>
      <c r="M15" s="10" t="n"/>
      <c r="N15" s="6" t="n">
        <v>36</v>
      </c>
      <c r="O15" s="6" t="n">
        <v>3132</v>
      </c>
      <c r="P15" s="6" t="n">
        <v>1</v>
      </c>
      <c r="Q15" s="6">
        <f>IF(OR(K15="On time",K15="Late",K15="Very late"),1,0)</f>
        <v/>
      </c>
    </row>
    <row r="16">
      <c r="A16" s="10" t="inlineStr">
        <is>
          <t>DN318217</t>
        </is>
      </c>
      <c r="B16" s="10" t="inlineStr">
        <is>
          <t>SO61884</t>
        </is>
      </c>
      <c r="C16" s="10" t="inlineStr">
        <is>
          <t>C10796</t>
        </is>
      </c>
      <c r="D16" s="10">
        <f>INDEX(Customers!$B:$B,MATCH(C16,Customers!$A:$A,0))</f>
        <v/>
      </c>
      <c r="E16" s="10">
        <f>INDEX(Customers!$D:$D,MATCH(C16,Customers!$A:$A,0))</f>
        <v/>
      </c>
      <c r="F16" s="10" t="inlineStr">
        <is>
          <t>Own trucks</t>
        </is>
      </c>
      <c r="G16" s="5" t="n">
        <v>46234</v>
      </c>
      <c r="H16" s="5" t="n">
        <v>46237</v>
      </c>
      <c r="I16" s="5" t="n">
        <v>46237</v>
      </c>
      <c r="J16" s="10" t="inlineStr">
        <is>
          <t>15:50</t>
        </is>
      </c>
      <c r="K16" s="10" t="inlineStr">
        <is>
          <t>On time</t>
        </is>
      </c>
      <c r="L16" s="6" t="n">
        <v>0</v>
      </c>
      <c r="M16" s="10" t="n"/>
      <c r="N16" s="6" t="n">
        <v>32</v>
      </c>
      <c r="O16" s="6" t="n">
        <v>3392</v>
      </c>
      <c r="P16" s="6" t="n">
        <v>1</v>
      </c>
      <c r="Q16" s="6">
        <f>IF(OR(K16="On time",K16="Late",K16="Very late"),1,0)</f>
        <v/>
      </c>
    </row>
    <row r="17">
      <c r="A17" s="10" t="inlineStr">
        <is>
          <t>DN318218</t>
        </is>
      </c>
      <c r="B17" s="10" t="inlineStr">
        <is>
          <t>SO61885</t>
        </is>
      </c>
      <c r="C17" s="10" t="inlineStr">
        <is>
          <t>C10847</t>
        </is>
      </c>
      <c r="D17" s="10">
        <f>INDEX(Customers!$B:$B,MATCH(C17,Customers!$A:$A,0))</f>
        <v/>
      </c>
      <c r="E17" s="10">
        <f>INDEX(Customers!$D:$D,MATCH(C17,Customers!$A:$A,0))</f>
        <v/>
      </c>
      <c r="F17" s="10" t="inlineStr">
        <is>
          <t>Own trucks</t>
        </is>
      </c>
      <c r="G17" s="5" t="n">
        <v>46234</v>
      </c>
      <c r="H17" s="5" t="n">
        <v>46237</v>
      </c>
      <c r="I17" s="5" t="n">
        <v>46237</v>
      </c>
      <c r="J17" s="10" t="inlineStr">
        <is>
          <t>07:10</t>
        </is>
      </c>
      <c r="K17" s="10" t="inlineStr">
        <is>
          <t>On time</t>
        </is>
      </c>
      <c r="L17" s="6" t="n">
        <v>0</v>
      </c>
      <c r="M17" s="10" t="n"/>
      <c r="N17" s="6" t="n">
        <v>40</v>
      </c>
      <c r="O17" s="6" t="n">
        <v>4520</v>
      </c>
      <c r="P17" s="6" t="n">
        <v>1</v>
      </c>
      <c r="Q17" s="6">
        <f>IF(OR(K17="On time",K17="Late",K17="Very late"),1,0)</f>
        <v/>
      </c>
    </row>
    <row r="18">
      <c r="A18" s="10" t="inlineStr">
        <is>
          <t>DN318219</t>
        </is>
      </c>
      <c r="B18" s="10" t="inlineStr">
        <is>
          <t>SO61886</t>
        </is>
      </c>
      <c r="C18" s="10" t="inlineStr">
        <is>
          <t>C10982</t>
        </is>
      </c>
      <c r="D18" s="10">
        <f>INDEX(Customers!$B:$B,MATCH(C18,Customers!$A:$A,0))</f>
        <v/>
      </c>
      <c r="E18" s="10">
        <f>INDEX(Customers!$D:$D,MATCH(C18,Customers!$A:$A,0))</f>
        <v/>
      </c>
      <c r="F18" s="10" t="inlineStr">
        <is>
          <t>Own trucks</t>
        </is>
      </c>
      <c r="G18" s="5" t="n">
        <v>46234</v>
      </c>
      <c r="H18" s="5" t="n">
        <v>46237</v>
      </c>
      <c r="I18" s="5" t="n">
        <v>46237</v>
      </c>
      <c r="J18" s="10" t="inlineStr">
        <is>
          <t>14:30</t>
        </is>
      </c>
      <c r="K18" s="10" t="inlineStr">
        <is>
          <t>On time</t>
        </is>
      </c>
      <c r="L18" s="6" t="n">
        <v>0</v>
      </c>
      <c r="M18" s="10" t="n"/>
      <c r="N18" s="6" t="n">
        <v>34</v>
      </c>
      <c r="O18" s="6" t="n">
        <v>4012</v>
      </c>
      <c r="P18" s="6" t="n">
        <v>1</v>
      </c>
      <c r="Q18" s="6">
        <f>IF(OR(K18="On time",K18="Late",K18="Very late"),1,0)</f>
        <v/>
      </c>
    </row>
    <row r="19">
      <c r="A19" s="10" t="inlineStr">
        <is>
          <t>DN318220</t>
        </is>
      </c>
      <c r="B19" s="10" t="inlineStr">
        <is>
          <t>SO61887</t>
        </is>
      </c>
      <c r="C19" s="10" t="inlineStr">
        <is>
          <t>C11107</t>
        </is>
      </c>
      <c r="D19" s="10">
        <f>INDEX(Customers!$B:$B,MATCH(C19,Customers!$A:$A,0))</f>
        <v/>
      </c>
      <c r="E19" s="10">
        <f>INDEX(Customers!$D:$D,MATCH(C19,Customers!$A:$A,0))</f>
        <v/>
      </c>
      <c r="F19" s="10" t="inlineStr">
        <is>
          <t>Own trucks</t>
        </is>
      </c>
      <c r="G19" s="5" t="n">
        <v>46234</v>
      </c>
      <c r="H19" s="5" t="n">
        <v>46237</v>
      </c>
      <c r="I19" s="5" t="n">
        <v>46237</v>
      </c>
      <c r="J19" s="10" t="inlineStr">
        <is>
          <t>12:30</t>
        </is>
      </c>
      <c r="K19" s="10" t="inlineStr">
        <is>
          <t>On time</t>
        </is>
      </c>
      <c r="L19" s="6" t="n">
        <v>0</v>
      </c>
      <c r="M19" s="10" t="n"/>
      <c r="N19" s="6" t="n">
        <v>8</v>
      </c>
      <c r="O19" s="6" t="n">
        <v>888</v>
      </c>
      <c r="P19" s="6" t="n">
        <v>1</v>
      </c>
      <c r="Q19" s="6">
        <f>IF(OR(K19="On time",K19="Late",K19="Very late"),1,0)</f>
        <v/>
      </c>
    </row>
    <row r="20">
      <c r="A20" s="10" t="inlineStr">
        <is>
          <t>DN318221</t>
        </is>
      </c>
      <c r="B20" s="10" t="inlineStr">
        <is>
          <t>SO61888</t>
        </is>
      </c>
      <c r="C20" s="10" t="inlineStr">
        <is>
          <t>C11186</t>
        </is>
      </c>
      <c r="D20" s="10">
        <f>INDEX(Customers!$B:$B,MATCH(C20,Customers!$A:$A,0))</f>
        <v/>
      </c>
      <c r="E20" s="10">
        <f>INDEX(Customers!$D:$D,MATCH(C20,Customers!$A:$A,0))</f>
        <v/>
      </c>
      <c r="F20" s="10" t="inlineStr">
        <is>
          <t>Own trucks</t>
        </is>
      </c>
      <c r="G20" s="5" t="n">
        <v>46234</v>
      </c>
      <c r="H20" s="5" t="n">
        <v>46237</v>
      </c>
      <c r="I20" s="5" t="n">
        <v>46237</v>
      </c>
      <c r="J20" s="10" t="inlineStr">
        <is>
          <t>09:30</t>
        </is>
      </c>
      <c r="K20" s="10" t="inlineStr">
        <is>
          <t>On time</t>
        </is>
      </c>
      <c r="L20" s="6" t="n">
        <v>0</v>
      </c>
      <c r="M20" s="10" t="n"/>
      <c r="N20" s="6" t="n">
        <v>32</v>
      </c>
      <c r="O20" s="6" t="n">
        <v>2016</v>
      </c>
      <c r="P20" s="6" t="n">
        <v>1</v>
      </c>
      <c r="Q20" s="6">
        <f>IF(OR(K20="On time",K20="Late",K20="Very late"),1,0)</f>
        <v/>
      </c>
    </row>
    <row r="21">
      <c r="A21" s="10" t="inlineStr">
        <is>
          <t>DN318222</t>
        </is>
      </c>
      <c r="B21" s="10" t="inlineStr">
        <is>
          <t>SO61889</t>
        </is>
      </c>
      <c r="C21" s="10" t="inlineStr">
        <is>
          <t>C11264</t>
        </is>
      </c>
      <c r="D21" s="10">
        <f>INDEX(Customers!$B:$B,MATCH(C21,Customers!$A:$A,0))</f>
        <v/>
      </c>
      <c r="E21" s="10">
        <f>INDEX(Customers!$D:$D,MATCH(C21,Customers!$A:$A,0))</f>
        <v/>
      </c>
      <c r="F21" s="10" t="inlineStr">
        <is>
          <t>Own trucks</t>
        </is>
      </c>
      <c r="G21" s="5" t="n">
        <v>46234</v>
      </c>
      <c r="H21" s="5" t="n">
        <v>46237</v>
      </c>
      <c r="I21" s="5" t="n">
        <v>46237</v>
      </c>
      <c r="J21" s="10" t="inlineStr">
        <is>
          <t>13:10</t>
        </is>
      </c>
      <c r="K21" s="10" t="inlineStr">
        <is>
          <t>On time</t>
        </is>
      </c>
      <c r="L21" s="6" t="n">
        <v>0</v>
      </c>
      <c r="M21" s="10" t="n"/>
      <c r="N21" s="6" t="n">
        <v>30</v>
      </c>
      <c r="O21" s="6" t="n">
        <v>1680</v>
      </c>
      <c r="P21" s="6" t="n">
        <v>1</v>
      </c>
      <c r="Q21" s="6">
        <f>IF(OR(K21="On time",K21="Late",K21="Very late"),1,0)</f>
        <v/>
      </c>
    </row>
    <row r="22">
      <c r="A22" s="10" t="inlineStr">
        <is>
          <t>DN318223</t>
        </is>
      </c>
      <c r="B22" s="10" t="inlineStr">
        <is>
          <t>SO61891</t>
        </is>
      </c>
      <c r="C22" s="10" t="inlineStr">
        <is>
          <t>C11314</t>
        </is>
      </c>
      <c r="D22" s="10">
        <f>INDEX(Customers!$B:$B,MATCH(C22,Customers!$A:$A,0))</f>
        <v/>
      </c>
      <c r="E22" s="10">
        <f>INDEX(Customers!$D:$D,MATCH(C22,Customers!$A:$A,0))</f>
        <v/>
      </c>
      <c r="F22" s="10" t="inlineStr">
        <is>
          <t>Own trucks</t>
        </is>
      </c>
      <c r="G22" s="5" t="n">
        <v>46234</v>
      </c>
      <c r="H22" s="5" t="n">
        <v>46237</v>
      </c>
      <c r="I22" s="5" t="n">
        <v>46237</v>
      </c>
      <c r="J22" s="10" t="inlineStr">
        <is>
          <t>08:40</t>
        </is>
      </c>
      <c r="K22" s="10" t="inlineStr">
        <is>
          <t>On time</t>
        </is>
      </c>
      <c r="L22" s="6" t="n">
        <v>0</v>
      </c>
      <c r="M22" s="10" t="n"/>
      <c r="N22" s="6" t="n">
        <v>14</v>
      </c>
      <c r="O22" s="6" t="n">
        <v>1204</v>
      </c>
      <c r="P22" s="6" t="n">
        <v>1</v>
      </c>
      <c r="Q22" s="6">
        <f>IF(OR(K22="On time",K22="Late",K22="Very late"),1,0)</f>
        <v/>
      </c>
    </row>
    <row r="23">
      <c r="A23" s="10" t="inlineStr">
        <is>
          <t>DN318224</t>
        </is>
      </c>
      <c r="B23" s="10" t="inlineStr">
        <is>
          <t>SO61892</t>
        </is>
      </c>
      <c r="C23" s="10" t="inlineStr">
        <is>
          <t>C11333</t>
        </is>
      </c>
      <c r="D23" s="10">
        <f>INDEX(Customers!$B:$B,MATCH(C23,Customers!$A:$A,0))</f>
        <v/>
      </c>
      <c r="E23" s="10">
        <f>INDEX(Customers!$D:$D,MATCH(C23,Customers!$A:$A,0))</f>
        <v/>
      </c>
      <c r="F23" s="10" t="inlineStr">
        <is>
          <t>Own trucks</t>
        </is>
      </c>
      <c r="G23" s="5" t="n">
        <v>46234</v>
      </c>
      <c r="H23" s="5" t="n">
        <v>46237</v>
      </c>
      <c r="I23" s="5" t="n">
        <v>46237</v>
      </c>
      <c r="J23" s="10" t="inlineStr">
        <is>
          <t>11:50</t>
        </is>
      </c>
      <c r="K23" s="10" t="inlineStr">
        <is>
          <t>On time</t>
        </is>
      </c>
      <c r="L23" s="6" t="n">
        <v>0</v>
      </c>
      <c r="M23" s="10" t="n"/>
      <c r="N23" s="6" t="n">
        <v>24</v>
      </c>
      <c r="O23" s="6" t="n">
        <v>1776</v>
      </c>
      <c r="P23" s="6" t="n">
        <v>0</v>
      </c>
      <c r="Q23" s="6">
        <f>IF(OR(K23="On time",K23="Late",K23="Very late"),1,0)</f>
        <v/>
      </c>
    </row>
    <row r="24">
      <c r="A24" s="10" t="inlineStr">
        <is>
          <t>DN318225</t>
        </is>
      </c>
      <c r="B24" s="10" t="inlineStr">
        <is>
          <t>SO61893</t>
        </is>
      </c>
      <c r="C24" s="10" t="inlineStr">
        <is>
          <t>C11666</t>
        </is>
      </c>
      <c r="D24" s="10">
        <f>INDEX(Customers!$B:$B,MATCH(C24,Customers!$A:$A,0))</f>
        <v/>
      </c>
      <c r="E24" s="10">
        <f>INDEX(Customers!$D:$D,MATCH(C24,Customers!$A:$A,0))</f>
        <v/>
      </c>
      <c r="F24" s="10" t="inlineStr">
        <is>
          <t>Own trucks</t>
        </is>
      </c>
      <c r="G24" s="5" t="n">
        <v>46234</v>
      </c>
      <c r="H24" s="5" t="n">
        <v>46237</v>
      </c>
      <c r="I24" s="5" t="n">
        <v>46237</v>
      </c>
      <c r="J24" s="10" t="inlineStr">
        <is>
          <t>14:40</t>
        </is>
      </c>
      <c r="K24" s="10" t="inlineStr">
        <is>
          <t>On time</t>
        </is>
      </c>
      <c r="L24" s="6" t="n">
        <v>0</v>
      </c>
      <c r="M24" s="10" t="n"/>
      <c r="N24" s="6" t="n">
        <v>10</v>
      </c>
      <c r="O24" s="6" t="n">
        <v>1310</v>
      </c>
      <c r="P24" s="6" t="n">
        <v>1</v>
      </c>
      <c r="Q24" s="6">
        <f>IF(OR(K24="On time",K24="Late",K24="Very late"),1,0)</f>
        <v/>
      </c>
    </row>
    <row r="25">
      <c r="A25" s="10" t="inlineStr">
        <is>
          <t>DN318226</t>
        </is>
      </c>
      <c r="B25" s="10" t="inlineStr">
        <is>
          <t>SO61894</t>
        </is>
      </c>
      <c r="C25" s="10" t="inlineStr">
        <is>
          <t>C11745</t>
        </is>
      </c>
      <c r="D25" s="10">
        <f>INDEX(Customers!$B:$B,MATCH(C25,Customers!$A:$A,0))</f>
        <v/>
      </c>
      <c r="E25" s="10">
        <f>INDEX(Customers!$D:$D,MATCH(C25,Customers!$A:$A,0))</f>
        <v/>
      </c>
      <c r="F25" s="10" t="inlineStr">
        <is>
          <t>Own trucks</t>
        </is>
      </c>
      <c r="G25" s="5" t="n">
        <v>46234</v>
      </c>
      <c r="H25" s="5" t="n">
        <v>46237</v>
      </c>
      <c r="I25" s="5" t="n">
        <v>46237</v>
      </c>
      <c r="J25" s="10" t="inlineStr">
        <is>
          <t>09:40</t>
        </is>
      </c>
      <c r="K25" s="10" t="inlineStr">
        <is>
          <t>On time</t>
        </is>
      </c>
      <c r="L25" s="6" t="n">
        <v>0</v>
      </c>
      <c r="M25" s="10" t="n"/>
      <c r="N25" s="6" t="n">
        <v>21</v>
      </c>
      <c r="O25" s="6" t="n">
        <v>2499</v>
      </c>
      <c r="P25" s="6" t="n">
        <v>1</v>
      </c>
      <c r="Q25" s="6">
        <f>IF(OR(K25="On time",K25="Late",K25="Very late"),1,0)</f>
        <v/>
      </c>
    </row>
    <row r="26">
      <c r="A26" s="10" t="inlineStr">
        <is>
          <t>DN318227</t>
        </is>
      </c>
      <c r="B26" s="10" t="inlineStr">
        <is>
          <t>SO61896</t>
        </is>
      </c>
      <c r="C26" s="10" t="inlineStr">
        <is>
          <t>C11798</t>
        </is>
      </c>
      <c r="D26" s="10">
        <f>INDEX(Customers!$B:$B,MATCH(C26,Customers!$A:$A,0))</f>
        <v/>
      </c>
      <c r="E26" s="10">
        <f>INDEX(Customers!$D:$D,MATCH(C26,Customers!$A:$A,0))</f>
        <v/>
      </c>
      <c r="F26" s="10" t="inlineStr">
        <is>
          <t>Carrier A</t>
        </is>
      </c>
      <c r="G26" s="5" t="n">
        <v>46234</v>
      </c>
      <c r="H26" s="5" t="n">
        <v>46237</v>
      </c>
      <c r="I26" s="5" t="n">
        <v>46237</v>
      </c>
      <c r="J26" s="10" t="inlineStr">
        <is>
          <t>07:00</t>
        </is>
      </c>
      <c r="K26" s="10" t="inlineStr">
        <is>
          <t>On time</t>
        </is>
      </c>
      <c r="L26" s="6" t="n">
        <v>0</v>
      </c>
      <c r="M26" s="10" t="n"/>
      <c r="N26" s="6" t="n">
        <v>26</v>
      </c>
      <c r="O26" s="6" t="n">
        <v>1664</v>
      </c>
      <c r="P26" s="6" t="n">
        <v>1</v>
      </c>
      <c r="Q26" s="6">
        <f>IF(OR(K26="On time",K26="Late",K26="Very late"),1,0)</f>
        <v/>
      </c>
    </row>
    <row r="27">
      <c r="A27" s="10" t="inlineStr">
        <is>
          <t>DN318228</t>
        </is>
      </c>
      <c r="B27" s="10" t="inlineStr">
        <is>
          <t>SO61897</t>
        </is>
      </c>
      <c r="C27" s="10" t="inlineStr">
        <is>
          <t>C11858</t>
        </is>
      </c>
      <c r="D27" s="10">
        <f>INDEX(Customers!$B:$B,MATCH(C27,Customers!$A:$A,0))</f>
        <v/>
      </c>
      <c r="E27" s="10">
        <f>INDEX(Customers!$D:$D,MATCH(C27,Customers!$A:$A,0))</f>
        <v/>
      </c>
      <c r="F27" s="10" t="inlineStr">
        <is>
          <t>Carrier A</t>
        </is>
      </c>
      <c r="G27" s="5" t="n">
        <v>46234</v>
      </c>
      <c r="H27" s="5" t="n">
        <v>46237</v>
      </c>
      <c r="I27" s="5" t="n">
        <v>46237</v>
      </c>
      <c r="J27" s="10" t="inlineStr">
        <is>
          <t>07:00</t>
        </is>
      </c>
      <c r="K27" s="10" t="inlineStr">
        <is>
          <t>On time</t>
        </is>
      </c>
      <c r="L27" s="6" t="n">
        <v>0</v>
      </c>
      <c r="M27" s="10" t="n"/>
      <c r="N27" s="6" t="n">
        <v>34</v>
      </c>
      <c r="O27" s="6" t="n">
        <v>3910</v>
      </c>
      <c r="P27" s="6" t="n">
        <v>1</v>
      </c>
      <c r="Q27" s="6">
        <f>IF(OR(K27="On time",K27="Late",K27="Very late"),1,0)</f>
        <v/>
      </c>
    </row>
    <row r="28">
      <c r="A28" s="10" t="inlineStr">
        <is>
          <t>DN318229</t>
        </is>
      </c>
      <c r="B28" s="10" t="inlineStr">
        <is>
          <t>SO61898</t>
        </is>
      </c>
      <c r="C28" s="10" t="inlineStr">
        <is>
          <t>C11866</t>
        </is>
      </c>
      <c r="D28" s="10">
        <f>INDEX(Customers!$B:$B,MATCH(C28,Customers!$A:$A,0))</f>
        <v/>
      </c>
      <c r="E28" s="10">
        <f>INDEX(Customers!$D:$D,MATCH(C28,Customers!$A:$A,0))</f>
        <v/>
      </c>
      <c r="F28" s="10" t="inlineStr">
        <is>
          <t>Carrier A</t>
        </is>
      </c>
      <c r="G28" s="5" t="n">
        <v>46234</v>
      </c>
      <c r="H28" s="5" t="n">
        <v>46237</v>
      </c>
      <c r="I28" s="5" t="n">
        <v>46237</v>
      </c>
      <c r="J28" s="10" t="inlineStr">
        <is>
          <t>08:30</t>
        </is>
      </c>
      <c r="K28" s="10" t="inlineStr">
        <is>
          <t>On time</t>
        </is>
      </c>
      <c r="L28" s="6" t="n">
        <v>0</v>
      </c>
      <c r="M28" s="10" t="n"/>
      <c r="N28" s="6" t="n">
        <v>31</v>
      </c>
      <c r="O28" s="6" t="n">
        <v>3968</v>
      </c>
      <c r="P28" s="6" t="n">
        <v>1</v>
      </c>
      <c r="Q28" s="6">
        <f>IF(OR(K28="On time",K28="Late",K28="Very late"),1,0)</f>
        <v/>
      </c>
    </row>
    <row r="29">
      <c r="A29" s="10" t="inlineStr">
        <is>
          <t>DN318230</t>
        </is>
      </c>
      <c r="B29" s="10" t="inlineStr">
        <is>
          <t>SO61899</t>
        </is>
      </c>
      <c r="C29" s="10" t="inlineStr">
        <is>
          <t>C11910</t>
        </is>
      </c>
      <c r="D29" s="10">
        <f>INDEX(Customers!$B:$B,MATCH(C29,Customers!$A:$A,0))</f>
        <v/>
      </c>
      <c r="E29" s="10">
        <f>INDEX(Customers!$D:$D,MATCH(C29,Customers!$A:$A,0))</f>
        <v/>
      </c>
      <c r="F29" s="10" t="inlineStr">
        <is>
          <t>Carrier A</t>
        </is>
      </c>
      <c r="G29" s="5" t="n">
        <v>46234</v>
      </c>
      <c r="H29" s="5" t="n">
        <v>46237</v>
      </c>
      <c r="I29" s="5" t="n">
        <v>46237</v>
      </c>
      <c r="J29" s="10" t="inlineStr">
        <is>
          <t>10:30</t>
        </is>
      </c>
      <c r="K29" s="10" t="inlineStr">
        <is>
          <t>On time</t>
        </is>
      </c>
      <c r="L29" s="6" t="n">
        <v>0</v>
      </c>
      <c r="M29" s="10" t="n"/>
      <c r="N29" s="6" t="n">
        <v>23</v>
      </c>
      <c r="O29" s="6" t="n">
        <v>2599</v>
      </c>
      <c r="P29" s="6" t="n">
        <v>1</v>
      </c>
      <c r="Q29" s="6">
        <f>IF(OR(K29="On time",K29="Late",K29="Very late"),1,0)</f>
        <v/>
      </c>
    </row>
    <row r="30">
      <c r="A30" s="10" t="inlineStr">
        <is>
          <t>DN318231</t>
        </is>
      </c>
      <c r="B30" s="10" t="inlineStr">
        <is>
          <t>SO61900</t>
        </is>
      </c>
      <c r="C30" s="10" t="inlineStr">
        <is>
          <t>C11971</t>
        </is>
      </c>
      <c r="D30" s="10">
        <f>INDEX(Customers!$B:$B,MATCH(C30,Customers!$A:$A,0))</f>
        <v/>
      </c>
      <c r="E30" s="10">
        <f>INDEX(Customers!$D:$D,MATCH(C30,Customers!$A:$A,0))</f>
        <v/>
      </c>
      <c r="F30" s="10" t="inlineStr">
        <is>
          <t>Own trucks</t>
        </is>
      </c>
      <c r="G30" s="5" t="n">
        <v>46234</v>
      </c>
      <c r="H30" s="5" t="n">
        <v>46237</v>
      </c>
      <c r="I30" s="5" t="n">
        <v>46237</v>
      </c>
      <c r="J30" s="10" t="inlineStr">
        <is>
          <t>10:50</t>
        </is>
      </c>
      <c r="K30" s="10" t="inlineStr">
        <is>
          <t>On time</t>
        </is>
      </c>
      <c r="L30" s="6" t="n">
        <v>0</v>
      </c>
      <c r="M30" s="10" t="n"/>
      <c r="N30" s="6" t="n">
        <v>13</v>
      </c>
      <c r="O30" s="6" t="n">
        <v>780</v>
      </c>
      <c r="P30" s="6" t="n">
        <v>1</v>
      </c>
      <c r="Q30" s="6">
        <f>IF(OR(K30="On time",K30="Late",K30="Very late"),1,0)</f>
        <v/>
      </c>
    </row>
    <row r="31">
      <c r="A31" s="10" t="inlineStr">
        <is>
          <t>DN318232</t>
        </is>
      </c>
      <c r="B31" s="10" t="inlineStr">
        <is>
          <t>SO61901</t>
        </is>
      </c>
      <c r="C31" s="10" t="inlineStr">
        <is>
          <t>C12037</t>
        </is>
      </c>
      <c r="D31" s="10">
        <f>INDEX(Customers!$B:$B,MATCH(C31,Customers!$A:$A,0))</f>
        <v/>
      </c>
      <c r="E31" s="10">
        <f>INDEX(Customers!$D:$D,MATCH(C31,Customers!$A:$A,0))</f>
        <v/>
      </c>
      <c r="F31" s="10" t="inlineStr">
        <is>
          <t>Own trucks</t>
        </is>
      </c>
      <c r="G31" s="5" t="n">
        <v>46234</v>
      </c>
      <c r="H31" s="5" t="n">
        <v>46237</v>
      </c>
      <c r="I31" s="5" t="n">
        <v>46237</v>
      </c>
      <c r="J31" s="10" t="inlineStr">
        <is>
          <t>10:30</t>
        </is>
      </c>
      <c r="K31" s="10" t="inlineStr">
        <is>
          <t>On time</t>
        </is>
      </c>
      <c r="L31" s="6" t="n">
        <v>0</v>
      </c>
      <c r="M31" s="10" t="n"/>
      <c r="N31" s="6" t="n">
        <v>3</v>
      </c>
      <c r="O31" s="6" t="n">
        <v>213</v>
      </c>
      <c r="P31" s="6" t="n">
        <v>1</v>
      </c>
      <c r="Q31" s="6">
        <f>IF(OR(K31="On time",K31="Late",K31="Very late"),1,0)</f>
        <v/>
      </c>
    </row>
    <row r="32">
      <c r="A32" s="10" t="inlineStr">
        <is>
          <t>DN318233</t>
        </is>
      </c>
      <c r="B32" s="10" t="inlineStr">
        <is>
          <t>SO61902</t>
        </is>
      </c>
      <c r="C32" s="10" t="inlineStr">
        <is>
          <t>C12103</t>
        </is>
      </c>
      <c r="D32" s="10">
        <f>INDEX(Customers!$B:$B,MATCH(C32,Customers!$A:$A,0))</f>
        <v/>
      </c>
      <c r="E32" s="10">
        <f>INDEX(Customers!$D:$D,MATCH(C32,Customers!$A:$A,0))</f>
        <v/>
      </c>
      <c r="F32" s="10" t="inlineStr">
        <is>
          <t>Own trucks</t>
        </is>
      </c>
      <c r="G32" s="5" t="n">
        <v>46234</v>
      </c>
      <c r="H32" s="5" t="n">
        <v>46237</v>
      </c>
      <c r="I32" s="5" t="n">
        <v>46237</v>
      </c>
      <c r="J32" s="10" t="inlineStr">
        <is>
          <t>09:10</t>
        </is>
      </c>
      <c r="K32" s="10" t="inlineStr">
        <is>
          <t>On time</t>
        </is>
      </c>
      <c r="L32" s="6" t="n">
        <v>0</v>
      </c>
      <c r="M32" s="10" t="n"/>
      <c r="N32" s="6" t="n">
        <v>13</v>
      </c>
      <c r="O32" s="6" t="n">
        <v>1352</v>
      </c>
      <c r="P32" s="6" t="n">
        <v>1</v>
      </c>
      <c r="Q32" s="6">
        <f>IF(OR(K32="On time",K32="Late",K32="Very late"),1,0)</f>
        <v/>
      </c>
    </row>
    <row r="33">
      <c r="A33" s="10" t="inlineStr">
        <is>
          <t>DN318234</t>
        </is>
      </c>
      <c r="B33" s="10" t="inlineStr">
        <is>
          <t>SO61903</t>
        </is>
      </c>
      <c r="C33" s="10" t="inlineStr">
        <is>
          <t>C12239</t>
        </is>
      </c>
      <c r="D33" s="10">
        <f>INDEX(Customers!$B:$B,MATCH(C33,Customers!$A:$A,0))</f>
        <v/>
      </c>
      <c r="E33" s="10">
        <f>INDEX(Customers!$D:$D,MATCH(C33,Customers!$A:$A,0))</f>
        <v/>
      </c>
      <c r="F33" s="10" t="inlineStr">
        <is>
          <t>Carrier B</t>
        </is>
      </c>
      <c r="G33" s="5" t="n">
        <v>46234</v>
      </c>
      <c r="H33" s="5" t="n">
        <v>46237</v>
      </c>
      <c r="I33" s="5" t="n">
        <v>46237</v>
      </c>
      <c r="J33" s="10" t="inlineStr">
        <is>
          <t>14:30</t>
        </is>
      </c>
      <c r="K33" s="10" t="inlineStr">
        <is>
          <t>On time</t>
        </is>
      </c>
      <c r="L33" s="6" t="n">
        <v>0</v>
      </c>
      <c r="M33" s="10" t="n"/>
      <c r="N33" s="6" t="n">
        <v>28</v>
      </c>
      <c r="O33" s="6" t="n">
        <v>2548</v>
      </c>
      <c r="P33" s="6" t="n">
        <v>1</v>
      </c>
      <c r="Q33" s="6">
        <f>IF(OR(K33="On time",K33="Late",K33="Very late"),1,0)</f>
        <v/>
      </c>
    </row>
    <row r="34">
      <c r="A34" s="10" t="inlineStr">
        <is>
          <t>DN318235</t>
        </is>
      </c>
      <c r="B34" s="10" t="inlineStr">
        <is>
          <t>SO61904</t>
        </is>
      </c>
      <c r="C34" s="10" t="inlineStr">
        <is>
          <t>C12262</t>
        </is>
      </c>
      <c r="D34" s="10">
        <f>INDEX(Customers!$B:$B,MATCH(C34,Customers!$A:$A,0))</f>
        <v/>
      </c>
      <c r="E34" s="10">
        <f>INDEX(Customers!$D:$D,MATCH(C34,Customers!$A:$A,0))</f>
        <v/>
      </c>
      <c r="F34" s="10" t="inlineStr">
        <is>
          <t>Carrier B</t>
        </is>
      </c>
      <c r="G34" s="5" t="n">
        <v>46234</v>
      </c>
      <c r="H34" s="5" t="n">
        <v>46237</v>
      </c>
      <c r="I34" s="5" t="n">
        <v>46237</v>
      </c>
      <c r="J34" s="10" t="inlineStr">
        <is>
          <t>08:40</t>
        </is>
      </c>
      <c r="K34" s="10" t="inlineStr">
        <is>
          <t>On time</t>
        </is>
      </c>
      <c r="L34" s="6" t="n">
        <v>0</v>
      </c>
      <c r="M34" s="10" t="n"/>
      <c r="N34" s="6" t="n">
        <v>35</v>
      </c>
      <c r="O34" s="6" t="n">
        <v>3150</v>
      </c>
      <c r="P34" s="6" t="n">
        <v>1</v>
      </c>
      <c r="Q34" s="6">
        <f>IF(OR(K34="On time",K34="Late",K34="Very late"),1,0)</f>
        <v/>
      </c>
    </row>
    <row r="35">
      <c r="A35" s="10" t="inlineStr">
        <is>
          <t>DN318236</t>
        </is>
      </c>
      <c r="B35" s="10" t="inlineStr">
        <is>
          <t>SO61905</t>
        </is>
      </c>
      <c r="C35" s="10" t="inlineStr">
        <is>
          <t>C12365</t>
        </is>
      </c>
      <c r="D35" s="10">
        <f>INDEX(Customers!$B:$B,MATCH(C35,Customers!$A:$A,0))</f>
        <v/>
      </c>
      <c r="E35" s="10">
        <f>INDEX(Customers!$D:$D,MATCH(C35,Customers!$A:$A,0))</f>
        <v/>
      </c>
      <c r="F35" s="10" t="inlineStr">
        <is>
          <t>Carrier B</t>
        </is>
      </c>
      <c r="G35" s="5" t="n">
        <v>46234</v>
      </c>
      <c r="H35" s="5" t="n">
        <v>46237</v>
      </c>
      <c r="I35" s="5" t="n">
        <v>46237</v>
      </c>
      <c r="J35" s="10" t="inlineStr">
        <is>
          <t>14:50</t>
        </is>
      </c>
      <c r="K35" s="10" t="inlineStr">
        <is>
          <t>On time</t>
        </is>
      </c>
      <c r="L35" s="6" t="n">
        <v>0</v>
      </c>
      <c r="M35" s="10" t="n"/>
      <c r="N35" s="6" t="n">
        <v>23</v>
      </c>
      <c r="O35" s="6" t="n">
        <v>2461</v>
      </c>
      <c r="P35" s="6" t="n">
        <v>1</v>
      </c>
      <c r="Q35" s="6">
        <f>IF(OR(K35="On time",K35="Late",K35="Very late"),1,0)</f>
        <v/>
      </c>
    </row>
    <row r="36">
      <c r="A36" s="10" t="inlineStr">
        <is>
          <t>DN318237</t>
        </is>
      </c>
      <c r="B36" s="10" t="inlineStr">
        <is>
          <t>SO61906</t>
        </is>
      </c>
      <c r="C36" s="10" t="inlineStr">
        <is>
          <t>C12393</t>
        </is>
      </c>
      <c r="D36" s="10">
        <f>INDEX(Customers!$B:$B,MATCH(C36,Customers!$A:$A,0))</f>
        <v/>
      </c>
      <c r="E36" s="10">
        <f>INDEX(Customers!$D:$D,MATCH(C36,Customers!$A:$A,0))</f>
        <v/>
      </c>
      <c r="F36" s="10" t="inlineStr">
        <is>
          <t>Carrier A</t>
        </is>
      </c>
      <c r="G36" s="5" t="n">
        <v>46234</v>
      </c>
      <c r="H36" s="5" t="n">
        <v>46237</v>
      </c>
      <c r="I36" s="5" t="n">
        <v>46239</v>
      </c>
      <c r="J36" s="10" t="inlineStr">
        <is>
          <t>16:40</t>
        </is>
      </c>
      <c r="K36" s="10" t="inlineStr">
        <is>
          <t>Very late</t>
        </is>
      </c>
      <c r="L36" s="6" t="n">
        <v>2</v>
      </c>
      <c r="M36" s="10" t="inlineStr">
        <is>
          <t>Carrier delay</t>
        </is>
      </c>
      <c r="N36" s="6" t="n">
        <v>15</v>
      </c>
      <c r="O36" s="6" t="n">
        <v>1035</v>
      </c>
      <c r="P36" s="6" t="n">
        <v>1</v>
      </c>
      <c r="Q36" s="6">
        <f>IF(OR(K36="On time",K36="Late",K36="Very late"),1,0)</f>
        <v/>
      </c>
    </row>
    <row r="37">
      <c r="A37" s="10" t="inlineStr">
        <is>
          <t>DN318238</t>
        </is>
      </c>
      <c r="B37" s="10" t="inlineStr">
        <is>
          <t>SO61907</t>
        </is>
      </c>
      <c r="C37" s="10" t="inlineStr">
        <is>
          <t>C12420</t>
        </is>
      </c>
      <c r="D37" s="10">
        <f>INDEX(Customers!$B:$B,MATCH(C37,Customers!$A:$A,0))</f>
        <v/>
      </c>
      <c r="E37" s="10">
        <f>INDEX(Customers!$D:$D,MATCH(C37,Customers!$A:$A,0))</f>
        <v/>
      </c>
      <c r="F37" s="10" t="inlineStr">
        <is>
          <t>Carrier A</t>
        </is>
      </c>
      <c r="G37" s="5" t="n">
        <v>46234</v>
      </c>
      <c r="H37" s="5" t="n">
        <v>46237</v>
      </c>
      <c r="I37" s="5" t="n">
        <v>46237</v>
      </c>
      <c r="J37" s="10" t="inlineStr">
        <is>
          <t>10:40</t>
        </is>
      </c>
      <c r="K37" s="10" t="inlineStr">
        <is>
          <t>On time</t>
        </is>
      </c>
      <c r="L37" s="6" t="n">
        <v>0</v>
      </c>
      <c r="M37" s="10" t="n"/>
      <c r="N37" s="6" t="n">
        <v>20</v>
      </c>
      <c r="O37" s="6" t="n">
        <v>2540</v>
      </c>
      <c r="P37" s="6" t="n">
        <v>1</v>
      </c>
      <c r="Q37" s="6">
        <f>IF(OR(K37="On time",K37="Late",K37="Very late"),1,0)</f>
        <v/>
      </c>
    </row>
    <row r="38">
      <c r="A38" s="10" t="inlineStr">
        <is>
          <t>DN318239</t>
        </is>
      </c>
      <c r="B38" s="10" t="inlineStr">
        <is>
          <t>SO61909</t>
        </is>
      </c>
      <c r="C38" s="10" t="inlineStr">
        <is>
          <t>C12490</t>
        </is>
      </c>
      <c r="D38" s="10">
        <f>INDEX(Customers!$B:$B,MATCH(C38,Customers!$A:$A,0))</f>
        <v/>
      </c>
      <c r="E38" s="10">
        <f>INDEX(Customers!$D:$D,MATCH(C38,Customers!$A:$A,0))</f>
        <v/>
      </c>
      <c r="F38" s="10" t="inlineStr">
        <is>
          <t>Carrier A</t>
        </is>
      </c>
      <c r="G38" s="5" t="n">
        <v>46234</v>
      </c>
      <c r="H38" s="5" t="n">
        <v>46237</v>
      </c>
      <c r="I38" s="5" t="n">
        <v>46238</v>
      </c>
      <c r="J38" s="10" t="inlineStr">
        <is>
          <t>07:20</t>
        </is>
      </c>
      <c r="K38" s="10" t="inlineStr">
        <is>
          <t>Late</t>
        </is>
      </c>
      <c r="L38" s="6" t="n">
        <v>1</v>
      </c>
      <c r="M38" s="10" t="inlineStr">
        <is>
          <t>Carrier delay</t>
        </is>
      </c>
      <c r="N38" s="6" t="n">
        <v>13</v>
      </c>
      <c r="O38" s="6" t="n">
        <v>1781</v>
      </c>
      <c r="P38" s="6" t="n">
        <v>1</v>
      </c>
      <c r="Q38" s="6">
        <f>IF(OR(K38="On time",K38="Late",K38="Very late"),1,0)</f>
        <v/>
      </c>
    </row>
    <row r="39">
      <c r="A39" s="10" t="inlineStr">
        <is>
          <t>DN318240</t>
        </is>
      </c>
      <c r="B39" s="10" t="inlineStr">
        <is>
          <t>SO61910</t>
        </is>
      </c>
      <c r="C39" s="10" t="inlineStr">
        <is>
          <t>C12543</t>
        </is>
      </c>
      <c r="D39" s="10">
        <f>INDEX(Customers!$B:$B,MATCH(C39,Customers!$A:$A,0))</f>
        <v/>
      </c>
      <c r="E39" s="10">
        <f>INDEX(Customers!$D:$D,MATCH(C39,Customers!$A:$A,0))</f>
        <v/>
      </c>
      <c r="F39" s="10" t="inlineStr">
        <is>
          <t>Carrier B</t>
        </is>
      </c>
      <c r="G39" s="5" t="n">
        <v>46233</v>
      </c>
      <c r="H39" s="5" t="n">
        <v>46237</v>
      </c>
      <c r="I39" s="5" t="n">
        <v>46237</v>
      </c>
      <c r="J39" s="10" t="inlineStr">
        <is>
          <t>11:20</t>
        </is>
      </c>
      <c r="K39" s="10" t="inlineStr">
        <is>
          <t>On time</t>
        </is>
      </c>
      <c r="L39" s="6" t="n">
        <v>0</v>
      </c>
      <c r="M39" s="10" t="n"/>
      <c r="N39" s="6" t="n">
        <v>12</v>
      </c>
      <c r="O39" s="6" t="n">
        <v>1056</v>
      </c>
      <c r="P39" s="6" t="n">
        <v>1</v>
      </c>
      <c r="Q39" s="6">
        <f>IF(OR(K39="On time",K39="Late",K39="Very late"),1,0)</f>
        <v/>
      </c>
    </row>
    <row r="40">
      <c r="A40" s="10" t="inlineStr">
        <is>
          <t>DN318241</t>
        </is>
      </c>
      <c r="B40" s="10" t="inlineStr">
        <is>
          <t>SO61911</t>
        </is>
      </c>
      <c r="C40" s="10" t="inlineStr">
        <is>
          <t>C12557</t>
        </is>
      </c>
      <c r="D40" s="10">
        <f>INDEX(Customers!$B:$B,MATCH(C40,Customers!$A:$A,0))</f>
        <v/>
      </c>
      <c r="E40" s="10">
        <f>INDEX(Customers!$D:$D,MATCH(C40,Customers!$A:$A,0))</f>
        <v/>
      </c>
      <c r="F40" s="10" t="inlineStr">
        <is>
          <t>Carrier B</t>
        </is>
      </c>
      <c r="G40" s="5" t="n">
        <v>46233</v>
      </c>
      <c r="H40" s="5" t="n">
        <v>46237</v>
      </c>
      <c r="I40" s="5" t="n">
        <v>46237</v>
      </c>
      <c r="J40" s="10" t="inlineStr">
        <is>
          <t>11:30</t>
        </is>
      </c>
      <c r="K40" s="10" t="inlineStr">
        <is>
          <t>On time</t>
        </is>
      </c>
      <c r="L40" s="6" t="n">
        <v>0</v>
      </c>
      <c r="M40" s="10" t="n"/>
      <c r="N40" s="6" t="n">
        <v>2</v>
      </c>
      <c r="O40" s="6" t="n">
        <v>124</v>
      </c>
      <c r="P40" s="6" t="n">
        <v>1</v>
      </c>
      <c r="Q40" s="6">
        <f>IF(OR(K40="On time",K40="Late",K40="Very late"),1,0)</f>
        <v/>
      </c>
    </row>
    <row r="41">
      <c r="A41" s="10" t="inlineStr">
        <is>
          <t>DN318242</t>
        </is>
      </c>
      <c r="B41" s="10" t="inlineStr">
        <is>
          <t>SO61912</t>
        </is>
      </c>
      <c r="C41" s="10" t="inlineStr">
        <is>
          <t>C12617</t>
        </is>
      </c>
      <c r="D41" s="10">
        <f>INDEX(Customers!$B:$B,MATCH(C41,Customers!$A:$A,0))</f>
        <v/>
      </c>
      <c r="E41" s="10">
        <f>INDEX(Customers!$D:$D,MATCH(C41,Customers!$A:$A,0))</f>
        <v/>
      </c>
      <c r="F41" s="10" t="inlineStr">
        <is>
          <t>Carrier B</t>
        </is>
      </c>
      <c r="G41" s="5" t="n">
        <v>46233</v>
      </c>
      <c r="H41" s="5" t="n">
        <v>46237</v>
      </c>
      <c r="I41" s="5" t="n">
        <v>46237</v>
      </c>
      <c r="J41" s="10" t="inlineStr">
        <is>
          <t>15:40</t>
        </is>
      </c>
      <c r="K41" s="10" t="inlineStr">
        <is>
          <t>On time</t>
        </is>
      </c>
      <c r="L41" s="6" t="n">
        <v>0</v>
      </c>
      <c r="M41" s="10" t="n"/>
      <c r="N41" s="6" t="n">
        <v>24</v>
      </c>
      <c r="O41" s="6" t="n">
        <v>2280</v>
      </c>
      <c r="P41" s="6" t="n">
        <v>1</v>
      </c>
      <c r="Q41" s="6">
        <f>IF(OR(K41="On time",K41="Late",K41="Very late"),1,0)</f>
        <v/>
      </c>
    </row>
    <row r="42">
      <c r="A42" s="10" t="inlineStr">
        <is>
          <t>DN318243</t>
        </is>
      </c>
      <c r="B42" s="10" t="inlineStr">
        <is>
          <t>SO61914</t>
        </is>
      </c>
      <c r="C42" s="10" t="inlineStr">
        <is>
          <t>C12639</t>
        </is>
      </c>
      <c r="D42" s="10">
        <f>INDEX(Customers!$B:$B,MATCH(C42,Customers!$A:$A,0))</f>
        <v/>
      </c>
      <c r="E42" s="10">
        <f>INDEX(Customers!$D:$D,MATCH(C42,Customers!$A:$A,0))</f>
        <v/>
      </c>
      <c r="F42" s="10" t="inlineStr">
        <is>
          <t>Carrier B</t>
        </is>
      </c>
      <c r="G42" s="5" t="n">
        <v>46233</v>
      </c>
      <c r="H42" s="5" t="n">
        <v>46237</v>
      </c>
      <c r="I42" s="5" t="n">
        <v>46237</v>
      </c>
      <c r="J42" s="10" t="inlineStr">
        <is>
          <t>13:20</t>
        </is>
      </c>
      <c r="K42" s="10" t="inlineStr">
        <is>
          <t>On time</t>
        </is>
      </c>
      <c r="L42" s="6" t="n">
        <v>0</v>
      </c>
      <c r="M42" s="10" t="n"/>
      <c r="N42" s="6" t="n">
        <v>40</v>
      </c>
      <c r="O42" s="6" t="n">
        <v>3280</v>
      </c>
      <c r="P42" s="6" t="n">
        <v>1</v>
      </c>
      <c r="Q42" s="6">
        <f>IF(OR(K42="On time",K42="Late",K42="Very late"),1,0)</f>
        <v/>
      </c>
    </row>
    <row r="43">
      <c r="A43" s="10" t="inlineStr">
        <is>
          <t>DN318244</t>
        </is>
      </c>
      <c r="B43" s="10" t="inlineStr">
        <is>
          <t>SO61915</t>
        </is>
      </c>
      <c r="C43" s="10" t="inlineStr">
        <is>
          <t>C12675</t>
        </is>
      </c>
      <c r="D43" s="10">
        <f>INDEX(Customers!$B:$B,MATCH(C43,Customers!$A:$A,0))</f>
        <v/>
      </c>
      <c r="E43" s="10">
        <f>INDEX(Customers!$D:$D,MATCH(C43,Customers!$A:$A,0))</f>
        <v/>
      </c>
      <c r="F43" s="10" t="inlineStr">
        <is>
          <t>Carrier B</t>
        </is>
      </c>
      <c r="G43" s="5" t="n">
        <v>46233</v>
      </c>
      <c r="H43" s="5" t="n">
        <v>46237</v>
      </c>
      <c r="I43" s="5" t="n">
        <v>46237</v>
      </c>
      <c r="J43" s="10" t="inlineStr">
        <is>
          <t>08:50</t>
        </is>
      </c>
      <c r="K43" s="10" t="inlineStr">
        <is>
          <t>On time</t>
        </is>
      </c>
      <c r="L43" s="6" t="n">
        <v>0</v>
      </c>
      <c r="M43" s="10" t="n"/>
      <c r="N43" s="6" t="n">
        <v>25</v>
      </c>
      <c r="O43" s="6" t="n">
        <v>2975</v>
      </c>
      <c r="P43" s="6" t="n">
        <v>1</v>
      </c>
      <c r="Q43" s="6">
        <f>IF(OR(K43="On time",K43="Late",K43="Very late"),1,0)</f>
        <v/>
      </c>
    </row>
    <row r="44">
      <c r="A44" s="10" t="inlineStr">
        <is>
          <t>DN318245</t>
        </is>
      </c>
      <c r="B44" s="10" t="inlineStr">
        <is>
          <t>SO61917</t>
        </is>
      </c>
      <c r="C44" s="10" t="inlineStr">
        <is>
          <t>C10322</t>
        </is>
      </c>
      <c r="D44" s="10">
        <f>INDEX(Customers!$B:$B,MATCH(C44,Customers!$A:$A,0))</f>
        <v/>
      </c>
      <c r="E44" s="10">
        <f>INDEX(Customers!$D:$D,MATCH(C44,Customers!$A:$A,0))</f>
        <v/>
      </c>
      <c r="F44" s="10" t="inlineStr">
        <is>
          <t>Own trucks</t>
        </is>
      </c>
      <c r="G44" s="5" t="n">
        <v>46237</v>
      </c>
      <c r="H44" s="5" t="n">
        <v>46238</v>
      </c>
      <c r="I44" s="5" t="n">
        <v>46238</v>
      </c>
      <c r="J44" s="10" t="inlineStr">
        <is>
          <t>13:00</t>
        </is>
      </c>
      <c r="K44" s="10" t="inlineStr">
        <is>
          <t>On time</t>
        </is>
      </c>
      <c r="L44" s="6" t="n">
        <v>0</v>
      </c>
      <c r="M44" s="10" t="n"/>
      <c r="N44" s="6" t="n">
        <v>20</v>
      </c>
      <c r="O44" s="6" t="n">
        <v>1940</v>
      </c>
      <c r="P44" s="6" t="n">
        <v>1</v>
      </c>
      <c r="Q44" s="6">
        <f>IF(OR(K44="On time",K44="Late",K44="Very late"),1,0)</f>
        <v/>
      </c>
    </row>
    <row r="45">
      <c r="A45" s="10" t="inlineStr">
        <is>
          <t>DN318246</t>
        </is>
      </c>
      <c r="B45" s="10" t="inlineStr">
        <is>
          <t>SO61918</t>
        </is>
      </c>
      <c r="C45" s="10" t="inlineStr">
        <is>
          <t>C10343</t>
        </is>
      </c>
      <c r="D45" s="10">
        <f>INDEX(Customers!$B:$B,MATCH(C45,Customers!$A:$A,0))</f>
        <v/>
      </c>
      <c r="E45" s="10">
        <f>INDEX(Customers!$D:$D,MATCH(C45,Customers!$A:$A,0))</f>
        <v/>
      </c>
      <c r="F45" s="10" t="inlineStr">
        <is>
          <t>Own trucks</t>
        </is>
      </c>
      <c r="G45" s="5" t="n">
        <v>46237</v>
      </c>
      <c r="H45" s="5" t="n">
        <v>46238</v>
      </c>
      <c r="I45" s="5" t="n">
        <v>46238</v>
      </c>
      <c r="J45" s="10" t="inlineStr">
        <is>
          <t>13:20</t>
        </is>
      </c>
      <c r="K45" s="10" t="inlineStr">
        <is>
          <t>On time</t>
        </is>
      </c>
      <c r="L45" s="6" t="n">
        <v>0</v>
      </c>
      <c r="M45" s="10" t="n"/>
      <c r="N45" s="6" t="n">
        <v>39</v>
      </c>
      <c r="O45" s="6" t="n">
        <v>2223</v>
      </c>
      <c r="P45" s="6" t="n">
        <v>1</v>
      </c>
      <c r="Q45" s="6">
        <f>IF(OR(K45="On time",K45="Late",K45="Very late"),1,0)</f>
        <v/>
      </c>
    </row>
    <row r="46">
      <c r="A46" s="10" t="inlineStr">
        <is>
          <t>DN318247</t>
        </is>
      </c>
      <c r="B46" s="10" t="inlineStr">
        <is>
          <t>SO61919</t>
        </is>
      </c>
      <c r="C46" s="10" t="inlineStr">
        <is>
          <t>C10413</t>
        </is>
      </c>
      <c r="D46" s="10">
        <f>INDEX(Customers!$B:$B,MATCH(C46,Customers!$A:$A,0))</f>
        <v/>
      </c>
      <c r="E46" s="10">
        <f>INDEX(Customers!$D:$D,MATCH(C46,Customers!$A:$A,0))</f>
        <v/>
      </c>
      <c r="F46" s="10" t="inlineStr">
        <is>
          <t>Own trucks</t>
        </is>
      </c>
      <c r="G46" s="5" t="n">
        <v>46237</v>
      </c>
      <c r="H46" s="5" t="n">
        <v>46238</v>
      </c>
      <c r="I46" s="5" t="n">
        <v>46238</v>
      </c>
      <c r="J46" s="10" t="inlineStr">
        <is>
          <t>08:10</t>
        </is>
      </c>
      <c r="K46" s="10" t="inlineStr">
        <is>
          <t>On time</t>
        </is>
      </c>
      <c r="L46" s="6" t="n">
        <v>0</v>
      </c>
      <c r="M46" s="10" t="n"/>
      <c r="N46" s="6" t="n">
        <v>9</v>
      </c>
      <c r="O46" s="6" t="n">
        <v>630</v>
      </c>
      <c r="P46" s="6" t="n">
        <v>1</v>
      </c>
      <c r="Q46" s="6">
        <f>IF(OR(K46="On time",K46="Late",K46="Very late"),1,0)</f>
        <v/>
      </c>
    </row>
    <row r="47">
      <c r="A47" s="10" t="inlineStr">
        <is>
          <t>DN318248</t>
        </is>
      </c>
      <c r="B47" s="10" t="inlineStr">
        <is>
          <t>SO61921</t>
        </is>
      </c>
      <c r="C47" s="10" t="inlineStr">
        <is>
          <t>C10446</t>
        </is>
      </c>
      <c r="D47" s="10">
        <f>INDEX(Customers!$B:$B,MATCH(C47,Customers!$A:$A,0))</f>
        <v/>
      </c>
      <c r="E47" s="10">
        <f>INDEX(Customers!$D:$D,MATCH(C47,Customers!$A:$A,0))</f>
        <v/>
      </c>
      <c r="F47" s="10" t="inlineStr">
        <is>
          <t>Own trucks</t>
        </is>
      </c>
      <c r="G47" s="5" t="n">
        <v>46237</v>
      </c>
      <c r="H47" s="5" t="n">
        <v>46238</v>
      </c>
      <c r="I47" s="5" t="n">
        <v>46238</v>
      </c>
      <c r="J47" s="10" t="inlineStr">
        <is>
          <t>11:00</t>
        </is>
      </c>
      <c r="K47" s="10" t="inlineStr">
        <is>
          <t>On time</t>
        </is>
      </c>
      <c r="L47" s="6" t="n">
        <v>0</v>
      </c>
      <c r="M47" s="10" t="n"/>
      <c r="N47" s="6" t="n">
        <v>29</v>
      </c>
      <c r="O47" s="6" t="n">
        <v>3741</v>
      </c>
      <c r="P47" s="6" t="n">
        <v>1</v>
      </c>
      <c r="Q47" s="6">
        <f>IF(OR(K47="On time",K47="Late",K47="Very late"),1,0)</f>
        <v/>
      </c>
    </row>
    <row r="48">
      <c r="A48" s="10" t="inlineStr">
        <is>
          <t>DN318249</t>
        </is>
      </c>
      <c r="B48" s="10" t="inlineStr">
        <is>
          <t>SO61922</t>
        </is>
      </c>
      <c r="C48" s="10" t="inlineStr">
        <is>
          <t>C10522</t>
        </is>
      </c>
      <c r="D48" s="10">
        <f>INDEX(Customers!$B:$B,MATCH(C48,Customers!$A:$A,0))</f>
        <v/>
      </c>
      <c r="E48" s="10">
        <f>INDEX(Customers!$D:$D,MATCH(C48,Customers!$A:$A,0))</f>
        <v/>
      </c>
      <c r="F48" s="10" t="inlineStr">
        <is>
          <t>Own trucks</t>
        </is>
      </c>
      <c r="G48" s="5" t="n">
        <v>46237</v>
      </c>
      <c r="H48" s="5" t="n">
        <v>46238</v>
      </c>
      <c r="I48" s="5" t="n">
        <v>46238</v>
      </c>
      <c r="J48" s="10" t="inlineStr">
        <is>
          <t>09:10</t>
        </is>
      </c>
      <c r="K48" s="10" t="inlineStr">
        <is>
          <t>On time</t>
        </is>
      </c>
      <c r="L48" s="6" t="n">
        <v>0</v>
      </c>
      <c r="M48" s="10" t="n"/>
      <c r="N48" s="6" t="n">
        <v>36</v>
      </c>
      <c r="O48" s="6" t="n">
        <v>2088</v>
      </c>
      <c r="P48" s="6" t="n">
        <v>1</v>
      </c>
      <c r="Q48" s="6">
        <f>IF(OR(K48="On time",K48="Late",K48="Very late"),1,0)</f>
        <v/>
      </c>
    </row>
    <row r="49">
      <c r="A49" s="10" t="inlineStr">
        <is>
          <t>DN318250</t>
        </is>
      </c>
      <c r="B49" s="10" t="inlineStr">
        <is>
          <t>SO61923</t>
        </is>
      </c>
      <c r="C49" s="10" t="inlineStr">
        <is>
          <t>C10536</t>
        </is>
      </c>
      <c r="D49" s="10">
        <f>INDEX(Customers!$B:$B,MATCH(C49,Customers!$A:$A,0))</f>
        <v/>
      </c>
      <c r="E49" s="10">
        <f>INDEX(Customers!$D:$D,MATCH(C49,Customers!$A:$A,0))</f>
        <v/>
      </c>
      <c r="F49" s="10" t="inlineStr">
        <is>
          <t>Own trucks</t>
        </is>
      </c>
      <c r="G49" s="5" t="n">
        <v>46237</v>
      </c>
      <c r="H49" s="5" t="n">
        <v>46238</v>
      </c>
      <c r="I49" s="5" t="n">
        <v>46238</v>
      </c>
      <c r="J49" s="10" t="inlineStr">
        <is>
          <t>13:20</t>
        </is>
      </c>
      <c r="K49" s="10" t="inlineStr">
        <is>
          <t>On time</t>
        </is>
      </c>
      <c r="L49" s="6" t="n">
        <v>0</v>
      </c>
      <c r="M49" s="10" t="n"/>
      <c r="N49" s="6" t="n">
        <v>11</v>
      </c>
      <c r="O49" s="6" t="n">
        <v>924</v>
      </c>
      <c r="P49" s="6" t="n">
        <v>0</v>
      </c>
      <c r="Q49" s="6">
        <f>IF(OR(K49="On time",K49="Late",K49="Very late"),1,0)</f>
        <v/>
      </c>
    </row>
    <row r="50">
      <c r="A50" s="10" t="inlineStr">
        <is>
          <t>DN318251</t>
        </is>
      </c>
      <c r="B50" s="10" t="inlineStr">
        <is>
          <t>SO61924</t>
        </is>
      </c>
      <c r="C50" s="10" t="inlineStr">
        <is>
          <t>C10589</t>
        </is>
      </c>
      <c r="D50" s="10">
        <f>INDEX(Customers!$B:$B,MATCH(C50,Customers!$A:$A,0))</f>
        <v/>
      </c>
      <c r="E50" s="10">
        <f>INDEX(Customers!$D:$D,MATCH(C50,Customers!$A:$A,0))</f>
        <v/>
      </c>
      <c r="F50" s="10" t="inlineStr">
        <is>
          <t>Own trucks</t>
        </is>
      </c>
      <c r="G50" s="5" t="n">
        <v>46237</v>
      </c>
      <c r="H50" s="5" t="n">
        <v>46238</v>
      </c>
      <c r="I50" s="5" t="n">
        <v>46238</v>
      </c>
      <c r="J50" s="10" t="inlineStr">
        <is>
          <t>12:10</t>
        </is>
      </c>
      <c r="K50" s="10" t="inlineStr">
        <is>
          <t>On time</t>
        </is>
      </c>
      <c r="L50" s="6" t="n">
        <v>0</v>
      </c>
      <c r="M50" s="10" t="n"/>
      <c r="N50" s="6" t="n">
        <v>39</v>
      </c>
      <c r="O50" s="6" t="n">
        <v>2574</v>
      </c>
      <c r="P50" s="6" t="n">
        <v>1</v>
      </c>
      <c r="Q50" s="6">
        <f>IF(OR(K50="On time",K50="Late",K50="Very late"),1,0)</f>
        <v/>
      </c>
    </row>
    <row r="51">
      <c r="A51" s="10" t="inlineStr">
        <is>
          <t>DN318252</t>
        </is>
      </c>
      <c r="B51" s="10" t="inlineStr">
        <is>
          <t>SO61925</t>
        </is>
      </c>
      <c r="C51" s="10" t="inlineStr">
        <is>
          <t>C10622</t>
        </is>
      </c>
      <c r="D51" s="10">
        <f>INDEX(Customers!$B:$B,MATCH(C51,Customers!$A:$A,0))</f>
        <v/>
      </c>
      <c r="E51" s="10">
        <f>INDEX(Customers!$D:$D,MATCH(C51,Customers!$A:$A,0))</f>
        <v/>
      </c>
      <c r="F51" s="10" t="inlineStr">
        <is>
          <t>Own trucks</t>
        </is>
      </c>
      <c r="G51" s="5" t="n">
        <v>46237</v>
      </c>
      <c r="H51" s="5" t="n">
        <v>46238</v>
      </c>
      <c r="I51" s="5" t="n">
        <v>46238</v>
      </c>
      <c r="J51" s="10" t="inlineStr">
        <is>
          <t>15:20</t>
        </is>
      </c>
      <c r="K51" s="10" t="inlineStr">
        <is>
          <t>On time</t>
        </is>
      </c>
      <c r="L51" s="6" t="n">
        <v>0</v>
      </c>
      <c r="M51" s="10" t="n"/>
      <c r="N51" s="6" t="n">
        <v>23</v>
      </c>
      <c r="O51" s="6" t="n">
        <v>3128</v>
      </c>
      <c r="P51" s="6" t="n">
        <v>1</v>
      </c>
      <c r="Q51" s="6">
        <f>IF(OR(K51="On time",K51="Late",K51="Very late"),1,0)</f>
        <v/>
      </c>
    </row>
    <row r="52">
      <c r="A52" s="10" t="inlineStr">
        <is>
          <t>DN318253</t>
        </is>
      </c>
      <c r="B52" s="10" t="inlineStr">
        <is>
          <t>SO61926</t>
        </is>
      </c>
      <c r="C52" s="10" t="inlineStr">
        <is>
          <t>C10676</t>
        </is>
      </c>
      <c r="D52" s="10">
        <f>INDEX(Customers!$B:$B,MATCH(C52,Customers!$A:$A,0))</f>
        <v/>
      </c>
      <c r="E52" s="10">
        <f>INDEX(Customers!$D:$D,MATCH(C52,Customers!$A:$A,0))</f>
        <v/>
      </c>
      <c r="F52" s="10" t="inlineStr">
        <is>
          <t>Own trucks</t>
        </is>
      </c>
      <c r="G52" s="5" t="n">
        <v>46237</v>
      </c>
      <c r="H52" s="5" t="n">
        <v>46238</v>
      </c>
      <c r="I52" s="5" t="n">
        <v>46238</v>
      </c>
      <c r="J52" s="10" t="inlineStr">
        <is>
          <t>10:30</t>
        </is>
      </c>
      <c r="K52" s="10" t="inlineStr">
        <is>
          <t>On time</t>
        </is>
      </c>
      <c r="L52" s="6" t="n">
        <v>0</v>
      </c>
      <c r="M52" s="10" t="n"/>
      <c r="N52" s="6" t="n">
        <v>5</v>
      </c>
      <c r="O52" s="6" t="n">
        <v>415</v>
      </c>
      <c r="P52" s="6" t="n">
        <v>1</v>
      </c>
      <c r="Q52" s="6">
        <f>IF(OR(K52="On time",K52="Late",K52="Very late"),1,0)</f>
        <v/>
      </c>
    </row>
    <row r="53">
      <c r="A53" s="10" t="inlineStr">
        <is>
          <t>DN318254</t>
        </is>
      </c>
      <c r="B53" s="10" t="inlineStr">
        <is>
          <t>SO61928</t>
        </is>
      </c>
      <c r="C53" s="10" t="inlineStr">
        <is>
          <t>C10796</t>
        </is>
      </c>
      <c r="D53" s="10">
        <f>INDEX(Customers!$B:$B,MATCH(C53,Customers!$A:$A,0))</f>
        <v/>
      </c>
      <c r="E53" s="10">
        <f>INDEX(Customers!$D:$D,MATCH(C53,Customers!$A:$A,0))</f>
        <v/>
      </c>
      <c r="F53" s="10" t="inlineStr">
        <is>
          <t>Own trucks</t>
        </is>
      </c>
      <c r="G53" s="5" t="n">
        <v>46237</v>
      </c>
      <c r="H53" s="5" t="n">
        <v>46238</v>
      </c>
      <c r="I53" s="5" t="n">
        <v>46238</v>
      </c>
      <c r="J53" s="10" t="inlineStr">
        <is>
          <t>10:40</t>
        </is>
      </c>
      <c r="K53" s="10" t="inlineStr">
        <is>
          <t>On time</t>
        </is>
      </c>
      <c r="L53" s="6" t="n">
        <v>0</v>
      </c>
      <c r="M53" s="10" t="n"/>
      <c r="N53" s="6" t="n">
        <v>19</v>
      </c>
      <c r="O53" s="6" t="n">
        <v>1862</v>
      </c>
      <c r="P53" s="6" t="n">
        <v>1</v>
      </c>
      <c r="Q53" s="6">
        <f>IF(OR(K53="On time",K53="Late",K53="Very late"),1,0)</f>
        <v/>
      </c>
    </row>
    <row r="54">
      <c r="A54" s="10" t="inlineStr">
        <is>
          <t>DN318255</t>
        </is>
      </c>
      <c r="B54" s="10" t="inlineStr">
        <is>
          <t>SO61929</t>
        </is>
      </c>
      <c r="C54" s="10" t="inlineStr">
        <is>
          <t>C10847</t>
        </is>
      </c>
      <c r="D54" s="10">
        <f>INDEX(Customers!$B:$B,MATCH(C54,Customers!$A:$A,0))</f>
        <v/>
      </c>
      <c r="E54" s="10">
        <f>INDEX(Customers!$D:$D,MATCH(C54,Customers!$A:$A,0))</f>
        <v/>
      </c>
      <c r="F54" s="10" t="inlineStr">
        <is>
          <t>Own trucks</t>
        </is>
      </c>
      <c r="G54" s="5" t="n">
        <v>46237</v>
      </c>
      <c r="H54" s="5" t="n">
        <v>46238</v>
      </c>
      <c r="I54" s="5" t="n">
        <v>46238</v>
      </c>
      <c r="J54" s="10" t="inlineStr">
        <is>
          <t>14:40</t>
        </is>
      </c>
      <c r="K54" s="10" t="inlineStr">
        <is>
          <t>On time</t>
        </is>
      </c>
      <c r="L54" s="6" t="n">
        <v>0</v>
      </c>
      <c r="M54" s="10" t="n"/>
      <c r="N54" s="6" t="n">
        <v>32</v>
      </c>
      <c r="O54" s="6" t="n">
        <v>4128</v>
      </c>
      <c r="P54" s="6" t="n">
        <v>1</v>
      </c>
      <c r="Q54" s="6">
        <f>IF(OR(K54="On time",K54="Late",K54="Very late"),1,0)</f>
        <v/>
      </c>
    </row>
    <row r="55">
      <c r="A55" s="10" t="inlineStr">
        <is>
          <t>DN318256</t>
        </is>
      </c>
      <c r="B55" s="10" t="inlineStr">
        <is>
          <t>SO61930</t>
        </is>
      </c>
      <c r="C55" s="10" t="inlineStr">
        <is>
          <t>C10915</t>
        </is>
      </c>
      <c r="D55" s="10">
        <f>INDEX(Customers!$B:$B,MATCH(C55,Customers!$A:$A,0))</f>
        <v/>
      </c>
      <c r="E55" s="10">
        <f>INDEX(Customers!$D:$D,MATCH(C55,Customers!$A:$A,0))</f>
        <v/>
      </c>
      <c r="F55" s="10" t="inlineStr">
        <is>
          <t>Own trucks</t>
        </is>
      </c>
      <c r="G55" s="5" t="n">
        <v>46237</v>
      </c>
      <c r="H55" s="5" t="n">
        <v>46238</v>
      </c>
      <c r="I55" s="5" t="n">
        <v>46238</v>
      </c>
      <c r="J55" s="10" t="inlineStr">
        <is>
          <t>14:00</t>
        </is>
      </c>
      <c r="K55" s="10" t="inlineStr">
        <is>
          <t>On time</t>
        </is>
      </c>
      <c r="L55" s="6" t="n">
        <v>0</v>
      </c>
      <c r="M55" s="10" t="n"/>
      <c r="N55" s="6" t="n">
        <v>24</v>
      </c>
      <c r="O55" s="6" t="n">
        <v>2904</v>
      </c>
      <c r="P55" s="6" t="n">
        <v>1</v>
      </c>
      <c r="Q55" s="6">
        <f>IF(OR(K55="On time",K55="Late",K55="Very late"),1,0)</f>
        <v/>
      </c>
    </row>
    <row r="56">
      <c r="A56" s="10" t="inlineStr">
        <is>
          <t>DN318257</t>
        </is>
      </c>
      <c r="B56" s="10" t="inlineStr">
        <is>
          <t>SO61931</t>
        </is>
      </c>
      <c r="C56" s="10" t="inlineStr">
        <is>
          <t>C10982</t>
        </is>
      </c>
      <c r="D56" s="10">
        <f>INDEX(Customers!$B:$B,MATCH(C56,Customers!$A:$A,0))</f>
        <v/>
      </c>
      <c r="E56" s="10">
        <f>INDEX(Customers!$D:$D,MATCH(C56,Customers!$A:$A,0))</f>
        <v/>
      </c>
      <c r="F56" s="10" t="inlineStr">
        <is>
          <t>Own trucks</t>
        </is>
      </c>
      <c r="G56" s="5" t="n">
        <v>46237</v>
      </c>
      <c r="H56" s="5" t="n">
        <v>46238</v>
      </c>
      <c r="I56" s="5" t="n">
        <v>46238</v>
      </c>
      <c r="J56" s="10" t="inlineStr">
        <is>
          <t>08:20</t>
        </is>
      </c>
      <c r="K56" s="10" t="inlineStr">
        <is>
          <t>On time</t>
        </is>
      </c>
      <c r="L56" s="6" t="n">
        <v>0</v>
      </c>
      <c r="M56" s="10" t="n"/>
      <c r="N56" s="6" t="n">
        <v>25</v>
      </c>
      <c r="O56" s="6" t="n">
        <v>3100</v>
      </c>
      <c r="P56" s="6" t="n">
        <v>1</v>
      </c>
      <c r="Q56" s="6">
        <f>IF(OR(K56="On time",K56="Late",K56="Very late"),1,0)</f>
        <v/>
      </c>
    </row>
    <row r="57">
      <c r="A57" s="10" t="inlineStr">
        <is>
          <t>DN318258</t>
        </is>
      </c>
      <c r="B57" s="10" t="inlineStr">
        <is>
          <t>SO61932</t>
        </is>
      </c>
      <c r="C57" s="10" t="inlineStr">
        <is>
          <t>C11049</t>
        </is>
      </c>
      <c r="D57" s="10">
        <f>INDEX(Customers!$B:$B,MATCH(C57,Customers!$A:$A,0))</f>
        <v/>
      </c>
      <c r="E57" s="10">
        <f>INDEX(Customers!$D:$D,MATCH(C57,Customers!$A:$A,0))</f>
        <v/>
      </c>
      <c r="F57" s="10" t="inlineStr">
        <is>
          <t>Own trucks</t>
        </is>
      </c>
      <c r="G57" s="5" t="n">
        <v>46237</v>
      </c>
      <c r="H57" s="5" t="n">
        <v>46238</v>
      </c>
      <c r="I57" s="5" t="n">
        <v>46238</v>
      </c>
      <c r="J57" s="10" t="inlineStr">
        <is>
          <t>07:40</t>
        </is>
      </c>
      <c r="K57" s="10" t="inlineStr">
        <is>
          <t>On time</t>
        </is>
      </c>
      <c r="L57" s="6" t="n">
        <v>0</v>
      </c>
      <c r="M57" s="10" t="n"/>
      <c r="N57" s="6" t="n">
        <v>15</v>
      </c>
      <c r="O57" s="6" t="n">
        <v>1935</v>
      </c>
      <c r="P57" s="6" t="n">
        <v>1</v>
      </c>
      <c r="Q57" s="6">
        <f>IF(OR(K57="On time",K57="Late",K57="Very late"),1,0)</f>
        <v/>
      </c>
    </row>
    <row r="58">
      <c r="A58" s="10" t="inlineStr">
        <is>
          <t>DN318259</t>
        </is>
      </c>
      <c r="B58" s="10" t="inlineStr">
        <is>
          <t>SO61933</t>
        </is>
      </c>
      <c r="C58" s="10" t="inlineStr">
        <is>
          <t>C11107</t>
        </is>
      </c>
      <c r="D58" s="10">
        <f>INDEX(Customers!$B:$B,MATCH(C58,Customers!$A:$A,0))</f>
        <v/>
      </c>
      <c r="E58" s="10">
        <f>INDEX(Customers!$D:$D,MATCH(C58,Customers!$A:$A,0))</f>
        <v/>
      </c>
      <c r="F58" s="10" t="inlineStr">
        <is>
          <t>Own trucks</t>
        </is>
      </c>
      <c r="G58" s="5" t="n">
        <v>46237</v>
      </c>
      <c r="H58" s="5" t="n">
        <v>46238</v>
      </c>
      <c r="I58" s="5" t="n">
        <v>46238</v>
      </c>
      <c r="J58" s="10" t="inlineStr">
        <is>
          <t>15:40</t>
        </is>
      </c>
      <c r="K58" s="10" t="inlineStr">
        <is>
          <t>On time</t>
        </is>
      </c>
      <c r="L58" s="6" t="n">
        <v>0</v>
      </c>
      <c r="M58" s="10" t="n"/>
      <c r="N58" s="6" t="n">
        <v>12</v>
      </c>
      <c r="O58" s="6" t="n">
        <v>1440</v>
      </c>
      <c r="P58" s="6" t="n">
        <v>1</v>
      </c>
      <c r="Q58" s="6">
        <f>IF(OR(K58="On time",K58="Late",K58="Very late"),1,0)</f>
        <v/>
      </c>
    </row>
    <row r="59">
      <c r="A59" s="10" t="inlineStr">
        <is>
          <t>DN318260</t>
        </is>
      </c>
      <c r="B59" s="10" t="inlineStr">
        <is>
          <t>SO61934</t>
        </is>
      </c>
      <c r="C59" s="10" t="inlineStr">
        <is>
          <t>C11143</t>
        </is>
      </c>
      <c r="D59" s="10">
        <f>INDEX(Customers!$B:$B,MATCH(C59,Customers!$A:$A,0))</f>
        <v/>
      </c>
      <c r="E59" s="10">
        <f>INDEX(Customers!$D:$D,MATCH(C59,Customers!$A:$A,0))</f>
        <v/>
      </c>
      <c r="F59" s="10" t="inlineStr">
        <is>
          <t>Own trucks</t>
        </is>
      </c>
      <c r="G59" s="5" t="n">
        <v>46237</v>
      </c>
      <c r="H59" s="5" t="n">
        <v>46238</v>
      </c>
      <c r="I59" s="5" t="n">
        <v>46238</v>
      </c>
      <c r="J59" s="10" t="inlineStr">
        <is>
          <t>15:20</t>
        </is>
      </c>
      <c r="K59" s="10" t="inlineStr">
        <is>
          <t>On time</t>
        </is>
      </c>
      <c r="L59" s="6" t="n">
        <v>0</v>
      </c>
      <c r="M59" s="10" t="n"/>
      <c r="N59" s="6" t="n">
        <v>21</v>
      </c>
      <c r="O59" s="6" t="n">
        <v>1260</v>
      </c>
      <c r="P59" s="6" t="n">
        <v>1</v>
      </c>
      <c r="Q59" s="6">
        <f>IF(OR(K59="On time",K59="Late",K59="Very late"),1,0)</f>
        <v/>
      </c>
    </row>
    <row r="60">
      <c r="A60" s="10" t="inlineStr">
        <is>
          <t>DN318261</t>
        </is>
      </c>
      <c r="B60" s="10" t="inlineStr">
        <is>
          <t>SO61935</t>
        </is>
      </c>
      <c r="C60" s="10" t="inlineStr">
        <is>
          <t>C11247</t>
        </is>
      </c>
      <c r="D60" s="10">
        <f>INDEX(Customers!$B:$B,MATCH(C60,Customers!$A:$A,0))</f>
        <v/>
      </c>
      <c r="E60" s="10">
        <f>INDEX(Customers!$D:$D,MATCH(C60,Customers!$A:$A,0))</f>
        <v/>
      </c>
      <c r="F60" s="10" t="inlineStr">
        <is>
          <t>Own trucks</t>
        </is>
      </c>
      <c r="G60" s="5" t="n">
        <v>46237</v>
      </c>
      <c r="H60" s="5" t="n">
        <v>46238</v>
      </c>
      <c r="I60" s="5" t="n">
        <v>46238</v>
      </c>
      <c r="J60" s="10" t="inlineStr">
        <is>
          <t>11:40</t>
        </is>
      </c>
      <c r="K60" s="10" t="inlineStr">
        <is>
          <t>On time</t>
        </is>
      </c>
      <c r="L60" s="6" t="n">
        <v>0</v>
      </c>
      <c r="M60" s="10" t="n"/>
      <c r="N60" s="6" t="n">
        <v>20</v>
      </c>
      <c r="O60" s="6" t="n">
        <v>2000</v>
      </c>
      <c r="P60" s="6" t="n">
        <v>1</v>
      </c>
      <c r="Q60" s="6">
        <f>IF(OR(K60="On time",K60="Late",K60="Very late"),1,0)</f>
        <v/>
      </c>
    </row>
    <row r="61">
      <c r="A61" s="10" t="inlineStr">
        <is>
          <t>DN318262</t>
        </is>
      </c>
      <c r="B61" s="10" t="inlineStr">
        <is>
          <t>SO61936</t>
        </is>
      </c>
      <c r="C61" s="10" t="inlineStr">
        <is>
          <t>C11264</t>
        </is>
      </c>
      <c r="D61" s="10">
        <f>INDEX(Customers!$B:$B,MATCH(C61,Customers!$A:$A,0))</f>
        <v/>
      </c>
      <c r="E61" s="10">
        <f>INDEX(Customers!$D:$D,MATCH(C61,Customers!$A:$A,0))</f>
        <v/>
      </c>
      <c r="F61" s="10" t="inlineStr">
        <is>
          <t>Own trucks</t>
        </is>
      </c>
      <c r="G61" s="5" t="n">
        <v>46237</v>
      </c>
      <c r="H61" s="5" t="n">
        <v>46238</v>
      </c>
      <c r="I61" s="5" t="n">
        <v>46238</v>
      </c>
      <c r="J61" s="10" t="inlineStr">
        <is>
          <t>07:40</t>
        </is>
      </c>
      <c r="K61" s="10" t="inlineStr">
        <is>
          <t>On time</t>
        </is>
      </c>
      <c r="L61" s="6" t="n">
        <v>0</v>
      </c>
      <c r="M61" s="10" t="n"/>
      <c r="N61" s="6" t="n">
        <v>32</v>
      </c>
      <c r="O61" s="6" t="n">
        <v>3488</v>
      </c>
      <c r="P61" s="6" t="n">
        <v>1</v>
      </c>
      <c r="Q61" s="6">
        <f>IF(OR(K61="On time",K61="Late",K61="Very late"),1,0)</f>
        <v/>
      </c>
    </row>
    <row r="62">
      <c r="A62" s="10" t="inlineStr">
        <is>
          <t>DN318263</t>
        </is>
      </c>
      <c r="B62" s="10" t="inlineStr">
        <is>
          <t>SO61937</t>
        </is>
      </c>
      <c r="C62" s="10" t="inlineStr">
        <is>
          <t>C11314</t>
        </is>
      </c>
      <c r="D62" s="10">
        <f>INDEX(Customers!$B:$B,MATCH(C62,Customers!$A:$A,0))</f>
        <v/>
      </c>
      <c r="E62" s="10">
        <f>INDEX(Customers!$D:$D,MATCH(C62,Customers!$A:$A,0))</f>
        <v/>
      </c>
      <c r="F62" s="10" t="inlineStr">
        <is>
          <t>Own trucks</t>
        </is>
      </c>
      <c r="G62" s="5" t="n">
        <v>46237</v>
      </c>
      <c r="H62" s="5" t="n">
        <v>46238</v>
      </c>
      <c r="I62" s="5" t="n">
        <v>46238</v>
      </c>
      <c r="J62" s="10" t="inlineStr">
        <is>
          <t>15:10</t>
        </is>
      </c>
      <c r="K62" s="10" t="inlineStr">
        <is>
          <t>On time</t>
        </is>
      </c>
      <c r="L62" s="6" t="n">
        <v>0</v>
      </c>
      <c r="M62" s="10" t="n"/>
      <c r="N62" s="6" t="n">
        <v>35</v>
      </c>
      <c r="O62" s="6" t="n">
        <v>2030</v>
      </c>
      <c r="P62" s="6" t="n">
        <v>1</v>
      </c>
      <c r="Q62" s="6">
        <f>IF(OR(K62="On time",K62="Late",K62="Very late"),1,0)</f>
        <v/>
      </c>
    </row>
    <row r="63">
      <c r="A63" s="10" t="inlineStr">
        <is>
          <t>DN318264</t>
        </is>
      </c>
      <c r="B63" s="10" t="inlineStr">
        <is>
          <t>SO61938</t>
        </is>
      </c>
      <c r="C63" s="10" t="inlineStr">
        <is>
          <t>C11333</t>
        </is>
      </c>
      <c r="D63" s="10">
        <f>INDEX(Customers!$B:$B,MATCH(C63,Customers!$A:$A,0))</f>
        <v/>
      </c>
      <c r="E63" s="10">
        <f>INDEX(Customers!$D:$D,MATCH(C63,Customers!$A:$A,0))</f>
        <v/>
      </c>
      <c r="F63" s="10" t="inlineStr">
        <is>
          <t>Own trucks</t>
        </is>
      </c>
      <c r="G63" s="5" t="n">
        <v>46237</v>
      </c>
      <c r="H63" s="5" t="n">
        <v>46238</v>
      </c>
      <c r="I63" s="5" t="n">
        <v>46238</v>
      </c>
      <c r="J63" s="10" t="inlineStr">
        <is>
          <t>08:40</t>
        </is>
      </c>
      <c r="K63" s="10" t="inlineStr">
        <is>
          <t>On time</t>
        </is>
      </c>
      <c r="L63" s="6" t="n">
        <v>0</v>
      </c>
      <c r="M63" s="10" t="n"/>
      <c r="N63" s="6" t="n">
        <v>2</v>
      </c>
      <c r="O63" s="6" t="n">
        <v>204</v>
      </c>
      <c r="P63" s="6" t="n">
        <v>1</v>
      </c>
      <c r="Q63" s="6">
        <f>IF(OR(K63="On time",K63="Late",K63="Very late"),1,0)</f>
        <v/>
      </c>
    </row>
    <row r="64">
      <c r="A64" s="10" t="inlineStr">
        <is>
          <t>DN318265</t>
        </is>
      </c>
      <c r="B64" s="10" t="inlineStr">
        <is>
          <t>SO61939</t>
        </is>
      </c>
      <c r="C64" s="10" t="inlineStr">
        <is>
          <t>C11400</t>
        </is>
      </c>
      <c r="D64" s="10">
        <f>INDEX(Customers!$B:$B,MATCH(C64,Customers!$A:$A,0))</f>
        <v/>
      </c>
      <c r="E64" s="10">
        <f>INDEX(Customers!$D:$D,MATCH(C64,Customers!$A:$A,0))</f>
        <v/>
      </c>
      <c r="F64" s="10" t="inlineStr">
        <is>
          <t>Own trucks</t>
        </is>
      </c>
      <c r="G64" s="5" t="n">
        <v>46237</v>
      </c>
      <c r="H64" s="5" t="n">
        <v>46238</v>
      </c>
      <c r="I64" s="5" t="n">
        <v>46238</v>
      </c>
      <c r="J64" s="10" t="inlineStr">
        <is>
          <t>16:40</t>
        </is>
      </c>
      <c r="K64" s="10" t="inlineStr">
        <is>
          <t>On time</t>
        </is>
      </c>
      <c r="L64" s="6" t="n">
        <v>0</v>
      </c>
      <c r="M64" s="10" t="n"/>
      <c r="N64" s="6" t="n">
        <v>17</v>
      </c>
      <c r="O64" s="6" t="n">
        <v>1207</v>
      </c>
      <c r="P64" s="6" t="n">
        <v>1</v>
      </c>
      <c r="Q64" s="6">
        <f>IF(OR(K64="On time",K64="Late",K64="Very late"),1,0)</f>
        <v/>
      </c>
    </row>
    <row r="65">
      <c r="A65" s="10" t="inlineStr">
        <is>
          <t>DN318266</t>
        </is>
      </c>
      <c r="B65" s="10" t="inlineStr">
        <is>
          <t>SO61940</t>
        </is>
      </c>
      <c r="C65" s="10" t="inlineStr">
        <is>
          <t>C11463</t>
        </is>
      </c>
      <c r="D65" s="10">
        <f>INDEX(Customers!$B:$B,MATCH(C65,Customers!$A:$A,0))</f>
        <v/>
      </c>
      <c r="E65" s="10">
        <f>INDEX(Customers!$D:$D,MATCH(C65,Customers!$A:$A,0))</f>
        <v/>
      </c>
      <c r="F65" s="10" t="inlineStr">
        <is>
          <t>Own trucks</t>
        </is>
      </c>
      <c r="G65" s="5" t="n">
        <v>46237</v>
      </c>
      <c r="H65" s="5" t="n">
        <v>46238</v>
      </c>
      <c r="I65" s="5" t="n">
        <v>46238</v>
      </c>
      <c r="J65" s="10" t="inlineStr">
        <is>
          <t>08:30</t>
        </is>
      </c>
      <c r="K65" s="10" t="inlineStr">
        <is>
          <t>On time</t>
        </is>
      </c>
      <c r="L65" s="6" t="n">
        <v>0</v>
      </c>
      <c r="M65" s="10" t="n"/>
      <c r="N65" s="6" t="n">
        <v>18</v>
      </c>
      <c r="O65" s="6" t="n">
        <v>2394</v>
      </c>
      <c r="P65" s="6" t="n">
        <v>1</v>
      </c>
      <c r="Q65" s="6">
        <f>IF(OR(K65="On time",K65="Late",K65="Very late"),1,0)</f>
        <v/>
      </c>
    </row>
    <row r="66">
      <c r="A66" s="10" t="inlineStr">
        <is>
          <t>DN318268</t>
        </is>
      </c>
      <c r="B66" s="10" t="inlineStr">
        <is>
          <t>SO61941</t>
        </is>
      </c>
      <c r="C66" s="10" t="inlineStr">
        <is>
          <t>C11518</t>
        </is>
      </c>
      <c r="D66" s="10">
        <f>INDEX(Customers!$B:$B,MATCH(C66,Customers!$A:$A,0))</f>
        <v/>
      </c>
      <c r="E66" s="10">
        <f>INDEX(Customers!$D:$D,MATCH(C66,Customers!$A:$A,0))</f>
        <v/>
      </c>
      <c r="F66" s="10" t="inlineStr">
        <is>
          <t>Own trucks</t>
        </is>
      </c>
      <c r="G66" s="5" t="n">
        <v>46237</v>
      </c>
      <c r="H66" s="5" t="n">
        <v>46238</v>
      </c>
      <c r="I66" s="5" t="n">
        <v>46238</v>
      </c>
      <c r="J66" s="10" t="inlineStr">
        <is>
          <t>14:00</t>
        </is>
      </c>
      <c r="K66" s="10" t="inlineStr">
        <is>
          <t>On time</t>
        </is>
      </c>
      <c r="L66" s="6" t="n">
        <v>0</v>
      </c>
      <c r="M66" s="10" t="n"/>
      <c r="N66" s="6" t="n">
        <v>37</v>
      </c>
      <c r="O66" s="6" t="n">
        <v>4477</v>
      </c>
      <c r="P66" s="6" t="n">
        <v>1</v>
      </c>
      <c r="Q66" s="6">
        <f>IF(OR(K66="On time",K66="Late",K66="Very late"),1,0)</f>
        <v/>
      </c>
    </row>
    <row r="67">
      <c r="A67" s="10" t="inlineStr">
        <is>
          <t>DN318269</t>
        </is>
      </c>
      <c r="B67" s="10" t="inlineStr">
        <is>
          <t>SO61942</t>
        </is>
      </c>
      <c r="C67" s="10" t="inlineStr">
        <is>
          <t>C11579</t>
        </is>
      </c>
      <c r="D67" s="10">
        <f>INDEX(Customers!$B:$B,MATCH(C67,Customers!$A:$A,0))</f>
        <v/>
      </c>
      <c r="E67" s="10">
        <f>INDEX(Customers!$D:$D,MATCH(C67,Customers!$A:$A,0))</f>
        <v/>
      </c>
      <c r="F67" s="10" t="inlineStr">
        <is>
          <t>Own trucks</t>
        </is>
      </c>
      <c r="G67" s="5" t="n">
        <v>46237</v>
      </c>
      <c r="H67" s="5" t="n">
        <v>46238</v>
      </c>
      <c r="I67" s="5" t="n">
        <v>46238</v>
      </c>
      <c r="J67" s="10" t="inlineStr">
        <is>
          <t>16:20</t>
        </is>
      </c>
      <c r="K67" s="10" t="inlineStr">
        <is>
          <t>On time</t>
        </is>
      </c>
      <c r="L67" s="6" t="n">
        <v>0</v>
      </c>
      <c r="M67" s="10" t="n"/>
      <c r="N67" s="6" t="n">
        <v>7</v>
      </c>
      <c r="O67" s="6" t="n">
        <v>441</v>
      </c>
      <c r="P67" s="6" t="n">
        <v>1</v>
      </c>
      <c r="Q67" s="6">
        <f>IF(OR(K67="On time",K67="Late",K67="Very late"),1,0)</f>
        <v/>
      </c>
    </row>
    <row r="68">
      <c r="A68" s="10" t="inlineStr">
        <is>
          <t>DN318270</t>
        </is>
      </c>
      <c r="B68" s="10" t="inlineStr">
        <is>
          <t>SO61943</t>
        </is>
      </c>
      <c r="C68" s="10" t="inlineStr">
        <is>
          <t>C11616</t>
        </is>
      </c>
      <c r="D68" s="10">
        <f>INDEX(Customers!$B:$B,MATCH(C68,Customers!$A:$A,0))</f>
        <v/>
      </c>
      <c r="E68" s="10">
        <f>INDEX(Customers!$D:$D,MATCH(C68,Customers!$A:$A,0))</f>
        <v/>
      </c>
      <c r="F68" s="10" t="inlineStr">
        <is>
          <t>Own trucks</t>
        </is>
      </c>
      <c r="G68" s="5" t="n">
        <v>46237</v>
      </c>
      <c r="H68" s="5" t="n">
        <v>46238</v>
      </c>
      <c r="I68" s="5" t="n">
        <v>46238</v>
      </c>
      <c r="J68" s="10" t="inlineStr">
        <is>
          <t>11:20</t>
        </is>
      </c>
      <c r="K68" s="10" t="inlineStr">
        <is>
          <t>On time</t>
        </is>
      </c>
      <c r="L68" s="6" t="n">
        <v>0</v>
      </c>
      <c r="M68" s="10" t="n"/>
      <c r="N68" s="6" t="n">
        <v>16</v>
      </c>
      <c r="O68" s="6" t="n">
        <v>1216</v>
      </c>
      <c r="P68" s="6" t="n">
        <v>1</v>
      </c>
      <c r="Q68" s="6">
        <f>IF(OR(K68="On time",K68="Late",K68="Very late"),1,0)</f>
        <v/>
      </c>
    </row>
    <row r="69">
      <c r="A69" s="10" t="inlineStr">
        <is>
          <t>DN318271</t>
        </is>
      </c>
      <c r="B69" s="10" t="inlineStr">
        <is>
          <t>SO61944</t>
        </is>
      </c>
      <c r="C69" s="10" t="inlineStr">
        <is>
          <t>C11666</t>
        </is>
      </c>
      <c r="D69" s="10">
        <f>INDEX(Customers!$B:$B,MATCH(C69,Customers!$A:$A,0))</f>
        <v/>
      </c>
      <c r="E69" s="10">
        <f>INDEX(Customers!$D:$D,MATCH(C69,Customers!$A:$A,0))</f>
        <v/>
      </c>
      <c r="F69" s="10" t="inlineStr">
        <is>
          <t>Own trucks</t>
        </is>
      </c>
      <c r="G69" s="5" t="n">
        <v>46237</v>
      </c>
      <c r="H69" s="5" t="n">
        <v>46238</v>
      </c>
      <c r="I69" s="5" t="n">
        <v>46238</v>
      </c>
      <c r="J69" s="10" t="inlineStr">
        <is>
          <t>14:30</t>
        </is>
      </c>
      <c r="K69" s="10" t="inlineStr">
        <is>
          <t>On time</t>
        </is>
      </c>
      <c r="L69" s="6" t="n">
        <v>0</v>
      </c>
      <c r="M69" s="10" t="n"/>
      <c r="N69" s="6" t="n">
        <v>22</v>
      </c>
      <c r="O69" s="6" t="n">
        <v>1694</v>
      </c>
      <c r="P69" s="6" t="n">
        <v>1</v>
      </c>
      <c r="Q69" s="6">
        <f>IF(OR(K69="On time",K69="Late",K69="Very late"),1,0)</f>
        <v/>
      </c>
    </row>
    <row r="70">
      <c r="A70" s="10" t="inlineStr">
        <is>
          <t>DN318272</t>
        </is>
      </c>
      <c r="B70" s="10" t="inlineStr">
        <is>
          <t>SO61945</t>
        </is>
      </c>
      <c r="C70" s="10" t="inlineStr">
        <is>
          <t>C11858</t>
        </is>
      </c>
      <c r="D70" s="10">
        <f>INDEX(Customers!$B:$B,MATCH(C70,Customers!$A:$A,0))</f>
        <v/>
      </c>
      <c r="E70" s="10">
        <f>INDEX(Customers!$D:$D,MATCH(C70,Customers!$A:$A,0))</f>
        <v/>
      </c>
      <c r="F70" s="10" t="inlineStr">
        <is>
          <t>Carrier A</t>
        </is>
      </c>
      <c r="G70" s="5" t="n">
        <v>46237</v>
      </c>
      <c r="H70" s="5" t="n">
        <v>46238</v>
      </c>
      <c r="I70" s="5" t="n">
        <v>46238</v>
      </c>
      <c r="J70" s="10" t="inlineStr">
        <is>
          <t>16:30</t>
        </is>
      </c>
      <c r="K70" s="10" t="inlineStr">
        <is>
          <t>On time</t>
        </is>
      </c>
      <c r="L70" s="6" t="n">
        <v>0</v>
      </c>
      <c r="M70" s="10" t="n"/>
      <c r="N70" s="6" t="n">
        <v>15</v>
      </c>
      <c r="O70" s="6" t="n">
        <v>1110</v>
      </c>
      <c r="P70" s="6" t="n">
        <v>1</v>
      </c>
      <c r="Q70" s="6">
        <f>IF(OR(K70="On time",K70="Late",K70="Very late"),1,0)</f>
        <v/>
      </c>
    </row>
    <row r="71">
      <c r="A71" s="10" t="inlineStr">
        <is>
          <t>DN318273</t>
        </is>
      </c>
      <c r="B71" s="10" t="inlineStr">
        <is>
          <t>SO61946</t>
        </is>
      </c>
      <c r="C71" s="10" t="inlineStr">
        <is>
          <t>C11866</t>
        </is>
      </c>
      <c r="D71" s="10">
        <f>INDEX(Customers!$B:$B,MATCH(C71,Customers!$A:$A,0))</f>
        <v/>
      </c>
      <c r="E71" s="10">
        <f>INDEX(Customers!$D:$D,MATCH(C71,Customers!$A:$A,0))</f>
        <v/>
      </c>
      <c r="F71" s="10" t="inlineStr">
        <is>
          <t>Carrier A</t>
        </is>
      </c>
      <c r="G71" s="5" t="n">
        <v>46237</v>
      </c>
      <c r="H71" s="5" t="n">
        <v>46238</v>
      </c>
      <c r="I71" s="5" t="n">
        <v>46238</v>
      </c>
      <c r="J71" s="10" t="inlineStr">
        <is>
          <t>13:20</t>
        </is>
      </c>
      <c r="K71" s="10" t="inlineStr">
        <is>
          <t>On time</t>
        </is>
      </c>
      <c r="L71" s="6" t="n">
        <v>0</v>
      </c>
      <c r="M71" s="10" t="n"/>
      <c r="N71" s="6" t="n">
        <v>23</v>
      </c>
      <c r="O71" s="6" t="n">
        <v>1610</v>
      </c>
      <c r="P71" s="6" t="n">
        <v>1</v>
      </c>
      <c r="Q71" s="6">
        <f>IF(OR(K71="On time",K71="Late",K71="Very late"),1,0)</f>
        <v/>
      </c>
    </row>
    <row r="72">
      <c r="A72" s="10" t="inlineStr">
        <is>
          <t>DN318274</t>
        </is>
      </c>
      <c r="B72" s="10" t="inlineStr">
        <is>
          <t>SO61947</t>
        </is>
      </c>
      <c r="C72" s="10" t="inlineStr">
        <is>
          <t>C11950</t>
        </is>
      </c>
      <c r="D72" s="10">
        <f>INDEX(Customers!$B:$B,MATCH(C72,Customers!$A:$A,0))</f>
        <v/>
      </c>
      <c r="E72" s="10">
        <f>INDEX(Customers!$D:$D,MATCH(C72,Customers!$A:$A,0))</f>
        <v/>
      </c>
      <c r="F72" s="10" t="inlineStr">
        <is>
          <t>Carrier A</t>
        </is>
      </c>
      <c r="G72" s="5" t="n">
        <v>46237</v>
      </c>
      <c r="H72" s="5" t="n">
        <v>46238</v>
      </c>
      <c r="I72" s="5" t="n">
        <v>46238</v>
      </c>
      <c r="J72" s="10" t="inlineStr">
        <is>
          <t>11:10</t>
        </is>
      </c>
      <c r="K72" s="10" t="inlineStr">
        <is>
          <t>On time</t>
        </is>
      </c>
      <c r="L72" s="6" t="n">
        <v>0</v>
      </c>
      <c r="M72" s="10" t="n"/>
      <c r="N72" s="6" t="n">
        <v>23</v>
      </c>
      <c r="O72" s="6" t="n">
        <v>1679</v>
      </c>
      <c r="P72" s="6" t="n">
        <v>1</v>
      </c>
      <c r="Q72" s="6">
        <f>IF(OR(K72="On time",K72="Late",K72="Very late"),1,0)</f>
        <v/>
      </c>
    </row>
    <row r="73">
      <c r="A73" s="10" t="inlineStr">
        <is>
          <t>DN318275</t>
        </is>
      </c>
      <c r="B73" s="10" t="inlineStr">
        <is>
          <t>SO61948</t>
        </is>
      </c>
      <c r="C73" s="10" t="inlineStr">
        <is>
          <t>C11971</t>
        </is>
      </c>
      <c r="D73" s="10">
        <f>INDEX(Customers!$B:$B,MATCH(C73,Customers!$A:$A,0))</f>
        <v/>
      </c>
      <c r="E73" s="10">
        <f>INDEX(Customers!$D:$D,MATCH(C73,Customers!$A:$A,0))</f>
        <v/>
      </c>
      <c r="F73" s="10" t="inlineStr">
        <is>
          <t>Own trucks</t>
        </is>
      </c>
      <c r="G73" s="5" t="n">
        <v>46237</v>
      </c>
      <c r="H73" s="5" t="n">
        <v>46238</v>
      </c>
      <c r="I73" s="5" t="n">
        <v>46238</v>
      </c>
      <c r="J73" s="10" t="inlineStr">
        <is>
          <t>14:50</t>
        </is>
      </c>
      <c r="K73" s="10" t="inlineStr">
        <is>
          <t>On time</t>
        </is>
      </c>
      <c r="L73" s="6" t="n">
        <v>0</v>
      </c>
      <c r="M73" s="10" t="n"/>
      <c r="N73" s="6" t="n">
        <v>27</v>
      </c>
      <c r="O73" s="6" t="n">
        <v>2862</v>
      </c>
      <c r="P73" s="6" t="n">
        <v>0</v>
      </c>
      <c r="Q73" s="6">
        <f>IF(OR(K73="On time",K73="Late",K73="Very late"),1,0)</f>
        <v/>
      </c>
    </row>
    <row r="74">
      <c r="A74" s="10" t="inlineStr">
        <is>
          <t>DN318276</t>
        </is>
      </c>
      <c r="B74" s="10" t="inlineStr">
        <is>
          <t>SO61949</t>
        </is>
      </c>
      <c r="C74" s="10" t="inlineStr">
        <is>
          <t>C12103</t>
        </is>
      </c>
      <c r="D74" s="10">
        <f>INDEX(Customers!$B:$B,MATCH(C74,Customers!$A:$A,0))</f>
        <v/>
      </c>
      <c r="E74" s="10">
        <f>INDEX(Customers!$D:$D,MATCH(C74,Customers!$A:$A,0))</f>
        <v/>
      </c>
      <c r="F74" s="10" t="inlineStr">
        <is>
          <t>Own trucks</t>
        </is>
      </c>
      <c r="G74" s="5" t="n">
        <v>46237</v>
      </c>
      <c r="H74" s="5" t="n">
        <v>46238</v>
      </c>
      <c r="I74" s="5" t="n">
        <v>46238</v>
      </c>
      <c r="J74" s="10" t="inlineStr">
        <is>
          <t>14:50</t>
        </is>
      </c>
      <c r="K74" s="10" t="inlineStr">
        <is>
          <t>On time</t>
        </is>
      </c>
      <c r="L74" s="6" t="n">
        <v>0</v>
      </c>
      <c r="M74" s="10" t="n"/>
      <c r="N74" s="6" t="n">
        <v>36</v>
      </c>
      <c r="O74" s="6" t="n">
        <v>4356</v>
      </c>
      <c r="P74" s="6" t="n">
        <v>1</v>
      </c>
      <c r="Q74" s="6">
        <f>IF(OR(K74="On time",K74="Late",K74="Very late"),1,0)</f>
        <v/>
      </c>
    </row>
    <row r="75">
      <c r="A75" s="10" t="inlineStr">
        <is>
          <t>DN318277</t>
        </is>
      </c>
      <c r="B75" s="10" t="inlineStr">
        <is>
          <t>SO61951</t>
        </is>
      </c>
      <c r="C75" s="10" t="inlineStr">
        <is>
          <t>C12183</t>
        </is>
      </c>
      <c r="D75" s="10">
        <f>INDEX(Customers!$B:$B,MATCH(C75,Customers!$A:$A,0))</f>
        <v/>
      </c>
      <c r="E75" s="10">
        <f>INDEX(Customers!$D:$D,MATCH(C75,Customers!$A:$A,0))</f>
        <v/>
      </c>
      <c r="F75" s="10" t="inlineStr">
        <is>
          <t>Carrier B</t>
        </is>
      </c>
      <c r="G75" s="5" t="n">
        <v>46237</v>
      </c>
      <c r="H75" s="5" t="n">
        <v>46238</v>
      </c>
      <c r="I75" s="5" t="n">
        <v>46238</v>
      </c>
      <c r="J75" s="10" t="inlineStr">
        <is>
          <t>09:00</t>
        </is>
      </c>
      <c r="K75" s="10" t="inlineStr">
        <is>
          <t>On time</t>
        </is>
      </c>
      <c r="L75" s="6" t="n">
        <v>0</v>
      </c>
      <c r="M75" s="10" t="n"/>
      <c r="N75" s="6" t="n">
        <v>19</v>
      </c>
      <c r="O75" s="6" t="n">
        <v>2394</v>
      </c>
      <c r="P75" s="6" t="n">
        <v>1</v>
      </c>
      <c r="Q75" s="6">
        <f>IF(OR(K75="On time",K75="Late",K75="Very late"),1,0)</f>
        <v/>
      </c>
    </row>
    <row r="76">
      <c r="A76" s="10" t="inlineStr">
        <is>
          <t>DN318278</t>
        </is>
      </c>
      <c r="B76" s="10" t="inlineStr">
        <is>
          <t>SO61952</t>
        </is>
      </c>
      <c r="C76" s="10" t="inlineStr">
        <is>
          <t>C12213</t>
        </is>
      </c>
      <c r="D76" s="10">
        <f>INDEX(Customers!$B:$B,MATCH(C76,Customers!$A:$A,0))</f>
        <v/>
      </c>
      <c r="E76" s="10">
        <f>INDEX(Customers!$D:$D,MATCH(C76,Customers!$A:$A,0))</f>
        <v/>
      </c>
      <c r="F76" s="10" t="inlineStr">
        <is>
          <t>Carrier B</t>
        </is>
      </c>
      <c r="G76" s="5" t="n">
        <v>46237</v>
      </c>
      <c r="H76" s="5" t="n">
        <v>46238</v>
      </c>
      <c r="I76" s="5" t="n">
        <v>46238</v>
      </c>
      <c r="J76" s="10" t="inlineStr">
        <is>
          <t>16:30</t>
        </is>
      </c>
      <c r="K76" s="10" t="inlineStr">
        <is>
          <t>On time</t>
        </is>
      </c>
      <c r="L76" s="6" t="n">
        <v>0</v>
      </c>
      <c r="M76" s="10" t="n"/>
      <c r="N76" s="6" t="n">
        <v>32</v>
      </c>
      <c r="O76" s="6" t="n">
        <v>3712</v>
      </c>
      <c r="P76" s="6" t="n">
        <v>1</v>
      </c>
      <c r="Q76" s="6">
        <f>IF(OR(K76="On time",K76="Late",K76="Very late"),1,0)</f>
        <v/>
      </c>
    </row>
    <row r="77">
      <c r="A77" s="10" t="inlineStr">
        <is>
          <t>DN318279</t>
        </is>
      </c>
      <c r="B77" s="10" t="inlineStr">
        <is>
          <t>SO61953</t>
        </is>
      </c>
      <c r="C77" s="10" t="inlineStr">
        <is>
          <t>C12239</t>
        </is>
      </c>
      <c r="D77" s="10">
        <f>INDEX(Customers!$B:$B,MATCH(C77,Customers!$A:$A,0))</f>
        <v/>
      </c>
      <c r="E77" s="10">
        <f>INDEX(Customers!$D:$D,MATCH(C77,Customers!$A:$A,0))</f>
        <v/>
      </c>
      <c r="F77" s="10" t="inlineStr">
        <is>
          <t>Carrier B</t>
        </is>
      </c>
      <c r="G77" s="5" t="n">
        <v>46237</v>
      </c>
      <c r="H77" s="5" t="n">
        <v>46238</v>
      </c>
      <c r="I77" s="5" t="n">
        <v>46238</v>
      </c>
      <c r="J77" s="10" t="inlineStr">
        <is>
          <t>08:50</t>
        </is>
      </c>
      <c r="K77" s="10" t="inlineStr">
        <is>
          <t>On time</t>
        </is>
      </c>
      <c r="L77" s="6" t="n">
        <v>0</v>
      </c>
      <c r="M77" s="10" t="n"/>
      <c r="N77" s="6" t="n">
        <v>19</v>
      </c>
      <c r="O77" s="6" t="n">
        <v>1824</v>
      </c>
      <c r="P77" s="6" t="n">
        <v>0</v>
      </c>
      <c r="Q77" s="6">
        <f>IF(OR(K77="On time",K77="Late",K77="Very late"),1,0)</f>
        <v/>
      </c>
    </row>
    <row r="78">
      <c r="A78" s="10" t="inlineStr">
        <is>
          <t>DN318280</t>
        </is>
      </c>
      <c r="B78" s="10" t="inlineStr">
        <is>
          <t>SO61954</t>
        </is>
      </c>
      <c r="C78" s="10" t="inlineStr">
        <is>
          <t>C12262</t>
        </is>
      </c>
      <c r="D78" s="10">
        <f>INDEX(Customers!$B:$B,MATCH(C78,Customers!$A:$A,0))</f>
        <v/>
      </c>
      <c r="E78" s="10">
        <f>INDEX(Customers!$D:$D,MATCH(C78,Customers!$A:$A,0))</f>
        <v/>
      </c>
      <c r="F78" s="10" t="inlineStr">
        <is>
          <t>Carrier B</t>
        </is>
      </c>
      <c r="G78" s="5" t="n">
        <v>46237</v>
      </c>
      <c r="H78" s="5" t="n">
        <v>46238</v>
      </c>
      <c r="I78" s="5" t="n">
        <v>46238</v>
      </c>
      <c r="J78" s="10" t="inlineStr">
        <is>
          <t>11:40</t>
        </is>
      </c>
      <c r="K78" s="10" t="inlineStr">
        <is>
          <t>On time</t>
        </is>
      </c>
      <c r="L78" s="6" t="n">
        <v>0</v>
      </c>
      <c r="M78" s="10" t="n"/>
      <c r="N78" s="6" t="n">
        <v>25</v>
      </c>
      <c r="O78" s="6" t="n">
        <v>1625</v>
      </c>
      <c r="P78" s="6" t="n">
        <v>1</v>
      </c>
      <c r="Q78" s="6">
        <f>IF(OR(K78="On time",K78="Late",K78="Very late"),1,0)</f>
        <v/>
      </c>
    </row>
    <row r="79">
      <c r="A79" s="10" t="inlineStr">
        <is>
          <t>DN318281</t>
        </is>
      </c>
      <c r="B79" s="10" t="inlineStr">
        <is>
          <t>SO61955</t>
        </is>
      </c>
      <c r="C79" s="10" t="inlineStr">
        <is>
          <t>C12305</t>
        </is>
      </c>
      <c r="D79" s="10">
        <f>INDEX(Customers!$B:$B,MATCH(C79,Customers!$A:$A,0))</f>
        <v/>
      </c>
      <c r="E79" s="10">
        <f>INDEX(Customers!$D:$D,MATCH(C79,Customers!$A:$A,0))</f>
        <v/>
      </c>
      <c r="F79" s="10" t="inlineStr">
        <is>
          <t>Carrier B</t>
        </is>
      </c>
      <c r="G79" s="5" t="n">
        <v>46237</v>
      </c>
      <c r="H79" s="5" t="n">
        <v>46238</v>
      </c>
      <c r="I79" s="5" t="n">
        <v>46238</v>
      </c>
      <c r="J79" s="10" t="inlineStr">
        <is>
          <t>08:10</t>
        </is>
      </c>
      <c r="K79" s="10" t="inlineStr">
        <is>
          <t>On time</t>
        </is>
      </c>
      <c r="L79" s="6" t="n">
        <v>0</v>
      </c>
      <c r="M79" s="10" t="n"/>
      <c r="N79" s="6" t="n">
        <v>23</v>
      </c>
      <c r="O79" s="6" t="n">
        <v>1909</v>
      </c>
      <c r="P79" s="6" t="n">
        <v>1</v>
      </c>
      <c r="Q79" s="6">
        <f>IF(OR(K79="On time",K79="Late",K79="Very late"),1,0)</f>
        <v/>
      </c>
    </row>
    <row r="80">
      <c r="A80" s="10" t="inlineStr">
        <is>
          <t>DN318282</t>
        </is>
      </c>
      <c r="B80" s="10" t="inlineStr">
        <is>
          <t>SO61956</t>
        </is>
      </c>
      <c r="C80" s="10" t="inlineStr">
        <is>
          <t>C12365</t>
        </is>
      </c>
      <c r="D80" s="10">
        <f>INDEX(Customers!$B:$B,MATCH(C80,Customers!$A:$A,0))</f>
        <v/>
      </c>
      <c r="E80" s="10">
        <f>INDEX(Customers!$D:$D,MATCH(C80,Customers!$A:$A,0))</f>
        <v/>
      </c>
      <c r="F80" s="10" t="inlineStr">
        <is>
          <t>Carrier B</t>
        </is>
      </c>
      <c r="G80" s="5" t="n">
        <v>46237</v>
      </c>
      <c r="H80" s="5" t="n">
        <v>46238</v>
      </c>
      <c r="I80" s="5" t="n">
        <v>46238</v>
      </c>
      <c r="J80" s="10" t="inlineStr">
        <is>
          <t>11:00</t>
        </is>
      </c>
      <c r="K80" s="10" t="inlineStr">
        <is>
          <t>On time</t>
        </is>
      </c>
      <c r="L80" s="6" t="n">
        <v>0</v>
      </c>
      <c r="M80" s="10" t="n"/>
      <c r="N80" s="6" t="n">
        <v>38</v>
      </c>
      <c r="O80" s="6" t="n">
        <v>4104</v>
      </c>
      <c r="P80" s="6" t="n">
        <v>1</v>
      </c>
      <c r="Q80" s="6">
        <f>IF(OR(K80="On time",K80="Late",K80="Very late"),1,0)</f>
        <v/>
      </c>
    </row>
    <row r="81">
      <c r="A81" s="10" t="inlineStr">
        <is>
          <t>DN318284</t>
        </is>
      </c>
      <c r="B81" s="10" t="inlineStr">
        <is>
          <t>SO61957</t>
        </is>
      </c>
      <c r="C81" s="10" t="inlineStr">
        <is>
          <t>C12393</t>
        </is>
      </c>
      <c r="D81" s="10">
        <f>INDEX(Customers!$B:$B,MATCH(C81,Customers!$A:$A,0))</f>
        <v/>
      </c>
      <c r="E81" s="10">
        <f>INDEX(Customers!$D:$D,MATCH(C81,Customers!$A:$A,0))</f>
        <v/>
      </c>
      <c r="F81" s="10" t="inlineStr">
        <is>
          <t>Carrier A</t>
        </is>
      </c>
      <c r="G81" s="5" t="n">
        <v>46237</v>
      </c>
      <c r="H81" s="5" t="n">
        <v>46238</v>
      </c>
      <c r="I81" s="5" t="n">
        <v>46238</v>
      </c>
      <c r="J81" s="10" t="inlineStr">
        <is>
          <t>13:00</t>
        </is>
      </c>
      <c r="K81" s="10" t="inlineStr">
        <is>
          <t>On time</t>
        </is>
      </c>
      <c r="L81" s="6" t="n">
        <v>0</v>
      </c>
      <c r="M81" s="10" t="n"/>
      <c r="N81" s="6" t="n">
        <v>13</v>
      </c>
      <c r="O81" s="6" t="n">
        <v>1625</v>
      </c>
      <c r="P81" s="6" t="n">
        <v>1</v>
      </c>
      <c r="Q81" s="6">
        <f>IF(OR(K81="On time",K81="Late",K81="Very late"),1,0)</f>
        <v/>
      </c>
    </row>
    <row r="82">
      <c r="A82" s="10" t="inlineStr">
        <is>
          <t>DN318285</t>
        </is>
      </c>
      <c r="B82" s="10" t="inlineStr">
        <is>
          <t>SO61958</t>
        </is>
      </c>
      <c r="C82" s="10" t="inlineStr">
        <is>
          <t>C12543</t>
        </is>
      </c>
      <c r="D82" s="10">
        <f>INDEX(Customers!$B:$B,MATCH(C82,Customers!$A:$A,0))</f>
        <v/>
      </c>
      <c r="E82" s="10">
        <f>INDEX(Customers!$D:$D,MATCH(C82,Customers!$A:$A,0))</f>
        <v/>
      </c>
      <c r="F82" s="10" t="inlineStr">
        <is>
          <t>Carrier B</t>
        </is>
      </c>
      <c r="G82" s="5" t="n">
        <v>46234</v>
      </c>
      <c r="H82" s="5" t="n">
        <v>46238</v>
      </c>
      <c r="I82" s="5" t="n">
        <v>46238</v>
      </c>
      <c r="J82" s="10" t="inlineStr">
        <is>
          <t>12:20</t>
        </is>
      </c>
      <c r="K82" s="10" t="inlineStr">
        <is>
          <t>On time</t>
        </is>
      </c>
      <c r="L82" s="6" t="n">
        <v>0</v>
      </c>
      <c r="M82" s="10" t="n"/>
      <c r="N82" s="6" t="n">
        <v>40</v>
      </c>
      <c r="O82" s="6" t="n">
        <v>4640</v>
      </c>
      <c r="P82" s="6" t="n">
        <v>1</v>
      </c>
      <c r="Q82" s="6">
        <f>IF(OR(K82="On time",K82="Late",K82="Very late"),1,0)</f>
        <v/>
      </c>
    </row>
    <row r="83">
      <c r="A83" s="10" t="inlineStr">
        <is>
          <t>DN318287</t>
        </is>
      </c>
      <c r="B83" s="10" t="inlineStr">
        <is>
          <t>SO61959</t>
        </is>
      </c>
      <c r="C83" s="10" t="inlineStr">
        <is>
          <t>C12617</t>
        </is>
      </c>
      <c r="D83" s="10">
        <f>INDEX(Customers!$B:$B,MATCH(C83,Customers!$A:$A,0))</f>
        <v/>
      </c>
      <c r="E83" s="10">
        <f>INDEX(Customers!$D:$D,MATCH(C83,Customers!$A:$A,0))</f>
        <v/>
      </c>
      <c r="F83" s="10" t="inlineStr">
        <is>
          <t>Carrier B</t>
        </is>
      </c>
      <c r="G83" s="5" t="n">
        <v>46234</v>
      </c>
      <c r="H83" s="5" t="n">
        <v>46238</v>
      </c>
      <c r="I83" s="5" t="n">
        <v>46239</v>
      </c>
      <c r="J83" s="10" t="inlineStr">
        <is>
          <t>12:20</t>
        </is>
      </c>
      <c r="K83" s="10" t="inlineStr">
        <is>
          <t>Late</t>
        </is>
      </c>
      <c r="L83" s="6" t="n">
        <v>1</v>
      </c>
      <c r="M83" s="10" t="inlineStr">
        <is>
          <t>Carrier delay</t>
        </is>
      </c>
      <c r="N83" s="6" t="n">
        <v>31</v>
      </c>
      <c r="O83" s="6" t="n">
        <v>2480</v>
      </c>
      <c r="P83" s="6" t="n">
        <v>1</v>
      </c>
      <c r="Q83" s="6">
        <f>IF(OR(K83="On time",K83="Late",K83="Very late"),1,0)</f>
        <v/>
      </c>
    </row>
    <row r="84">
      <c r="A84" s="10" t="inlineStr">
        <is>
          <t>DN318288</t>
        </is>
      </c>
      <c r="B84" s="10" t="inlineStr">
        <is>
          <t>SO61960</t>
        </is>
      </c>
      <c r="C84" s="10" t="inlineStr">
        <is>
          <t>C12639</t>
        </is>
      </c>
      <c r="D84" s="10">
        <f>INDEX(Customers!$B:$B,MATCH(C84,Customers!$A:$A,0))</f>
        <v/>
      </c>
      <c r="E84" s="10">
        <f>INDEX(Customers!$D:$D,MATCH(C84,Customers!$A:$A,0))</f>
        <v/>
      </c>
      <c r="F84" s="10" t="inlineStr">
        <is>
          <t>Carrier B</t>
        </is>
      </c>
      <c r="G84" s="5" t="n">
        <v>46234</v>
      </c>
      <c r="H84" s="5" t="n">
        <v>46238</v>
      </c>
      <c r="I84" s="5" t="n">
        <v>46238</v>
      </c>
      <c r="J84" s="10" t="inlineStr">
        <is>
          <t>16:00</t>
        </is>
      </c>
      <c r="K84" s="10" t="inlineStr">
        <is>
          <t>On time</t>
        </is>
      </c>
      <c r="L84" s="6" t="n">
        <v>0</v>
      </c>
      <c r="M84" s="10" t="n"/>
      <c r="N84" s="6" t="n">
        <v>28</v>
      </c>
      <c r="O84" s="6" t="n">
        <v>1764</v>
      </c>
      <c r="P84" s="6" t="n">
        <v>1</v>
      </c>
      <c r="Q84" s="6">
        <f>IF(OR(K84="On time",K84="Late",K84="Very late"),1,0)</f>
        <v/>
      </c>
    </row>
    <row r="85">
      <c r="A85" s="10" t="inlineStr">
        <is>
          <t>DN318289</t>
        </is>
      </c>
      <c r="B85" s="10" t="inlineStr">
        <is>
          <t>SO61961</t>
        </is>
      </c>
      <c r="C85" s="10" t="inlineStr">
        <is>
          <t>C12675</t>
        </is>
      </c>
      <c r="D85" s="10">
        <f>INDEX(Customers!$B:$B,MATCH(C85,Customers!$A:$A,0))</f>
        <v/>
      </c>
      <c r="E85" s="10">
        <f>INDEX(Customers!$D:$D,MATCH(C85,Customers!$A:$A,0))</f>
        <v/>
      </c>
      <c r="F85" s="10" t="inlineStr">
        <is>
          <t>Carrier B</t>
        </is>
      </c>
      <c r="G85" s="5" t="n">
        <v>46234</v>
      </c>
      <c r="H85" s="5" t="n">
        <v>46238</v>
      </c>
      <c r="I85" s="5" t="n">
        <v>46238</v>
      </c>
      <c r="J85" s="10" t="inlineStr">
        <is>
          <t>15:20</t>
        </is>
      </c>
      <c r="K85" s="10" t="inlineStr">
        <is>
          <t>On time</t>
        </is>
      </c>
      <c r="L85" s="6" t="n">
        <v>0</v>
      </c>
      <c r="M85" s="10" t="n"/>
      <c r="N85" s="6" t="n">
        <v>32</v>
      </c>
      <c r="O85" s="6" t="n">
        <v>4256</v>
      </c>
      <c r="P85" s="6" t="n">
        <v>1</v>
      </c>
      <c r="Q85" s="6">
        <f>IF(OR(K85="On time",K85="Late",K85="Very late"),1,0)</f>
        <v/>
      </c>
    </row>
    <row r="86">
      <c r="A86" s="10" t="inlineStr">
        <is>
          <t>DN318290</t>
        </is>
      </c>
      <c r="B86" s="10" t="inlineStr">
        <is>
          <t>SO61962</t>
        </is>
      </c>
      <c r="C86" s="10" t="inlineStr">
        <is>
          <t>C10322</t>
        </is>
      </c>
      <c r="D86" s="10">
        <f>INDEX(Customers!$B:$B,MATCH(C86,Customers!$A:$A,0))</f>
        <v/>
      </c>
      <c r="E86" s="10">
        <f>INDEX(Customers!$D:$D,MATCH(C86,Customers!$A:$A,0))</f>
        <v/>
      </c>
      <c r="F86" s="10" t="inlineStr">
        <is>
          <t>Own trucks</t>
        </is>
      </c>
      <c r="G86" s="5" t="n">
        <v>46238</v>
      </c>
      <c r="H86" s="5" t="n">
        <v>46239</v>
      </c>
      <c r="I86" s="5" t="n">
        <v>46239</v>
      </c>
      <c r="J86" s="10" t="inlineStr">
        <is>
          <t>12:20</t>
        </is>
      </c>
      <c r="K86" s="10" t="inlineStr">
        <is>
          <t>On time</t>
        </is>
      </c>
      <c r="L86" s="6" t="n">
        <v>0</v>
      </c>
      <c r="M86" s="10" t="n"/>
      <c r="N86" s="6" t="n">
        <v>13</v>
      </c>
      <c r="O86" s="6" t="n">
        <v>832</v>
      </c>
      <c r="P86" s="6" t="n">
        <v>1</v>
      </c>
      <c r="Q86" s="6">
        <f>IF(OR(K86="On time",K86="Late",K86="Very late"),1,0)</f>
        <v/>
      </c>
    </row>
    <row r="87">
      <c r="A87" s="10" t="inlineStr">
        <is>
          <t>DN318291</t>
        </is>
      </c>
      <c r="B87" s="10" t="inlineStr">
        <is>
          <t>SO61963</t>
        </is>
      </c>
      <c r="C87" s="10" t="inlineStr">
        <is>
          <t>C10343</t>
        </is>
      </c>
      <c r="D87" s="10">
        <f>INDEX(Customers!$B:$B,MATCH(C87,Customers!$A:$A,0))</f>
        <v/>
      </c>
      <c r="E87" s="10">
        <f>INDEX(Customers!$D:$D,MATCH(C87,Customers!$A:$A,0))</f>
        <v/>
      </c>
      <c r="F87" s="10" t="inlineStr">
        <is>
          <t>Own trucks</t>
        </is>
      </c>
      <c r="G87" s="5" t="n">
        <v>46238</v>
      </c>
      <c r="H87" s="5" t="n">
        <v>46239</v>
      </c>
      <c r="I87" s="5" t="n">
        <v>46239</v>
      </c>
      <c r="J87" s="10" t="inlineStr">
        <is>
          <t>15:40</t>
        </is>
      </c>
      <c r="K87" s="10" t="inlineStr">
        <is>
          <t>On time</t>
        </is>
      </c>
      <c r="L87" s="6" t="n">
        <v>0</v>
      </c>
      <c r="M87" s="10" t="n"/>
      <c r="N87" s="6" t="n">
        <v>26</v>
      </c>
      <c r="O87" s="6" t="n">
        <v>3510</v>
      </c>
      <c r="P87" s="6" t="n">
        <v>1</v>
      </c>
      <c r="Q87" s="6">
        <f>IF(OR(K87="On time",K87="Late",K87="Very late"),1,0)</f>
        <v/>
      </c>
    </row>
    <row r="88">
      <c r="A88" s="10" t="inlineStr">
        <is>
          <t>DN318292</t>
        </is>
      </c>
      <c r="B88" s="10" t="inlineStr">
        <is>
          <t>SO61964</t>
        </is>
      </c>
      <c r="C88" s="10" t="inlineStr">
        <is>
          <t>C10446</t>
        </is>
      </c>
      <c r="D88" s="10">
        <f>INDEX(Customers!$B:$B,MATCH(C88,Customers!$A:$A,0))</f>
        <v/>
      </c>
      <c r="E88" s="10">
        <f>INDEX(Customers!$D:$D,MATCH(C88,Customers!$A:$A,0))</f>
        <v/>
      </c>
      <c r="F88" s="10" t="inlineStr">
        <is>
          <t>Own trucks</t>
        </is>
      </c>
      <c r="G88" s="5" t="n">
        <v>46238</v>
      </c>
      <c r="H88" s="5" t="n">
        <v>46239</v>
      </c>
      <c r="I88" s="5" t="n">
        <v>46239</v>
      </c>
      <c r="J88" s="10" t="inlineStr">
        <is>
          <t>15:40</t>
        </is>
      </c>
      <c r="K88" s="10" t="inlineStr">
        <is>
          <t>On time</t>
        </is>
      </c>
      <c r="L88" s="6" t="n">
        <v>0</v>
      </c>
      <c r="M88" s="10" t="n"/>
      <c r="N88" s="6" t="n">
        <v>10</v>
      </c>
      <c r="O88" s="6" t="n">
        <v>1200</v>
      </c>
      <c r="P88" s="6" t="n">
        <v>1</v>
      </c>
      <c r="Q88" s="6">
        <f>IF(OR(K88="On time",K88="Late",K88="Very late"),1,0)</f>
        <v/>
      </c>
    </row>
    <row r="89">
      <c r="A89" s="10" t="inlineStr">
        <is>
          <t>DN318293</t>
        </is>
      </c>
      <c r="B89" s="10" t="inlineStr">
        <is>
          <t>SO61965</t>
        </is>
      </c>
      <c r="C89" s="10" t="inlineStr">
        <is>
          <t>C10522</t>
        </is>
      </c>
      <c r="D89" s="10">
        <f>INDEX(Customers!$B:$B,MATCH(C89,Customers!$A:$A,0))</f>
        <v/>
      </c>
      <c r="E89" s="10">
        <f>INDEX(Customers!$D:$D,MATCH(C89,Customers!$A:$A,0))</f>
        <v/>
      </c>
      <c r="F89" s="10" t="inlineStr">
        <is>
          <t>Own trucks</t>
        </is>
      </c>
      <c r="G89" s="5" t="n">
        <v>46238</v>
      </c>
      <c r="H89" s="5" t="n">
        <v>46239</v>
      </c>
      <c r="I89" s="5" t="n">
        <v>46239</v>
      </c>
      <c r="J89" s="10" t="inlineStr">
        <is>
          <t>12:20</t>
        </is>
      </c>
      <c r="K89" s="10" t="inlineStr">
        <is>
          <t>On time</t>
        </is>
      </c>
      <c r="L89" s="6" t="n">
        <v>0</v>
      </c>
      <c r="M89" s="10" t="n"/>
      <c r="N89" s="6" t="n">
        <v>27</v>
      </c>
      <c r="O89" s="6" t="n">
        <v>3321</v>
      </c>
      <c r="P89" s="6" t="n">
        <v>1</v>
      </c>
      <c r="Q89" s="6">
        <f>IF(OR(K89="On time",K89="Late",K89="Very late"),1,0)</f>
        <v/>
      </c>
    </row>
    <row r="90">
      <c r="A90" s="10" t="inlineStr">
        <is>
          <t>DN318294</t>
        </is>
      </c>
      <c r="B90" s="10" t="inlineStr">
        <is>
          <t>SO61967</t>
        </is>
      </c>
      <c r="C90" s="10" t="inlineStr">
        <is>
          <t>C10536</t>
        </is>
      </c>
      <c r="D90" s="10">
        <f>INDEX(Customers!$B:$B,MATCH(C90,Customers!$A:$A,0))</f>
        <v/>
      </c>
      <c r="E90" s="10">
        <f>INDEX(Customers!$D:$D,MATCH(C90,Customers!$A:$A,0))</f>
        <v/>
      </c>
      <c r="F90" s="10" t="inlineStr">
        <is>
          <t>Own trucks</t>
        </is>
      </c>
      <c r="G90" s="5" t="n">
        <v>46238</v>
      </c>
      <c r="H90" s="5" t="n">
        <v>46239</v>
      </c>
      <c r="I90" s="5" t="n">
        <v>46239</v>
      </c>
      <c r="J90" s="10" t="inlineStr">
        <is>
          <t>15:50</t>
        </is>
      </c>
      <c r="K90" s="10" t="inlineStr">
        <is>
          <t>On time</t>
        </is>
      </c>
      <c r="L90" s="6" t="n">
        <v>0</v>
      </c>
      <c r="M90" s="10" t="n"/>
      <c r="N90" s="6" t="n">
        <v>11</v>
      </c>
      <c r="O90" s="6" t="n">
        <v>803</v>
      </c>
      <c r="P90" s="6" t="n">
        <v>1</v>
      </c>
      <c r="Q90" s="6">
        <f>IF(OR(K90="On time",K90="Late",K90="Very late"),1,0)</f>
        <v/>
      </c>
    </row>
    <row r="91">
      <c r="A91" s="10" t="inlineStr">
        <is>
          <t>DN318295</t>
        </is>
      </c>
      <c r="B91" s="10" t="inlineStr">
        <is>
          <t>SO61968</t>
        </is>
      </c>
      <c r="C91" s="10" t="inlineStr">
        <is>
          <t>C10589</t>
        </is>
      </c>
      <c r="D91" s="10">
        <f>INDEX(Customers!$B:$B,MATCH(C91,Customers!$A:$A,0))</f>
        <v/>
      </c>
      <c r="E91" s="10">
        <f>INDEX(Customers!$D:$D,MATCH(C91,Customers!$A:$A,0))</f>
        <v/>
      </c>
      <c r="F91" s="10" t="inlineStr">
        <is>
          <t>Own trucks</t>
        </is>
      </c>
      <c r="G91" s="5" t="n">
        <v>46238</v>
      </c>
      <c r="H91" s="5" t="n">
        <v>46239</v>
      </c>
      <c r="I91" s="5" t="n">
        <v>46239</v>
      </c>
      <c r="J91" s="10" t="inlineStr">
        <is>
          <t>07:20</t>
        </is>
      </c>
      <c r="K91" s="10" t="inlineStr">
        <is>
          <t>On time</t>
        </is>
      </c>
      <c r="L91" s="6" t="n">
        <v>0</v>
      </c>
      <c r="M91" s="10" t="n"/>
      <c r="N91" s="6" t="n">
        <v>21</v>
      </c>
      <c r="O91" s="6" t="n">
        <v>1617</v>
      </c>
      <c r="P91" s="6" t="n">
        <v>1</v>
      </c>
      <c r="Q91" s="6">
        <f>IF(OR(K91="On time",K91="Late",K91="Very late"),1,0)</f>
        <v/>
      </c>
    </row>
    <row r="92">
      <c r="A92" s="10" t="inlineStr">
        <is>
          <t>DN318296</t>
        </is>
      </c>
      <c r="B92" s="10" t="inlineStr">
        <is>
          <t>SO61969</t>
        </is>
      </c>
      <c r="C92" s="10" t="inlineStr">
        <is>
          <t>C10676</t>
        </is>
      </c>
      <c r="D92" s="10">
        <f>INDEX(Customers!$B:$B,MATCH(C92,Customers!$A:$A,0))</f>
        <v/>
      </c>
      <c r="E92" s="10">
        <f>INDEX(Customers!$D:$D,MATCH(C92,Customers!$A:$A,0))</f>
        <v/>
      </c>
      <c r="F92" s="10" t="inlineStr">
        <is>
          <t>Own trucks</t>
        </is>
      </c>
      <c r="G92" s="5" t="n">
        <v>46238</v>
      </c>
      <c r="H92" s="5" t="n">
        <v>46239</v>
      </c>
      <c r="I92" s="5" t="n">
        <v>46239</v>
      </c>
      <c r="J92" s="10" t="inlineStr">
        <is>
          <t>07:10</t>
        </is>
      </c>
      <c r="K92" s="10" t="inlineStr">
        <is>
          <t>On time</t>
        </is>
      </c>
      <c r="L92" s="6" t="n">
        <v>0</v>
      </c>
      <c r="M92" s="10" t="n"/>
      <c r="N92" s="6" t="n">
        <v>11</v>
      </c>
      <c r="O92" s="6" t="n">
        <v>1177</v>
      </c>
      <c r="P92" s="6" t="n">
        <v>1</v>
      </c>
      <c r="Q92" s="6">
        <f>IF(OR(K92="On time",K92="Late",K92="Very late"),1,0)</f>
        <v/>
      </c>
    </row>
    <row r="93">
      <c r="A93" s="10" t="inlineStr">
        <is>
          <t>DN318297</t>
        </is>
      </c>
      <c r="B93" s="10" t="inlineStr">
        <is>
          <t>SO61970</t>
        </is>
      </c>
      <c r="C93" s="10" t="inlineStr">
        <is>
          <t>C10746</t>
        </is>
      </c>
      <c r="D93" s="10">
        <f>INDEX(Customers!$B:$B,MATCH(C93,Customers!$A:$A,0))</f>
        <v/>
      </c>
      <c r="E93" s="10">
        <f>INDEX(Customers!$D:$D,MATCH(C93,Customers!$A:$A,0))</f>
        <v/>
      </c>
      <c r="F93" s="10" t="inlineStr">
        <is>
          <t>Own trucks</t>
        </is>
      </c>
      <c r="G93" s="5" t="n">
        <v>46238</v>
      </c>
      <c r="H93" s="5" t="n">
        <v>46239</v>
      </c>
      <c r="I93" s="5" t="n">
        <v>46239</v>
      </c>
      <c r="J93" s="10" t="inlineStr">
        <is>
          <t>12:40</t>
        </is>
      </c>
      <c r="K93" s="10" t="inlineStr">
        <is>
          <t>On time</t>
        </is>
      </c>
      <c r="L93" s="6" t="n">
        <v>0</v>
      </c>
      <c r="M93" s="10" t="n"/>
      <c r="N93" s="6" t="n">
        <v>7</v>
      </c>
      <c r="O93" s="6" t="n">
        <v>798</v>
      </c>
      <c r="P93" s="6" t="n">
        <v>1</v>
      </c>
      <c r="Q93" s="6">
        <f>IF(OR(K93="On time",K93="Late",K93="Very late"),1,0)</f>
        <v/>
      </c>
    </row>
    <row r="94">
      <c r="A94" s="10" t="inlineStr">
        <is>
          <t>DN318298</t>
        </is>
      </c>
      <c r="B94" s="10" t="inlineStr">
        <is>
          <t>SO61972</t>
        </is>
      </c>
      <c r="C94" s="10" t="inlineStr">
        <is>
          <t>C10796</t>
        </is>
      </c>
      <c r="D94" s="10">
        <f>INDEX(Customers!$B:$B,MATCH(C94,Customers!$A:$A,0))</f>
        <v/>
      </c>
      <c r="E94" s="10">
        <f>INDEX(Customers!$D:$D,MATCH(C94,Customers!$A:$A,0))</f>
        <v/>
      </c>
      <c r="F94" s="10" t="inlineStr">
        <is>
          <t>Own trucks</t>
        </is>
      </c>
      <c r="G94" s="5" t="n">
        <v>46238</v>
      </c>
      <c r="H94" s="5" t="n">
        <v>46239</v>
      </c>
      <c r="I94" s="5" t="n">
        <v>46239</v>
      </c>
      <c r="J94" s="10" t="inlineStr">
        <is>
          <t>09:50</t>
        </is>
      </c>
      <c r="K94" s="10" t="inlineStr">
        <is>
          <t>On time</t>
        </is>
      </c>
      <c r="L94" s="6" t="n">
        <v>0</v>
      </c>
      <c r="M94" s="10" t="n"/>
      <c r="N94" s="6" t="n">
        <v>34</v>
      </c>
      <c r="O94" s="6" t="n">
        <v>2040</v>
      </c>
      <c r="P94" s="6" t="n">
        <v>1</v>
      </c>
      <c r="Q94" s="6">
        <f>IF(OR(K94="On time",K94="Late",K94="Very late"),1,0)</f>
        <v/>
      </c>
    </row>
    <row r="95">
      <c r="A95" s="10" t="inlineStr">
        <is>
          <t>DN318299</t>
        </is>
      </c>
      <c r="B95" s="10" t="inlineStr">
        <is>
          <t>SO61973</t>
        </is>
      </c>
      <c r="C95" s="10" t="inlineStr">
        <is>
          <t>C10847</t>
        </is>
      </c>
      <c r="D95" s="10">
        <f>INDEX(Customers!$B:$B,MATCH(C95,Customers!$A:$A,0))</f>
        <v/>
      </c>
      <c r="E95" s="10">
        <f>INDEX(Customers!$D:$D,MATCH(C95,Customers!$A:$A,0))</f>
        <v/>
      </c>
      <c r="F95" s="10" t="inlineStr">
        <is>
          <t>Own trucks</t>
        </is>
      </c>
      <c r="G95" s="5" t="n">
        <v>46238</v>
      </c>
      <c r="H95" s="5" t="n">
        <v>46239</v>
      </c>
      <c r="I95" s="5" t="n">
        <v>46239</v>
      </c>
      <c r="J95" s="10" t="inlineStr">
        <is>
          <t>11:20</t>
        </is>
      </c>
      <c r="K95" s="10" t="inlineStr">
        <is>
          <t>On time</t>
        </is>
      </c>
      <c r="L95" s="6" t="n">
        <v>0</v>
      </c>
      <c r="M95" s="10" t="n"/>
      <c r="N95" s="6" t="n">
        <v>3</v>
      </c>
      <c r="O95" s="6" t="n">
        <v>225</v>
      </c>
      <c r="P95" s="6" t="n">
        <v>1</v>
      </c>
      <c r="Q95" s="6">
        <f>IF(OR(K95="On time",K95="Late",K95="Very late"),1,0)</f>
        <v/>
      </c>
    </row>
    <row r="96">
      <c r="A96" s="10" t="inlineStr">
        <is>
          <t>DN318300</t>
        </is>
      </c>
      <c r="B96" s="10" t="inlineStr">
        <is>
          <t>SO61974</t>
        </is>
      </c>
      <c r="C96" s="10" t="inlineStr">
        <is>
          <t>C10982</t>
        </is>
      </c>
      <c r="D96" s="10">
        <f>INDEX(Customers!$B:$B,MATCH(C96,Customers!$A:$A,0))</f>
        <v/>
      </c>
      <c r="E96" s="10">
        <f>INDEX(Customers!$D:$D,MATCH(C96,Customers!$A:$A,0))</f>
        <v/>
      </c>
      <c r="F96" s="10" t="inlineStr">
        <is>
          <t>Own trucks</t>
        </is>
      </c>
      <c r="G96" s="5" t="n">
        <v>46238</v>
      </c>
      <c r="H96" s="5" t="n">
        <v>46239</v>
      </c>
      <c r="I96" s="5" t="n">
        <v>46239</v>
      </c>
      <c r="J96" s="10" t="inlineStr">
        <is>
          <t>10:10</t>
        </is>
      </c>
      <c r="K96" s="10" t="inlineStr">
        <is>
          <t>On time</t>
        </is>
      </c>
      <c r="L96" s="6" t="n">
        <v>0</v>
      </c>
      <c r="M96" s="10" t="n"/>
      <c r="N96" s="6" t="n">
        <v>17</v>
      </c>
      <c r="O96" s="6" t="n">
        <v>1411</v>
      </c>
      <c r="P96" s="6" t="n">
        <v>1</v>
      </c>
      <c r="Q96" s="6">
        <f>IF(OR(K96="On time",K96="Late",K96="Very late"),1,0)</f>
        <v/>
      </c>
    </row>
    <row r="97">
      <c r="A97" s="10" t="inlineStr">
        <is>
          <t>DN318301</t>
        </is>
      </c>
      <c r="B97" s="10" t="inlineStr">
        <is>
          <t>SO61975</t>
        </is>
      </c>
      <c r="C97" s="10" t="inlineStr">
        <is>
          <t>C11107</t>
        </is>
      </c>
      <c r="D97" s="10">
        <f>INDEX(Customers!$B:$B,MATCH(C97,Customers!$A:$A,0))</f>
        <v/>
      </c>
      <c r="E97" s="10">
        <f>INDEX(Customers!$D:$D,MATCH(C97,Customers!$A:$A,0))</f>
        <v/>
      </c>
      <c r="F97" s="10" t="inlineStr">
        <is>
          <t>Own trucks</t>
        </is>
      </c>
      <c r="G97" s="5" t="n">
        <v>46238</v>
      </c>
      <c r="H97" s="5" t="n">
        <v>46239</v>
      </c>
      <c r="I97" s="5" t="n">
        <v>46239</v>
      </c>
      <c r="J97" s="10" t="inlineStr">
        <is>
          <t>13:50</t>
        </is>
      </c>
      <c r="K97" s="10" t="inlineStr">
        <is>
          <t>On time</t>
        </is>
      </c>
      <c r="L97" s="6" t="n">
        <v>0</v>
      </c>
      <c r="M97" s="10" t="n"/>
      <c r="N97" s="6" t="n">
        <v>29</v>
      </c>
      <c r="O97" s="6" t="n">
        <v>3277</v>
      </c>
      <c r="P97" s="6" t="n">
        <v>1</v>
      </c>
      <c r="Q97" s="6">
        <f>IF(OR(K97="On time",K97="Late",K97="Very late"),1,0)</f>
        <v/>
      </c>
    </row>
    <row r="98">
      <c r="A98" s="10" t="inlineStr">
        <is>
          <t>DN318302</t>
        </is>
      </c>
      <c r="B98" s="10" t="inlineStr">
        <is>
          <t>SO61976</t>
        </is>
      </c>
      <c r="C98" s="10" t="inlineStr">
        <is>
          <t>C11247</t>
        </is>
      </c>
      <c r="D98" s="10">
        <f>INDEX(Customers!$B:$B,MATCH(C98,Customers!$A:$A,0))</f>
        <v/>
      </c>
      <c r="E98" s="10">
        <f>INDEX(Customers!$D:$D,MATCH(C98,Customers!$A:$A,0))</f>
        <v/>
      </c>
      <c r="F98" s="10" t="inlineStr">
        <is>
          <t>Own trucks</t>
        </is>
      </c>
      <c r="G98" s="5" t="n">
        <v>46238</v>
      </c>
      <c r="H98" s="5" t="n">
        <v>46239</v>
      </c>
      <c r="I98" s="5" t="n">
        <v>46239</v>
      </c>
      <c r="J98" s="10" t="inlineStr">
        <is>
          <t>15:40</t>
        </is>
      </c>
      <c r="K98" s="10" t="inlineStr">
        <is>
          <t>On time</t>
        </is>
      </c>
      <c r="L98" s="6" t="n">
        <v>0</v>
      </c>
      <c r="M98" s="10" t="n"/>
      <c r="N98" s="6" t="n">
        <v>32</v>
      </c>
      <c r="O98" s="6" t="n">
        <v>2112</v>
      </c>
      <c r="P98" s="6" t="n">
        <v>1</v>
      </c>
      <c r="Q98" s="6">
        <f>IF(OR(K98="On time",K98="Late",K98="Very late"),1,0)</f>
        <v/>
      </c>
    </row>
    <row r="99">
      <c r="A99" s="10" t="inlineStr">
        <is>
          <t>DN318303</t>
        </is>
      </c>
      <c r="B99" s="10" t="inlineStr">
        <is>
          <t>SO61977</t>
        </is>
      </c>
      <c r="C99" s="10" t="inlineStr">
        <is>
          <t>C11264</t>
        </is>
      </c>
      <c r="D99" s="10">
        <f>INDEX(Customers!$B:$B,MATCH(C99,Customers!$A:$A,0))</f>
        <v/>
      </c>
      <c r="E99" s="10">
        <f>INDEX(Customers!$D:$D,MATCH(C99,Customers!$A:$A,0))</f>
        <v/>
      </c>
      <c r="F99" s="10" t="inlineStr">
        <is>
          <t>Own trucks</t>
        </is>
      </c>
      <c r="G99" s="5" t="n">
        <v>46238</v>
      </c>
      <c r="H99" s="5" t="n">
        <v>46239</v>
      </c>
      <c r="I99" s="5" t="n">
        <v>46239</v>
      </c>
      <c r="J99" s="10" t="inlineStr">
        <is>
          <t>08:20</t>
        </is>
      </c>
      <c r="K99" s="10" t="inlineStr">
        <is>
          <t>On time</t>
        </is>
      </c>
      <c r="L99" s="6" t="n">
        <v>0</v>
      </c>
      <c r="M99" s="10" t="n"/>
      <c r="N99" s="6" t="n">
        <v>12</v>
      </c>
      <c r="O99" s="6" t="n">
        <v>828</v>
      </c>
      <c r="P99" s="6" t="n">
        <v>1</v>
      </c>
      <c r="Q99" s="6">
        <f>IF(OR(K99="On time",K99="Late",K99="Very late"),1,0)</f>
        <v/>
      </c>
    </row>
    <row r="100">
      <c r="A100" s="10" t="inlineStr">
        <is>
          <t>DN318304</t>
        </is>
      </c>
      <c r="B100" s="10" t="inlineStr">
        <is>
          <t>SO61978</t>
        </is>
      </c>
      <c r="C100" s="10" t="inlineStr">
        <is>
          <t>C11314</t>
        </is>
      </c>
      <c r="D100" s="10">
        <f>INDEX(Customers!$B:$B,MATCH(C100,Customers!$A:$A,0))</f>
        <v/>
      </c>
      <c r="E100" s="10">
        <f>INDEX(Customers!$D:$D,MATCH(C100,Customers!$A:$A,0))</f>
        <v/>
      </c>
      <c r="F100" s="10" t="inlineStr">
        <is>
          <t>Own trucks</t>
        </is>
      </c>
      <c r="G100" s="5" t="n">
        <v>46238</v>
      </c>
      <c r="H100" s="5" t="n">
        <v>46239</v>
      </c>
      <c r="I100" s="5" t="n">
        <v>46239</v>
      </c>
      <c r="J100" s="10" t="inlineStr">
        <is>
          <t>13:00</t>
        </is>
      </c>
      <c r="K100" s="10" t="inlineStr">
        <is>
          <t>On time</t>
        </is>
      </c>
      <c r="L100" s="6" t="n">
        <v>0</v>
      </c>
      <c r="M100" s="10" t="n"/>
      <c r="N100" s="6" t="n">
        <v>37</v>
      </c>
      <c r="O100" s="6" t="n">
        <v>2701</v>
      </c>
      <c r="P100" s="6" t="n">
        <v>1</v>
      </c>
      <c r="Q100" s="6">
        <f>IF(OR(K100="On time",K100="Late",K100="Very late"),1,0)</f>
        <v/>
      </c>
    </row>
    <row r="101">
      <c r="A101" s="10" t="inlineStr">
        <is>
          <t>DN318305</t>
        </is>
      </c>
      <c r="B101" s="10" t="inlineStr">
        <is>
          <t>SO61979</t>
        </is>
      </c>
      <c r="C101" s="10" t="inlineStr">
        <is>
          <t>C11463</t>
        </is>
      </c>
      <c r="D101" s="10">
        <f>INDEX(Customers!$B:$B,MATCH(C101,Customers!$A:$A,0))</f>
        <v/>
      </c>
      <c r="E101" s="10">
        <f>INDEX(Customers!$D:$D,MATCH(C101,Customers!$A:$A,0))</f>
        <v/>
      </c>
      <c r="F101" s="10" t="inlineStr">
        <is>
          <t>Own trucks</t>
        </is>
      </c>
      <c r="G101" s="5" t="n">
        <v>46238</v>
      </c>
      <c r="H101" s="5" t="n">
        <v>46239</v>
      </c>
      <c r="I101" s="5" t="n">
        <v>46239</v>
      </c>
      <c r="J101" s="10" t="inlineStr">
        <is>
          <t>07:30</t>
        </is>
      </c>
      <c r="K101" s="10" t="inlineStr">
        <is>
          <t>On time</t>
        </is>
      </c>
      <c r="L101" s="6" t="n">
        <v>0</v>
      </c>
      <c r="M101" s="10" t="n"/>
      <c r="N101" s="6" t="n">
        <v>35</v>
      </c>
      <c r="O101" s="6" t="n">
        <v>3955</v>
      </c>
      <c r="P101" s="6" t="n">
        <v>1</v>
      </c>
      <c r="Q101" s="6">
        <f>IF(OR(K101="On time",K101="Late",K101="Very late"),1,0)</f>
        <v/>
      </c>
    </row>
    <row r="102">
      <c r="A102" s="10" t="inlineStr">
        <is>
          <t>DN318306</t>
        </is>
      </c>
      <c r="B102" s="10" t="inlineStr">
        <is>
          <t>SO61980</t>
        </is>
      </c>
      <c r="C102" s="10" t="inlineStr">
        <is>
          <t>C11579</t>
        </is>
      </c>
      <c r="D102" s="10">
        <f>INDEX(Customers!$B:$B,MATCH(C102,Customers!$A:$A,0))</f>
        <v/>
      </c>
      <c r="E102" s="10">
        <f>INDEX(Customers!$D:$D,MATCH(C102,Customers!$A:$A,0))</f>
        <v/>
      </c>
      <c r="F102" s="10" t="inlineStr">
        <is>
          <t>Own trucks</t>
        </is>
      </c>
      <c r="G102" s="5" t="n">
        <v>46238</v>
      </c>
      <c r="H102" s="5" t="n">
        <v>46239</v>
      </c>
      <c r="I102" s="5" t="n">
        <v>46239</v>
      </c>
      <c r="J102" s="10" t="inlineStr">
        <is>
          <t>09:40</t>
        </is>
      </c>
      <c r="K102" s="10" t="inlineStr">
        <is>
          <t>On time</t>
        </is>
      </c>
      <c r="L102" s="6" t="n">
        <v>0</v>
      </c>
      <c r="M102" s="10" t="n"/>
      <c r="N102" s="6" t="n">
        <v>16</v>
      </c>
      <c r="O102" s="6" t="n">
        <v>1600</v>
      </c>
      <c r="P102" s="6" t="n">
        <v>1</v>
      </c>
      <c r="Q102" s="6">
        <f>IF(OR(K102="On time",K102="Late",K102="Very late"),1,0)</f>
        <v/>
      </c>
    </row>
    <row r="103">
      <c r="A103" s="10" t="inlineStr">
        <is>
          <t>DN318307</t>
        </is>
      </c>
      <c r="B103" s="10" t="inlineStr">
        <is>
          <t>SO61981</t>
        </is>
      </c>
      <c r="C103" s="10" t="inlineStr">
        <is>
          <t>C11666</t>
        </is>
      </c>
      <c r="D103" s="10">
        <f>INDEX(Customers!$B:$B,MATCH(C103,Customers!$A:$A,0))</f>
        <v/>
      </c>
      <c r="E103" s="10">
        <f>INDEX(Customers!$D:$D,MATCH(C103,Customers!$A:$A,0))</f>
        <v/>
      </c>
      <c r="F103" s="10" t="inlineStr">
        <is>
          <t>Own trucks</t>
        </is>
      </c>
      <c r="G103" s="5" t="n">
        <v>46238</v>
      </c>
      <c r="H103" s="5" t="n">
        <v>46239</v>
      </c>
      <c r="I103" s="5" t="n">
        <v>46239</v>
      </c>
      <c r="J103" s="10" t="inlineStr">
        <is>
          <t>15:20</t>
        </is>
      </c>
      <c r="K103" s="10" t="inlineStr">
        <is>
          <t>On time</t>
        </is>
      </c>
      <c r="L103" s="6" t="n">
        <v>0</v>
      </c>
      <c r="M103" s="10" t="n"/>
      <c r="N103" s="6" t="n">
        <v>18</v>
      </c>
      <c r="O103" s="6" t="n">
        <v>1170</v>
      </c>
      <c r="P103" s="6" t="n">
        <v>1</v>
      </c>
      <c r="Q103" s="6">
        <f>IF(OR(K103="On time",K103="Late",K103="Very late"),1,0)</f>
        <v/>
      </c>
    </row>
    <row r="104">
      <c r="A104" s="10" t="inlineStr">
        <is>
          <t>DN318308</t>
        </is>
      </c>
      <c r="B104" s="10" t="inlineStr">
        <is>
          <t>SO61982</t>
        </is>
      </c>
      <c r="C104" s="10" t="inlineStr">
        <is>
          <t>C11798</t>
        </is>
      </c>
      <c r="D104" s="10">
        <f>INDEX(Customers!$B:$B,MATCH(C104,Customers!$A:$A,0))</f>
        <v/>
      </c>
      <c r="E104" s="10">
        <f>INDEX(Customers!$D:$D,MATCH(C104,Customers!$A:$A,0))</f>
        <v/>
      </c>
      <c r="F104" s="10" t="inlineStr">
        <is>
          <t>Carrier A</t>
        </is>
      </c>
      <c r="G104" s="5" t="n">
        <v>46238</v>
      </c>
      <c r="H104" s="5" t="n">
        <v>46239</v>
      </c>
      <c r="I104" s="5" t="n">
        <v>46239</v>
      </c>
      <c r="J104" s="10" t="inlineStr">
        <is>
          <t>11:20</t>
        </is>
      </c>
      <c r="K104" s="10" t="inlineStr">
        <is>
          <t>On time</t>
        </is>
      </c>
      <c r="L104" s="6" t="n">
        <v>0</v>
      </c>
      <c r="M104" s="10" t="n"/>
      <c r="N104" s="6" t="n">
        <v>4</v>
      </c>
      <c r="O104" s="6" t="n">
        <v>260</v>
      </c>
      <c r="P104" s="6" t="n">
        <v>1</v>
      </c>
      <c r="Q104" s="6">
        <f>IF(OR(K104="On time",K104="Late",K104="Very late"),1,0)</f>
        <v/>
      </c>
    </row>
    <row r="105">
      <c r="A105" s="10" t="inlineStr">
        <is>
          <t>DN318309</t>
        </is>
      </c>
      <c r="B105" s="10" t="inlineStr">
        <is>
          <t>SO61983</t>
        </is>
      </c>
      <c r="C105" s="10" t="inlineStr">
        <is>
          <t>C11858</t>
        </is>
      </c>
      <c r="D105" s="10">
        <f>INDEX(Customers!$B:$B,MATCH(C105,Customers!$A:$A,0))</f>
        <v/>
      </c>
      <c r="E105" s="10">
        <f>INDEX(Customers!$D:$D,MATCH(C105,Customers!$A:$A,0))</f>
        <v/>
      </c>
      <c r="F105" s="10" t="inlineStr">
        <is>
          <t>Carrier A</t>
        </is>
      </c>
      <c r="G105" s="5" t="n">
        <v>46238</v>
      </c>
      <c r="H105" s="5" t="n">
        <v>46239</v>
      </c>
      <c r="I105" s="5" t="n">
        <v>46239</v>
      </c>
      <c r="J105" s="10" t="inlineStr">
        <is>
          <t>16:00</t>
        </is>
      </c>
      <c r="K105" s="10" t="inlineStr">
        <is>
          <t>On time</t>
        </is>
      </c>
      <c r="L105" s="6" t="n">
        <v>0</v>
      </c>
      <c r="M105" s="10" t="n"/>
      <c r="N105" s="6" t="n">
        <v>26</v>
      </c>
      <c r="O105" s="6" t="n">
        <v>3562</v>
      </c>
      <c r="P105" s="6" t="n">
        <v>1</v>
      </c>
      <c r="Q105" s="6">
        <f>IF(OR(K105="On time",K105="Late",K105="Very late"),1,0)</f>
        <v/>
      </c>
    </row>
    <row r="106">
      <c r="A106" s="10" t="inlineStr">
        <is>
          <t>DN318310</t>
        </is>
      </c>
      <c r="B106" s="10" t="inlineStr">
        <is>
          <t>SO61984</t>
        </is>
      </c>
      <c r="C106" s="10" t="inlineStr">
        <is>
          <t>C11950</t>
        </is>
      </c>
      <c r="D106" s="10">
        <f>INDEX(Customers!$B:$B,MATCH(C106,Customers!$A:$A,0))</f>
        <v/>
      </c>
      <c r="E106" s="10">
        <f>INDEX(Customers!$D:$D,MATCH(C106,Customers!$A:$A,0))</f>
        <v/>
      </c>
      <c r="F106" s="10" t="inlineStr">
        <is>
          <t>Carrier A</t>
        </is>
      </c>
      <c r="G106" s="5" t="n">
        <v>46238</v>
      </c>
      <c r="H106" s="5" t="n">
        <v>46239</v>
      </c>
      <c r="I106" s="5" t="n">
        <v>46239</v>
      </c>
      <c r="J106" s="10" t="inlineStr">
        <is>
          <t>12:10</t>
        </is>
      </c>
      <c r="K106" s="10" t="inlineStr">
        <is>
          <t>On time</t>
        </is>
      </c>
      <c r="L106" s="6" t="n">
        <v>0</v>
      </c>
      <c r="M106" s="10" t="n"/>
      <c r="N106" s="6" t="n">
        <v>3</v>
      </c>
      <c r="O106" s="6" t="n">
        <v>204</v>
      </c>
      <c r="P106" s="6" t="n">
        <v>1</v>
      </c>
      <c r="Q106" s="6">
        <f>IF(OR(K106="On time",K106="Late",K106="Very late"),1,0)</f>
        <v/>
      </c>
    </row>
    <row r="107">
      <c r="A107" s="10" t="inlineStr">
        <is>
          <t>DN318311</t>
        </is>
      </c>
      <c r="B107" s="10" t="inlineStr">
        <is>
          <t>SO61986</t>
        </is>
      </c>
      <c r="C107" s="10" t="inlineStr">
        <is>
          <t>C11971</t>
        </is>
      </c>
      <c r="D107" s="10">
        <f>INDEX(Customers!$B:$B,MATCH(C107,Customers!$A:$A,0))</f>
        <v/>
      </c>
      <c r="E107" s="10">
        <f>INDEX(Customers!$D:$D,MATCH(C107,Customers!$A:$A,0))</f>
        <v/>
      </c>
      <c r="F107" s="10" t="inlineStr">
        <is>
          <t>Own trucks</t>
        </is>
      </c>
      <c r="G107" s="5" t="n">
        <v>46238</v>
      </c>
      <c r="H107" s="5" t="n">
        <v>46239</v>
      </c>
      <c r="I107" s="5" t="n">
        <v>46239</v>
      </c>
      <c r="J107" s="10" t="inlineStr">
        <is>
          <t>07:00</t>
        </is>
      </c>
      <c r="K107" s="10" t="inlineStr">
        <is>
          <t>On time</t>
        </is>
      </c>
      <c r="L107" s="6" t="n">
        <v>0</v>
      </c>
      <c r="M107" s="10" t="n"/>
      <c r="N107" s="6" t="n">
        <v>6</v>
      </c>
      <c r="O107" s="6" t="n">
        <v>792</v>
      </c>
      <c r="P107" s="6" t="n">
        <v>1</v>
      </c>
      <c r="Q107" s="6">
        <f>IF(OR(K107="On time",K107="Late",K107="Very late"),1,0)</f>
        <v/>
      </c>
    </row>
    <row r="108">
      <c r="A108" s="10" t="inlineStr">
        <is>
          <t>DN318312</t>
        </is>
      </c>
      <c r="B108" s="10" t="inlineStr">
        <is>
          <t>SO61987</t>
        </is>
      </c>
      <c r="C108" s="10" t="inlineStr">
        <is>
          <t>C12103</t>
        </is>
      </c>
      <c r="D108" s="10">
        <f>INDEX(Customers!$B:$B,MATCH(C108,Customers!$A:$A,0))</f>
        <v/>
      </c>
      <c r="E108" s="10">
        <f>INDEX(Customers!$D:$D,MATCH(C108,Customers!$A:$A,0))</f>
        <v/>
      </c>
      <c r="F108" s="10" t="inlineStr">
        <is>
          <t>Own trucks</t>
        </is>
      </c>
      <c r="G108" s="5" t="n">
        <v>46238</v>
      </c>
      <c r="H108" s="5" t="n">
        <v>46239</v>
      </c>
      <c r="I108" s="5" t="n">
        <v>46239</v>
      </c>
      <c r="J108" s="10" t="inlineStr">
        <is>
          <t>14:10</t>
        </is>
      </c>
      <c r="K108" s="10" t="inlineStr">
        <is>
          <t>On time</t>
        </is>
      </c>
      <c r="L108" s="6" t="n">
        <v>0</v>
      </c>
      <c r="M108" s="10" t="n"/>
      <c r="N108" s="6" t="n">
        <v>22</v>
      </c>
      <c r="O108" s="6" t="n">
        <v>2508</v>
      </c>
      <c r="P108" s="6" t="n">
        <v>1</v>
      </c>
      <c r="Q108" s="6">
        <f>IF(OR(K108="On time",K108="Late",K108="Very late"),1,0)</f>
        <v/>
      </c>
    </row>
    <row r="109">
      <c r="A109" s="10" t="inlineStr">
        <is>
          <t>DN318313</t>
        </is>
      </c>
      <c r="B109" s="10" t="inlineStr">
        <is>
          <t>SO61988</t>
        </is>
      </c>
      <c r="C109" s="10" t="inlineStr">
        <is>
          <t>C12239</t>
        </is>
      </c>
      <c r="D109" s="10">
        <f>INDEX(Customers!$B:$B,MATCH(C109,Customers!$A:$A,0))</f>
        <v/>
      </c>
      <c r="E109" s="10">
        <f>INDEX(Customers!$D:$D,MATCH(C109,Customers!$A:$A,0))</f>
        <v/>
      </c>
      <c r="F109" s="10" t="inlineStr">
        <is>
          <t>Carrier B</t>
        </is>
      </c>
      <c r="G109" s="5" t="n">
        <v>46238</v>
      </c>
      <c r="H109" s="5" t="n">
        <v>46239</v>
      </c>
      <c r="I109" s="5" t="n">
        <v>46239</v>
      </c>
      <c r="J109" s="10" t="inlineStr">
        <is>
          <t>16:10</t>
        </is>
      </c>
      <c r="K109" s="10" t="inlineStr">
        <is>
          <t>On time</t>
        </is>
      </c>
      <c r="L109" s="6" t="n">
        <v>0</v>
      </c>
      <c r="M109" s="10" t="n"/>
      <c r="N109" s="6" t="n">
        <v>30</v>
      </c>
      <c r="O109" s="6" t="n">
        <v>2370</v>
      </c>
      <c r="P109" s="6" t="n">
        <v>1</v>
      </c>
      <c r="Q109" s="6">
        <f>IF(OR(K109="On time",K109="Late",K109="Very late"),1,0)</f>
        <v/>
      </c>
    </row>
    <row r="110">
      <c r="A110" s="10" t="inlineStr">
        <is>
          <t>DN318314</t>
        </is>
      </c>
      <c r="B110" s="10" t="inlineStr">
        <is>
          <t>SO61989</t>
        </is>
      </c>
      <c r="C110" s="10" t="inlineStr">
        <is>
          <t>C12262</t>
        </is>
      </c>
      <c r="D110" s="10">
        <f>INDEX(Customers!$B:$B,MATCH(C110,Customers!$A:$A,0))</f>
        <v/>
      </c>
      <c r="E110" s="10">
        <f>INDEX(Customers!$D:$D,MATCH(C110,Customers!$A:$A,0))</f>
        <v/>
      </c>
      <c r="F110" s="10" t="inlineStr">
        <is>
          <t>Carrier B</t>
        </is>
      </c>
      <c r="G110" s="5" t="n">
        <v>46238</v>
      </c>
      <c r="H110" s="5" t="n">
        <v>46239</v>
      </c>
      <c r="I110" s="5" t="n">
        <v>46239</v>
      </c>
      <c r="J110" s="10" t="inlineStr">
        <is>
          <t>14:40</t>
        </is>
      </c>
      <c r="K110" s="10" t="inlineStr">
        <is>
          <t>On time</t>
        </is>
      </c>
      <c r="L110" s="6" t="n">
        <v>0</v>
      </c>
      <c r="M110" s="10" t="n"/>
      <c r="N110" s="6" t="n">
        <v>3</v>
      </c>
      <c r="O110" s="6" t="n">
        <v>354</v>
      </c>
      <c r="P110" s="6" t="n">
        <v>1</v>
      </c>
      <c r="Q110" s="6">
        <f>IF(OR(K110="On time",K110="Late",K110="Very late"),1,0)</f>
        <v/>
      </c>
    </row>
    <row r="111">
      <c r="A111" s="10" t="inlineStr">
        <is>
          <t>DN318315</t>
        </is>
      </c>
      <c r="B111" s="10" t="inlineStr">
        <is>
          <t>SO61990</t>
        </is>
      </c>
      <c r="C111" s="10" t="inlineStr">
        <is>
          <t>C12305</t>
        </is>
      </c>
      <c r="D111" s="10">
        <f>INDEX(Customers!$B:$B,MATCH(C111,Customers!$A:$A,0))</f>
        <v/>
      </c>
      <c r="E111" s="10">
        <f>INDEX(Customers!$D:$D,MATCH(C111,Customers!$A:$A,0))</f>
        <v/>
      </c>
      <c r="F111" s="10" t="inlineStr">
        <is>
          <t>Carrier B</t>
        </is>
      </c>
      <c r="G111" s="5" t="n">
        <v>46238</v>
      </c>
      <c r="H111" s="5" t="n">
        <v>46239</v>
      </c>
      <c r="I111" s="5" t="n">
        <v>46240</v>
      </c>
      <c r="J111" s="10" t="inlineStr">
        <is>
          <t>10:40</t>
        </is>
      </c>
      <c r="K111" s="10" t="inlineStr">
        <is>
          <t>Late</t>
        </is>
      </c>
      <c r="L111" s="6" t="n">
        <v>1</v>
      </c>
      <c r="M111" s="10" t="inlineStr">
        <is>
          <t>Carrier delay</t>
        </is>
      </c>
      <c r="N111" s="6" t="n">
        <v>22</v>
      </c>
      <c r="O111" s="6" t="n">
        <v>1958</v>
      </c>
      <c r="P111" s="6" t="n">
        <v>1</v>
      </c>
      <c r="Q111" s="6">
        <f>IF(OR(K111="On time",K111="Late",K111="Very late"),1,0)</f>
        <v/>
      </c>
    </row>
    <row r="112">
      <c r="A112" s="10" t="inlineStr">
        <is>
          <t>DN318316</t>
        </is>
      </c>
      <c r="B112" s="10" t="inlineStr">
        <is>
          <t>SO61991</t>
        </is>
      </c>
      <c r="C112" s="10" t="inlineStr">
        <is>
          <t>C12371</t>
        </is>
      </c>
      <c r="D112" s="10">
        <f>INDEX(Customers!$B:$B,MATCH(C112,Customers!$A:$A,0))</f>
        <v/>
      </c>
      <c r="E112" s="10">
        <f>INDEX(Customers!$D:$D,MATCH(C112,Customers!$A:$A,0))</f>
        <v/>
      </c>
      <c r="F112" s="10" t="inlineStr">
        <is>
          <t>Carrier A</t>
        </is>
      </c>
      <c r="G112" s="5" t="n">
        <v>46238</v>
      </c>
      <c r="H112" s="5" t="n">
        <v>46239</v>
      </c>
      <c r="I112" s="5" t="n">
        <v>46239</v>
      </c>
      <c r="J112" s="10" t="inlineStr">
        <is>
          <t>15:10</t>
        </is>
      </c>
      <c r="K112" s="10" t="inlineStr">
        <is>
          <t>On time</t>
        </is>
      </c>
      <c r="L112" s="6" t="n">
        <v>0</v>
      </c>
      <c r="M112" s="10" t="n"/>
      <c r="N112" s="6" t="n">
        <v>35</v>
      </c>
      <c r="O112" s="6" t="n">
        <v>2450</v>
      </c>
      <c r="P112" s="6" t="n">
        <v>1</v>
      </c>
      <c r="Q112" s="6">
        <f>IF(OR(K112="On time",K112="Late",K112="Very late"),1,0)</f>
        <v/>
      </c>
    </row>
    <row r="113">
      <c r="A113" s="10" t="inlineStr">
        <is>
          <t>DN318318</t>
        </is>
      </c>
      <c r="B113" s="10" t="inlineStr">
        <is>
          <t>SO61992</t>
        </is>
      </c>
      <c r="C113" s="10" t="inlineStr">
        <is>
          <t>C12420</t>
        </is>
      </c>
      <c r="D113" s="10">
        <f>INDEX(Customers!$B:$B,MATCH(C113,Customers!$A:$A,0))</f>
        <v/>
      </c>
      <c r="E113" s="10">
        <f>INDEX(Customers!$D:$D,MATCH(C113,Customers!$A:$A,0))</f>
        <v/>
      </c>
      <c r="F113" s="10" t="inlineStr">
        <is>
          <t>Carrier A</t>
        </is>
      </c>
      <c r="G113" s="5" t="n">
        <v>46238</v>
      </c>
      <c r="H113" s="5" t="n">
        <v>46239</v>
      </c>
      <c r="I113" s="5" t="n">
        <v>46239</v>
      </c>
      <c r="J113" s="10" t="inlineStr">
        <is>
          <t>08:00</t>
        </is>
      </c>
      <c r="K113" s="10" t="inlineStr">
        <is>
          <t>On time</t>
        </is>
      </c>
      <c r="L113" s="6" t="n">
        <v>0</v>
      </c>
      <c r="M113" s="10" t="n"/>
      <c r="N113" s="6" t="n">
        <v>28</v>
      </c>
      <c r="O113" s="6" t="n">
        <v>2968</v>
      </c>
      <c r="P113" s="6" t="n">
        <v>1</v>
      </c>
      <c r="Q113" s="6">
        <f>IF(OR(K113="On time",K113="Late",K113="Very late"),1,0)</f>
        <v/>
      </c>
    </row>
    <row r="114">
      <c r="A114" s="10" t="inlineStr">
        <is>
          <t>DN318319</t>
        </is>
      </c>
      <c r="B114" s="10" t="inlineStr">
        <is>
          <t>SO61993</t>
        </is>
      </c>
      <c r="C114" s="10" t="inlineStr">
        <is>
          <t>C12490</t>
        </is>
      </c>
      <c r="D114" s="10">
        <f>INDEX(Customers!$B:$B,MATCH(C114,Customers!$A:$A,0))</f>
        <v/>
      </c>
      <c r="E114" s="10">
        <f>INDEX(Customers!$D:$D,MATCH(C114,Customers!$A:$A,0))</f>
        <v/>
      </c>
      <c r="F114" s="10" t="inlineStr">
        <is>
          <t>Carrier A</t>
        </is>
      </c>
      <c r="G114" s="5" t="n">
        <v>46238</v>
      </c>
      <c r="H114" s="5" t="n">
        <v>46239</v>
      </c>
      <c r="I114" s="5" t="n">
        <v>46241</v>
      </c>
      <c r="J114" s="10" t="inlineStr">
        <is>
          <t>12:00</t>
        </is>
      </c>
      <c r="K114" s="10" t="inlineStr">
        <is>
          <t>Very late</t>
        </is>
      </c>
      <c r="L114" s="6" t="n">
        <v>2</v>
      </c>
      <c r="M114" s="10" t="inlineStr">
        <is>
          <t>Carrier delay</t>
        </is>
      </c>
      <c r="N114" s="6" t="n">
        <v>18</v>
      </c>
      <c r="O114" s="6" t="n">
        <v>1368</v>
      </c>
      <c r="P114" s="6" t="n">
        <v>1</v>
      </c>
      <c r="Q114" s="6">
        <f>IF(OR(K114="On time",K114="Late",K114="Very late"),1,0)</f>
        <v/>
      </c>
    </row>
    <row r="115">
      <c r="A115" s="10" t="inlineStr">
        <is>
          <t>DN318320</t>
        </is>
      </c>
      <c r="B115" s="10" t="inlineStr">
        <is>
          <t>SO61994</t>
        </is>
      </c>
      <c r="C115" s="10" t="inlineStr">
        <is>
          <t>C12527</t>
        </is>
      </c>
      <c r="D115" s="10">
        <f>INDEX(Customers!$B:$B,MATCH(C115,Customers!$A:$A,0))</f>
        <v/>
      </c>
      <c r="E115" s="10">
        <f>INDEX(Customers!$D:$D,MATCH(C115,Customers!$A:$A,0))</f>
        <v/>
      </c>
      <c r="F115" s="10" t="inlineStr">
        <is>
          <t>Carrier A</t>
        </is>
      </c>
      <c r="G115" s="5" t="n">
        <v>46238</v>
      </c>
      <c r="H115" s="5" t="n">
        <v>46239</v>
      </c>
      <c r="I115" s="5" t="n">
        <v>46239</v>
      </c>
      <c r="J115" s="10" t="inlineStr">
        <is>
          <t>15:00</t>
        </is>
      </c>
      <c r="K115" s="10" t="inlineStr">
        <is>
          <t>On time</t>
        </is>
      </c>
      <c r="L115" s="6" t="n">
        <v>0</v>
      </c>
      <c r="M115" s="10" t="n"/>
      <c r="N115" s="6" t="n">
        <v>30</v>
      </c>
      <c r="O115" s="6" t="n">
        <v>3750</v>
      </c>
      <c r="P115" s="6" t="n">
        <v>1</v>
      </c>
      <c r="Q115" s="6">
        <f>IF(OR(K115="On time",K115="Late",K115="Very late"),1,0)</f>
        <v/>
      </c>
    </row>
    <row r="116">
      <c r="A116" s="10" t="inlineStr">
        <is>
          <t>DN318321</t>
        </is>
      </c>
      <c r="B116" s="10" t="inlineStr">
        <is>
          <t>SO61995</t>
        </is>
      </c>
      <c r="C116" s="10" t="inlineStr">
        <is>
          <t>C12543</t>
        </is>
      </c>
      <c r="D116" s="10">
        <f>INDEX(Customers!$B:$B,MATCH(C116,Customers!$A:$A,0))</f>
        <v/>
      </c>
      <c r="E116" s="10">
        <f>INDEX(Customers!$D:$D,MATCH(C116,Customers!$A:$A,0))</f>
        <v/>
      </c>
      <c r="F116" s="10" t="inlineStr">
        <is>
          <t>Carrier B</t>
        </is>
      </c>
      <c r="G116" s="5" t="n">
        <v>46237</v>
      </c>
      <c r="H116" s="5" t="n">
        <v>46239</v>
      </c>
      <c r="I116" s="5" t="n">
        <v>46239</v>
      </c>
      <c r="J116" s="10" t="inlineStr">
        <is>
          <t>14:40</t>
        </is>
      </c>
      <c r="K116" s="10" t="inlineStr">
        <is>
          <t>On time</t>
        </is>
      </c>
      <c r="L116" s="6" t="n">
        <v>0</v>
      </c>
      <c r="M116" s="10" t="n"/>
      <c r="N116" s="6" t="n">
        <v>4</v>
      </c>
      <c r="O116" s="6" t="n">
        <v>316</v>
      </c>
      <c r="P116" s="6" t="n">
        <v>1</v>
      </c>
      <c r="Q116" s="6">
        <f>IF(OR(K116="On time",K116="Late",K116="Very late"),1,0)</f>
        <v/>
      </c>
    </row>
    <row r="117">
      <c r="A117" s="10" t="inlineStr">
        <is>
          <t>DN318322</t>
        </is>
      </c>
      <c r="B117" s="10" t="inlineStr">
        <is>
          <t>SO61996</t>
        </is>
      </c>
      <c r="C117" s="10" t="inlineStr">
        <is>
          <t>C12617</t>
        </is>
      </c>
      <c r="D117" s="10">
        <f>INDEX(Customers!$B:$B,MATCH(C117,Customers!$A:$A,0))</f>
        <v/>
      </c>
      <c r="E117" s="10">
        <f>INDEX(Customers!$D:$D,MATCH(C117,Customers!$A:$A,0))</f>
        <v/>
      </c>
      <c r="F117" s="10" t="inlineStr">
        <is>
          <t>Carrier B</t>
        </is>
      </c>
      <c r="G117" s="5" t="n">
        <v>46237</v>
      </c>
      <c r="H117" s="5" t="n">
        <v>46239</v>
      </c>
      <c r="I117" s="5" t="n">
        <v>46239</v>
      </c>
      <c r="J117" s="10" t="inlineStr">
        <is>
          <t>08:20</t>
        </is>
      </c>
      <c r="K117" s="10" t="inlineStr">
        <is>
          <t>On time</t>
        </is>
      </c>
      <c r="L117" s="6" t="n">
        <v>0</v>
      </c>
      <c r="M117" s="10" t="n"/>
      <c r="N117" s="6" t="n">
        <v>15</v>
      </c>
      <c r="O117" s="6" t="n">
        <v>825</v>
      </c>
      <c r="P117" s="6" t="n">
        <v>1</v>
      </c>
      <c r="Q117" s="6">
        <f>IF(OR(K117="On time",K117="Late",K117="Very late"),1,0)</f>
        <v/>
      </c>
    </row>
    <row r="118">
      <c r="A118" s="10" t="inlineStr">
        <is>
          <t>DN318323</t>
        </is>
      </c>
      <c r="B118" s="10" t="inlineStr">
        <is>
          <t>SO61997</t>
        </is>
      </c>
      <c r="C118" s="10" t="inlineStr">
        <is>
          <t>C12639</t>
        </is>
      </c>
      <c r="D118" s="10">
        <f>INDEX(Customers!$B:$B,MATCH(C118,Customers!$A:$A,0))</f>
        <v/>
      </c>
      <c r="E118" s="10">
        <f>INDEX(Customers!$D:$D,MATCH(C118,Customers!$A:$A,0))</f>
        <v/>
      </c>
      <c r="F118" s="10" t="inlineStr">
        <is>
          <t>Carrier B</t>
        </is>
      </c>
      <c r="G118" s="5" t="n">
        <v>46237</v>
      </c>
      <c r="H118" s="5" t="n">
        <v>46239</v>
      </c>
      <c r="I118" s="5" t="n">
        <v>46239</v>
      </c>
      <c r="J118" s="10" t="inlineStr">
        <is>
          <t>15:10</t>
        </is>
      </c>
      <c r="K118" s="10" t="inlineStr">
        <is>
          <t>On time</t>
        </is>
      </c>
      <c r="L118" s="6" t="n">
        <v>0</v>
      </c>
      <c r="M118" s="10" t="n"/>
      <c r="N118" s="6" t="n">
        <v>37</v>
      </c>
      <c r="O118" s="6" t="n">
        <v>5032</v>
      </c>
      <c r="P118" s="6" t="n">
        <v>1</v>
      </c>
      <c r="Q118" s="6">
        <f>IF(OR(K118="On time",K118="Late",K118="Very late"),1,0)</f>
        <v/>
      </c>
    </row>
    <row r="119">
      <c r="A119" s="10" t="inlineStr">
        <is>
          <t>DN318324</t>
        </is>
      </c>
      <c r="B119" s="10" t="inlineStr">
        <is>
          <t>SO61999</t>
        </is>
      </c>
      <c r="C119" s="10" t="inlineStr">
        <is>
          <t>C12675</t>
        </is>
      </c>
      <c r="D119" s="10">
        <f>INDEX(Customers!$B:$B,MATCH(C119,Customers!$A:$A,0))</f>
        <v/>
      </c>
      <c r="E119" s="10">
        <f>INDEX(Customers!$D:$D,MATCH(C119,Customers!$A:$A,0))</f>
        <v/>
      </c>
      <c r="F119" s="10" t="inlineStr">
        <is>
          <t>Carrier B</t>
        </is>
      </c>
      <c r="G119" s="5" t="n">
        <v>46237</v>
      </c>
      <c r="H119" s="5" t="n">
        <v>46239</v>
      </c>
      <c r="I119" s="5" t="n">
        <v>46239</v>
      </c>
      <c r="J119" s="10" t="inlineStr">
        <is>
          <t>07:40</t>
        </is>
      </c>
      <c r="K119" s="10" t="inlineStr">
        <is>
          <t>On time</t>
        </is>
      </c>
      <c r="L119" s="6" t="n">
        <v>0</v>
      </c>
      <c r="M119" s="10" t="n"/>
      <c r="N119" s="6" t="n">
        <v>24</v>
      </c>
      <c r="O119" s="6" t="n">
        <v>2016</v>
      </c>
      <c r="P119" s="6" t="n">
        <v>1</v>
      </c>
      <c r="Q119" s="6">
        <f>IF(OR(K119="On time",K119="Late",K119="Very late"),1,0)</f>
        <v/>
      </c>
    </row>
    <row r="120">
      <c r="A120" s="10" t="inlineStr">
        <is>
          <t>DN318325</t>
        </is>
      </c>
      <c r="B120" s="10" t="inlineStr">
        <is>
          <t>SO62000</t>
        </is>
      </c>
      <c r="C120" s="10" t="inlineStr">
        <is>
          <t>C10322</t>
        </is>
      </c>
      <c r="D120" s="10">
        <f>INDEX(Customers!$B:$B,MATCH(C120,Customers!$A:$A,0))</f>
        <v/>
      </c>
      <c r="E120" s="10">
        <f>INDEX(Customers!$D:$D,MATCH(C120,Customers!$A:$A,0))</f>
        <v/>
      </c>
      <c r="F120" s="10" t="inlineStr">
        <is>
          <t>Same-day courier</t>
        </is>
      </c>
      <c r="G120" s="5" t="n">
        <v>46239</v>
      </c>
      <c r="H120" s="5" t="n">
        <v>46240</v>
      </c>
      <c r="I120" s="5" t="n">
        <v>46240</v>
      </c>
      <c r="J120" s="10" t="inlineStr">
        <is>
          <t>08:30</t>
        </is>
      </c>
      <c r="K120" s="10" t="inlineStr">
        <is>
          <t>On time</t>
        </is>
      </c>
      <c r="L120" s="6" t="n">
        <v>0</v>
      </c>
      <c r="M120" s="10" t="n"/>
      <c r="N120" s="6" t="n">
        <v>13</v>
      </c>
      <c r="O120" s="6" t="n">
        <v>988</v>
      </c>
      <c r="P120" s="6" t="n">
        <v>1</v>
      </c>
      <c r="Q120" s="6">
        <f>IF(OR(K120="On time",K120="Late",K120="Very late"),1,0)</f>
        <v/>
      </c>
    </row>
    <row r="121">
      <c r="A121" s="10" t="inlineStr">
        <is>
          <t>DN318326</t>
        </is>
      </c>
      <c r="B121" s="10" t="inlineStr">
        <is>
          <t>SO62002</t>
        </is>
      </c>
      <c r="C121" s="10" t="inlineStr">
        <is>
          <t>C10343</t>
        </is>
      </c>
      <c r="D121" s="10">
        <f>INDEX(Customers!$B:$B,MATCH(C121,Customers!$A:$A,0))</f>
        <v/>
      </c>
      <c r="E121" s="10">
        <f>INDEX(Customers!$D:$D,MATCH(C121,Customers!$A:$A,0))</f>
        <v/>
      </c>
      <c r="F121" s="10" t="inlineStr">
        <is>
          <t>Own trucks</t>
        </is>
      </c>
      <c r="G121" s="5" t="n">
        <v>46239</v>
      </c>
      <c r="H121" s="5" t="n">
        <v>46240</v>
      </c>
      <c r="I121" s="5" t="n">
        <v>46240</v>
      </c>
      <c r="J121" s="10" t="inlineStr">
        <is>
          <t>11:50</t>
        </is>
      </c>
      <c r="K121" s="10" t="inlineStr">
        <is>
          <t>On time</t>
        </is>
      </c>
      <c r="L121" s="6" t="n">
        <v>0</v>
      </c>
      <c r="M121" s="10" t="n"/>
      <c r="N121" s="6" t="n">
        <v>12</v>
      </c>
      <c r="O121" s="6" t="n">
        <v>1368</v>
      </c>
      <c r="P121" s="6" t="n">
        <v>1</v>
      </c>
      <c r="Q121" s="6">
        <f>IF(OR(K121="On time",K121="Late",K121="Very late"),1,0)</f>
        <v/>
      </c>
    </row>
    <row r="122">
      <c r="A122" s="10" t="inlineStr">
        <is>
          <t>DN318327</t>
        </is>
      </c>
      <c r="B122" s="10" t="inlineStr">
        <is>
          <t>SO62003</t>
        </is>
      </c>
      <c r="C122" s="10" t="inlineStr">
        <is>
          <t>C10413</t>
        </is>
      </c>
      <c r="D122" s="10">
        <f>INDEX(Customers!$B:$B,MATCH(C122,Customers!$A:$A,0))</f>
        <v/>
      </c>
      <c r="E122" s="10">
        <f>INDEX(Customers!$D:$D,MATCH(C122,Customers!$A:$A,0))</f>
        <v/>
      </c>
      <c r="F122" s="10" t="inlineStr">
        <is>
          <t>Own trucks</t>
        </is>
      </c>
      <c r="G122" s="5" t="n">
        <v>46239</v>
      </c>
      <c r="H122" s="5" t="n">
        <v>46240</v>
      </c>
      <c r="I122" s="5" t="n">
        <v>46240</v>
      </c>
      <c r="J122" s="10" t="inlineStr">
        <is>
          <t>16:40</t>
        </is>
      </c>
      <c r="K122" s="10" t="inlineStr">
        <is>
          <t>On time</t>
        </is>
      </c>
      <c r="L122" s="6" t="n">
        <v>0</v>
      </c>
      <c r="M122" s="10" t="n"/>
      <c r="N122" s="6" t="n">
        <v>17</v>
      </c>
      <c r="O122" s="6" t="n">
        <v>1955</v>
      </c>
      <c r="P122" s="6" t="n">
        <v>1</v>
      </c>
      <c r="Q122" s="6">
        <f>IF(OR(K122="On time",K122="Late",K122="Very late"),1,0)</f>
        <v/>
      </c>
    </row>
    <row r="123">
      <c r="A123" s="10" t="inlineStr">
        <is>
          <t>DN318328</t>
        </is>
      </c>
      <c r="B123" s="10" t="inlineStr">
        <is>
          <t>SO62004</t>
        </is>
      </c>
      <c r="C123" s="10" t="inlineStr">
        <is>
          <t>C10446</t>
        </is>
      </c>
      <c r="D123" s="10">
        <f>INDEX(Customers!$B:$B,MATCH(C123,Customers!$A:$A,0))</f>
        <v/>
      </c>
      <c r="E123" s="10">
        <f>INDEX(Customers!$D:$D,MATCH(C123,Customers!$A:$A,0))</f>
        <v/>
      </c>
      <c r="F123" s="10" t="inlineStr">
        <is>
          <t>Own trucks</t>
        </is>
      </c>
      <c r="G123" s="5" t="n">
        <v>46239</v>
      </c>
      <c r="H123" s="5" t="n">
        <v>46240</v>
      </c>
      <c r="I123" s="5" t="n">
        <v>46240</v>
      </c>
      <c r="J123" s="10" t="inlineStr">
        <is>
          <t>15:00</t>
        </is>
      </c>
      <c r="K123" s="10" t="inlineStr">
        <is>
          <t>On time</t>
        </is>
      </c>
      <c r="L123" s="6" t="n">
        <v>0</v>
      </c>
      <c r="M123" s="10" t="n"/>
      <c r="N123" s="6" t="n">
        <v>10</v>
      </c>
      <c r="O123" s="6" t="n">
        <v>550</v>
      </c>
      <c r="P123" s="6" t="n">
        <v>1</v>
      </c>
      <c r="Q123" s="6">
        <f>IF(OR(K123="On time",K123="Late",K123="Very late"),1,0)</f>
        <v/>
      </c>
    </row>
    <row r="124">
      <c r="A124" s="10" t="inlineStr">
        <is>
          <t>DN318329</t>
        </is>
      </c>
      <c r="B124" s="10" t="inlineStr">
        <is>
          <t>SO62005</t>
        </is>
      </c>
      <c r="C124" s="10" t="inlineStr">
        <is>
          <t>C10515</t>
        </is>
      </c>
      <c r="D124" s="10">
        <f>INDEX(Customers!$B:$B,MATCH(C124,Customers!$A:$A,0))</f>
        <v/>
      </c>
      <c r="E124" s="10">
        <f>INDEX(Customers!$D:$D,MATCH(C124,Customers!$A:$A,0))</f>
        <v/>
      </c>
      <c r="F124" s="10" t="inlineStr">
        <is>
          <t>Own trucks</t>
        </is>
      </c>
      <c r="G124" s="5" t="n">
        <v>46239</v>
      </c>
      <c r="H124" s="5" t="n">
        <v>46240</v>
      </c>
      <c r="I124" s="5" t="n">
        <v>46240</v>
      </c>
      <c r="J124" s="10" t="inlineStr">
        <is>
          <t>16:20</t>
        </is>
      </c>
      <c r="K124" s="10" t="inlineStr">
        <is>
          <t>On time</t>
        </is>
      </c>
      <c r="L124" s="6" t="n">
        <v>0</v>
      </c>
      <c r="M124" s="10" t="n"/>
      <c r="N124" s="6" t="n">
        <v>34</v>
      </c>
      <c r="O124" s="6" t="n">
        <v>3400</v>
      </c>
      <c r="P124" s="6" t="n">
        <v>1</v>
      </c>
      <c r="Q124" s="6">
        <f>IF(OR(K124="On time",K124="Late",K124="Very late"),1,0)</f>
        <v/>
      </c>
    </row>
    <row r="125">
      <c r="A125" s="10" t="inlineStr">
        <is>
          <t>DN318330</t>
        </is>
      </c>
      <c r="B125" s="10" t="inlineStr">
        <is>
          <t>SO62006</t>
        </is>
      </c>
      <c r="C125" s="10" t="inlineStr">
        <is>
          <t>C10522</t>
        </is>
      </c>
      <c r="D125" s="10">
        <f>INDEX(Customers!$B:$B,MATCH(C125,Customers!$A:$A,0))</f>
        <v/>
      </c>
      <c r="E125" s="10">
        <f>INDEX(Customers!$D:$D,MATCH(C125,Customers!$A:$A,0))</f>
        <v/>
      </c>
      <c r="F125" s="10" t="inlineStr">
        <is>
          <t>Same-day courier</t>
        </is>
      </c>
      <c r="G125" s="5" t="n">
        <v>46239</v>
      </c>
      <c r="H125" s="5" t="n">
        <v>46240</v>
      </c>
      <c r="I125" s="5" t="n">
        <v>46240</v>
      </c>
      <c r="J125" s="10" t="inlineStr">
        <is>
          <t>08:30</t>
        </is>
      </c>
      <c r="K125" s="10" t="inlineStr">
        <is>
          <t>On time</t>
        </is>
      </c>
      <c r="L125" s="6" t="n">
        <v>0</v>
      </c>
      <c r="M125" s="10" t="n"/>
      <c r="N125" s="6" t="n">
        <v>17</v>
      </c>
      <c r="O125" s="6" t="n">
        <v>1581</v>
      </c>
      <c r="P125" s="6" t="n">
        <v>1</v>
      </c>
      <c r="Q125" s="6">
        <f>IF(OR(K125="On time",K125="Late",K125="Very late"),1,0)</f>
        <v/>
      </c>
    </row>
    <row r="126">
      <c r="A126" s="10" t="inlineStr">
        <is>
          <t>DN318331</t>
        </is>
      </c>
      <c r="B126" s="10" t="inlineStr">
        <is>
          <t>SO62007</t>
        </is>
      </c>
      <c r="C126" s="10" t="inlineStr">
        <is>
          <t>C10536</t>
        </is>
      </c>
      <c r="D126" s="10">
        <f>INDEX(Customers!$B:$B,MATCH(C126,Customers!$A:$A,0))</f>
        <v/>
      </c>
      <c r="E126" s="10">
        <f>INDEX(Customers!$D:$D,MATCH(C126,Customers!$A:$A,0))</f>
        <v/>
      </c>
      <c r="F126" s="10" t="inlineStr">
        <is>
          <t>Own trucks</t>
        </is>
      </c>
      <c r="G126" s="5" t="n">
        <v>46239</v>
      </c>
      <c r="H126" s="5" t="n">
        <v>46240</v>
      </c>
      <c r="I126" s="5" t="n">
        <v>46240</v>
      </c>
      <c r="J126" s="10" t="inlineStr">
        <is>
          <t>09:20</t>
        </is>
      </c>
      <c r="K126" s="10" t="inlineStr">
        <is>
          <t>On time</t>
        </is>
      </c>
      <c r="L126" s="6" t="n">
        <v>0</v>
      </c>
      <c r="M126" s="10" t="n"/>
      <c r="N126" s="6" t="n">
        <v>36</v>
      </c>
      <c r="O126" s="6" t="n">
        <v>2016</v>
      </c>
      <c r="P126" s="6" t="n">
        <v>1</v>
      </c>
      <c r="Q126" s="6">
        <f>IF(OR(K126="On time",K126="Late",K126="Very late"),1,0)</f>
        <v/>
      </c>
    </row>
    <row r="127">
      <c r="A127" s="10" t="inlineStr">
        <is>
          <t>DN318332</t>
        </is>
      </c>
      <c r="B127" s="10" t="inlineStr">
        <is>
          <t>SO62008</t>
        </is>
      </c>
      <c r="C127" s="10" t="inlineStr">
        <is>
          <t>C10589</t>
        </is>
      </c>
      <c r="D127" s="10">
        <f>INDEX(Customers!$B:$B,MATCH(C127,Customers!$A:$A,0))</f>
        <v/>
      </c>
      <c r="E127" s="10">
        <f>INDEX(Customers!$D:$D,MATCH(C127,Customers!$A:$A,0))</f>
        <v/>
      </c>
      <c r="F127" s="10" t="inlineStr">
        <is>
          <t>Own trucks</t>
        </is>
      </c>
      <c r="G127" s="5" t="n">
        <v>46239</v>
      </c>
      <c r="H127" s="5" t="n">
        <v>46240</v>
      </c>
      <c r="I127" s="5" t="n">
        <v>46240</v>
      </c>
      <c r="J127" s="10" t="inlineStr">
        <is>
          <t>16:00</t>
        </is>
      </c>
      <c r="K127" s="10" t="inlineStr">
        <is>
          <t>On time</t>
        </is>
      </c>
      <c r="L127" s="6" t="n">
        <v>0</v>
      </c>
      <c r="M127" s="10" t="n"/>
      <c r="N127" s="6" t="n">
        <v>17</v>
      </c>
      <c r="O127" s="6" t="n">
        <v>2380</v>
      </c>
      <c r="P127" s="6" t="n">
        <v>1</v>
      </c>
      <c r="Q127" s="6">
        <f>IF(OR(K127="On time",K127="Late",K127="Very late"),1,0)</f>
        <v/>
      </c>
    </row>
    <row r="128">
      <c r="A128" s="10" t="inlineStr">
        <is>
          <t>DN318333</t>
        </is>
      </c>
      <c r="B128" s="10" t="inlineStr">
        <is>
          <t>SO62009</t>
        </is>
      </c>
      <c r="C128" s="10" t="inlineStr">
        <is>
          <t>C10676</t>
        </is>
      </c>
      <c r="D128" s="10">
        <f>INDEX(Customers!$B:$B,MATCH(C128,Customers!$A:$A,0))</f>
        <v/>
      </c>
      <c r="E128" s="10">
        <f>INDEX(Customers!$D:$D,MATCH(C128,Customers!$A:$A,0))</f>
        <v/>
      </c>
      <c r="F128" s="10" t="inlineStr">
        <is>
          <t>Own trucks</t>
        </is>
      </c>
      <c r="G128" s="5" t="n">
        <v>46239</v>
      </c>
      <c r="H128" s="5" t="n">
        <v>46240</v>
      </c>
      <c r="I128" s="5" t="n">
        <v>46240</v>
      </c>
      <c r="J128" s="10" t="inlineStr">
        <is>
          <t>08:00</t>
        </is>
      </c>
      <c r="K128" s="10" t="inlineStr">
        <is>
          <t>On time</t>
        </is>
      </c>
      <c r="L128" s="6" t="n">
        <v>0</v>
      </c>
      <c r="M128" s="10" t="n"/>
      <c r="N128" s="6" t="n">
        <v>10</v>
      </c>
      <c r="O128" s="6" t="n">
        <v>550</v>
      </c>
      <c r="P128" s="6" t="n">
        <v>1</v>
      </c>
      <c r="Q128" s="6">
        <f>IF(OR(K128="On time",K128="Late",K128="Very late"),1,0)</f>
        <v/>
      </c>
    </row>
    <row r="129">
      <c r="A129" s="10" t="inlineStr">
        <is>
          <t>DN318334</t>
        </is>
      </c>
      <c r="B129" s="10" t="inlineStr">
        <is>
          <t>SO62011</t>
        </is>
      </c>
      <c r="C129" s="10" t="inlineStr">
        <is>
          <t>C10684</t>
        </is>
      </c>
      <c r="D129" s="10">
        <f>INDEX(Customers!$B:$B,MATCH(C129,Customers!$A:$A,0))</f>
        <v/>
      </c>
      <c r="E129" s="10">
        <f>INDEX(Customers!$D:$D,MATCH(C129,Customers!$A:$A,0))</f>
        <v/>
      </c>
      <c r="F129" s="10" t="inlineStr">
        <is>
          <t>Own trucks</t>
        </is>
      </c>
      <c r="G129" s="5" t="n">
        <v>46239</v>
      </c>
      <c r="H129" s="5" t="n">
        <v>46240</v>
      </c>
      <c r="I129" s="5" t="n">
        <v>46240</v>
      </c>
      <c r="J129" s="10" t="inlineStr">
        <is>
          <t>11:00</t>
        </is>
      </c>
      <c r="K129" s="10" t="inlineStr">
        <is>
          <t>On time</t>
        </is>
      </c>
      <c r="L129" s="6" t="n">
        <v>0</v>
      </c>
      <c r="M129" s="10" t="n"/>
      <c r="N129" s="6" t="n">
        <v>30</v>
      </c>
      <c r="O129" s="6" t="n">
        <v>3960</v>
      </c>
      <c r="P129" s="6" t="n">
        <v>1</v>
      </c>
      <c r="Q129" s="6">
        <f>IF(OR(K129="On time",K129="Late",K129="Very late"),1,0)</f>
        <v/>
      </c>
    </row>
    <row r="130">
      <c r="A130" s="10" t="inlineStr">
        <is>
          <t>DN318335</t>
        </is>
      </c>
      <c r="B130" s="10" t="inlineStr">
        <is>
          <t>SO62012</t>
        </is>
      </c>
      <c r="C130" s="10" t="inlineStr">
        <is>
          <t>C10689</t>
        </is>
      </c>
      <c r="D130" s="10">
        <f>INDEX(Customers!$B:$B,MATCH(C130,Customers!$A:$A,0))</f>
        <v/>
      </c>
      <c r="E130" s="10">
        <f>INDEX(Customers!$D:$D,MATCH(C130,Customers!$A:$A,0))</f>
        <v/>
      </c>
      <c r="F130" s="10" t="inlineStr">
        <is>
          <t>Own trucks</t>
        </is>
      </c>
      <c r="G130" s="5" t="n">
        <v>46239</v>
      </c>
      <c r="H130" s="5" t="n">
        <v>46240</v>
      </c>
      <c r="I130" s="5" t="n">
        <v>46240</v>
      </c>
      <c r="J130" s="10" t="inlineStr">
        <is>
          <t>07:30</t>
        </is>
      </c>
      <c r="K130" s="10" t="inlineStr">
        <is>
          <t>On time</t>
        </is>
      </c>
      <c r="L130" s="6" t="n">
        <v>0</v>
      </c>
      <c r="M130" s="10" t="n"/>
      <c r="N130" s="6" t="n">
        <v>39</v>
      </c>
      <c r="O130" s="6" t="n">
        <v>2730</v>
      </c>
      <c r="P130" s="6" t="n">
        <v>1</v>
      </c>
      <c r="Q130" s="6">
        <f>IF(OR(K130="On time",K130="Late",K130="Very late"),1,0)</f>
        <v/>
      </c>
    </row>
    <row r="131">
      <c r="A131" s="10" t="inlineStr">
        <is>
          <t>DN318336</t>
        </is>
      </c>
      <c r="B131" s="10" t="inlineStr">
        <is>
          <t>SO62013</t>
        </is>
      </c>
      <c r="C131" s="10" t="inlineStr">
        <is>
          <t>C10796</t>
        </is>
      </c>
      <c r="D131" s="10">
        <f>INDEX(Customers!$B:$B,MATCH(C131,Customers!$A:$A,0))</f>
        <v/>
      </c>
      <c r="E131" s="10">
        <f>INDEX(Customers!$D:$D,MATCH(C131,Customers!$A:$A,0))</f>
        <v/>
      </c>
      <c r="F131" s="10" t="inlineStr">
        <is>
          <t>Own trucks</t>
        </is>
      </c>
      <c r="G131" s="5" t="n">
        <v>46239</v>
      </c>
      <c r="H131" s="5" t="n">
        <v>46240</v>
      </c>
      <c r="I131" s="5" t="n">
        <v>46240</v>
      </c>
      <c r="J131" s="10" t="inlineStr">
        <is>
          <t>13:20</t>
        </is>
      </c>
      <c r="K131" s="10" t="inlineStr">
        <is>
          <t>On time</t>
        </is>
      </c>
      <c r="L131" s="6" t="n">
        <v>0</v>
      </c>
      <c r="M131" s="10" t="n"/>
      <c r="N131" s="6" t="n">
        <v>30</v>
      </c>
      <c r="O131" s="6" t="n">
        <v>3330</v>
      </c>
      <c r="P131" s="6" t="n">
        <v>1</v>
      </c>
      <c r="Q131" s="6">
        <f>IF(OR(K131="On time",K131="Late",K131="Very late"),1,0)</f>
        <v/>
      </c>
    </row>
    <row r="132">
      <c r="A132" s="10" t="inlineStr">
        <is>
          <t>DN318337</t>
        </is>
      </c>
      <c r="B132" s="10" t="inlineStr">
        <is>
          <t>SO62014</t>
        </is>
      </c>
      <c r="C132" s="10" t="inlineStr">
        <is>
          <t>C10915</t>
        </is>
      </c>
      <c r="D132" s="10">
        <f>INDEX(Customers!$B:$B,MATCH(C132,Customers!$A:$A,0))</f>
        <v/>
      </c>
      <c r="E132" s="10">
        <f>INDEX(Customers!$D:$D,MATCH(C132,Customers!$A:$A,0))</f>
        <v/>
      </c>
      <c r="F132" s="10" t="inlineStr">
        <is>
          <t>Own trucks</t>
        </is>
      </c>
      <c r="G132" s="5" t="n">
        <v>46239</v>
      </c>
      <c r="H132" s="5" t="n">
        <v>46240</v>
      </c>
      <c r="I132" s="5" t="n">
        <v>46240</v>
      </c>
      <c r="J132" s="10" t="inlineStr">
        <is>
          <t>13:30</t>
        </is>
      </c>
      <c r="K132" s="10" t="inlineStr">
        <is>
          <t>On time</t>
        </is>
      </c>
      <c r="L132" s="6" t="n">
        <v>0</v>
      </c>
      <c r="M132" s="10" t="n"/>
      <c r="N132" s="6" t="n">
        <v>20</v>
      </c>
      <c r="O132" s="6" t="n">
        <v>1900</v>
      </c>
      <c r="P132" s="6" t="n">
        <v>1</v>
      </c>
      <c r="Q132" s="6">
        <f>IF(OR(K132="On time",K132="Late",K132="Very late"),1,0)</f>
        <v/>
      </c>
    </row>
    <row r="133">
      <c r="A133" s="10" t="inlineStr">
        <is>
          <t>DN318338</t>
        </is>
      </c>
      <c r="B133" s="10" t="inlineStr">
        <is>
          <t>SO62015</t>
        </is>
      </c>
      <c r="C133" s="10" t="inlineStr">
        <is>
          <t>C10982</t>
        </is>
      </c>
      <c r="D133" s="10">
        <f>INDEX(Customers!$B:$B,MATCH(C133,Customers!$A:$A,0))</f>
        <v/>
      </c>
      <c r="E133" s="10">
        <f>INDEX(Customers!$D:$D,MATCH(C133,Customers!$A:$A,0))</f>
        <v/>
      </c>
      <c r="F133" s="10" t="inlineStr">
        <is>
          <t>Own trucks</t>
        </is>
      </c>
      <c r="G133" s="5" t="n">
        <v>46239</v>
      </c>
      <c r="H133" s="5" t="n">
        <v>46240</v>
      </c>
      <c r="I133" s="5" t="n">
        <v>46240</v>
      </c>
      <c r="J133" s="10" t="inlineStr">
        <is>
          <t>10:10</t>
        </is>
      </c>
      <c r="K133" s="10" t="inlineStr">
        <is>
          <t>On time</t>
        </is>
      </c>
      <c r="L133" s="6" t="n">
        <v>0</v>
      </c>
      <c r="M133" s="10" t="n"/>
      <c r="N133" s="6" t="n">
        <v>20</v>
      </c>
      <c r="O133" s="6" t="n">
        <v>2120</v>
      </c>
      <c r="P133" s="6" t="n">
        <v>1</v>
      </c>
      <c r="Q133" s="6">
        <f>IF(OR(K133="On time",K133="Late",K133="Very late"),1,0)</f>
        <v/>
      </c>
    </row>
    <row r="134">
      <c r="A134" s="10" t="inlineStr">
        <is>
          <t>DN318339</t>
        </is>
      </c>
      <c r="B134" s="10" t="inlineStr">
        <is>
          <t>SO62016</t>
        </is>
      </c>
      <c r="C134" s="10" t="inlineStr">
        <is>
          <t>C11107</t>
        </is>
      </c>
      <c r="D134" s="10">
        <f>INDEX(Customers!$B:$B,MATCH(C134,Customers!$A:$A,0))</f>
        <v/>
      </c>
      <c r="E134" s="10">
        <f>INDEX(Customers!$D:$D,MATCH(C134,Customers!$A:$A,0))</f>
        <v/>
      </c>
      <c r="F134" s="10" t="inlineStr">
        <is>
          <t>Own trucks</t>
        </is>
      </c>
      <c r="G134" s="5" t="n">
        <v>46239</v>
      </c>
      <c r="H134" s="5" t="n">
        <v>46240</v>
      </c>
      <c r="I134" s="5" t="n">
        <v>46240</v>
      </c>
      <c r="J134" s="10" t="inlineStr">
        <is>
          <t>10:30</t>
        </is>
      </c>
      <c r="K134" s="10" t="inlineStr">
        <is>
          <t>On time</t>
        </is>
      </c>
      <c r="L134" s="6" t="n">
        <v>0</v>
      </c>
      <c r="M134" s="10" t="n"/>
      <c r="N134" s="6" t="n">
        <v>10</v>
      </c>
      <c r="O134" s="6" t="n">
        <v>1310</v>
      </c>
      <c r="P134" s="6" t="n">
        <v>1</v>
      </c>
      <c r="Q134" s="6">
        <f>IF(OR(K134="On time",K134="Late",K134="Very late"),1,0)</f>
        <v/>
      </c>
    </row>
    <row r="135">
      <c r="A135" s="10" t="inlineStr">
        <is>
          <t>DN318340</t>
        </is>
      </c>
      <c r="B135" s="10" t="inlineStr">
        <is>
          <t>SO62018</t>
        </is>
      </c>
      <c r="C135" s="10" t="inlineStr">
        <is>
          <t>C11143</t>
        </is>
      </c>
      <c r="D135" s="10">
        <f>INDEX(Customers!$B:$B,MATCH(C135,Customers!$A:$A,0))</f>
        <v/>
      </c>
      <c r="E135" s="10">
        <f>INDEX(Customers!$D:$D,MATCH(C135,Customers!$A:$A,0))</f>
        <v/>
      </c>
      <c r="F135" s="10" t="inlineStr">
        <is>
          <t>Own trucks</t>
        </is>
      </c>
      <c r="G135" s="5" t="n">
        <v>46239</v>
      </c>
      <c r="H135" s="5" t="n">
        <v>46240</v>
      </c>
      <c r="I135" s="5" t="n">
        <v>46240</v>
      </c>
      <c r="J135" s="10" t="inlineStr">
        <is>
          <t>15:20</t>
        </is>
      </c>
      <c r="K135" s="10" t="inlineStr">
        <is>
          <t>On time</t>
        </is>
      </c>
      <c r="L135" s="6" t="n">
        <v>0</v>
      </c>
      <c r="M135" s="10" t="n"/>
      <c r="N135" s="6" t="n">
        <v>36</v>
      </c>
      <c r="O135" s="6" t="n">
        <v>4428</v>
      </c>
      <c r="P135" s="6" t="n">
        <v>1</v>
      </c>
      <c r="Q135" s="6">
        <f>IF(OR(K135="On time",K135="Late",K135="Very late"),1,0)</f>
        <v/>
      </c>
    </row>
    <row r="136">
      <c r="A136" s="10" t="inlineStr">
        <is>
          <t>DN318341</t>
        </is>
      </c>
      <c r="B136" s="10" t="inlineStr">
        <is>
          <t>SO62020</t>
        </is>
      </c>
      <c r="C136" s="10" t="inlineStr">
        <is>
          <t>C11247</t>
        </is>
      </c>
      <c r="D136" s="10">
        <f>INDEX(Customers!$B:$B,MATCH(C136,Customers!$A:$A,0))</f>
        <v/>
      </c>
      <c r="E136" s="10">
        <f>INDEX(Customers!$D:$D,MATCH(C136,Customers!$A:$A,0))</f>
        <v/>
      </c>
      <c r="F136" s="10" t="inlineStr">
        <is>
          <t>Own trucks</t>
        </is>
      </c>
      <c r="G136" s="5" t="n">
        <v>46239</v>
      </c>
      <c r="H136" s="5" t="n">
        <v>46240</v>
      </c>
      <c r="I136" s="5" t="n">
        <v>46240</v>
      </c>
      <c r="J136" s="10" t="inlineStr">
        <is>
          <t>10:10</t>
        </is>
      </c>
      <c r="K136" s="10" t="inlineStr">
        <is>
          <t>On time</t>
        </is>
      </c>
      <c r="L136" s="6" t="n">
        <v>0</v>
      </c>
      <c r="M136" s="10" t="n"/>
      <c r="N136" s="6" t="n">
        <v>34</v>
      </c>
      <c r="O136" s="6" t="n">
        <v>3162</v>
      </c>
      <c r="P136" s="6" t="n">
        <v>1</v>
      </c>
      <c r="Q136" s="6">
        <f>IF(OR(K136="On time",K136="Late",K136="Very late"),1,0)</f>
        <v/>
      </c>
    </row>
    <row r="137">
      <c r="A137" s="10" t="inlineStr">
        <is>
          <t>DN318342</t>
        </is>
      </c>
      <c r="B137" s="10" t="inlineStr">
        <is>
          <t>SO62021</t>
        </is>
      </c>
      <c r="C137" s="10" t="inlineStr">
        <is>
          <t>C11264</t>
        </is>
      </c>
      <c r="D137" s="10">
        <f>INDEX(Customers!$B:$B,MATCH(C137,Customers!$A:$A,0))</f>
        <v/>
      </c>
      <c r="E137" s="10">
        <f>INDEX(Customers!$D:$D,MATCH(C137,Customers!$A:$A,0))</f>
        <v/>
      </c>
      <c r="F137" s="10" t="inlineStr">
        <is>
          <t>Own trucks</t>
        </is>
      </c>
      <c r="G137" s="5" t="n">
        <v>46239</v>
      </c>
      <c r="H137" s="5" t="n">
        <v>46240</v>
      </c>
      <c r="I137" s="5" t="n">
        <v>46240</v>
      </c>
      <c r="J137" s="10" t="inlineStr">
        <is>
          <t>09:30</t>
        </is>
      </c>
      <c r="K137" s="10" t="inlineStr">
        <is>
          <t>On time</t>
        </is>
      </c>
      <c r="L137" s="6" t="n">
        <v>0</v>
      </c>
      <c r="M137" s="10" t="n"/>
      <c r="N137" s="6" t="n">
        <v>39</v>
      </c>
      <c r="O137" s="6" t="n">
        <v>2769</v>
      </c>
      <c r="P137" s="6" t="n">
        <v>1</v>
      </c>
      <c r="Q137" s="6">
        <f>IF(OR(K137="On time",K137="Late",K137="Very late"),1,0)</f>
        <v/>
      </c>
    </row>
    <row r="138">
      <c r="A138" s="10" t="inlineStr">
        <is>
          <t>DN318343</t>
        </is>
      </c>
      <c r="B138" s="10" t="inlineStr">
        <is>
          <t>SO62022</t>
        </is>
      </c>
      <c r="C138" s="10" t="inlineStr">
        <is>
          <t>C11314</t>
        </is>
      </c>
      <c r="D138" s="10">
        <f>INDEX(Customers!$B:$B,MATCH(C138,Customers!$A:$A,0))</f>
        <v/>
      </c>
      <c r="E138" s="10">
        <f>INDEX(Customers!$D:$D,MATCH(C138,Customers!$A:$A,0))</f>
        <v/>
      </c>
      <c r="F138" s="10" t="inlineStr">
        <is>
          <t>Own trucks</t>
        </is>
      </c>
      <c r="G138" s="5" t="n">
        <v>46239</v>
      </c>
      <c r="H138" s="5" t="n">
        <v>46240</v>
      </c>
      <c r="I138" s="5" t="n">
        <v>46240</v>
      </c>
      <c r="J138" s="10" t="inlineStr">
        <is>
          <t>07:40</t>
        </is>
      </c>
      <c r="K138" s="10" t="inlineStr">
        <is>
          <t>On time</t>
        </is>
      </c>
      <c r="L138" s="6" t="n">
        <v>0</v>
      </c>
      <c r="M138" s="10" t="n"/>
      <c r="N138" s="6" t="n">
        <v>21</v>
      </c>
      <c r="O138" s="6" t="n">
        <v>1239</v>
      </c>
      <c r="P138" s="6" t="n">
        <v>1</v>
      </c>
      <c r="Q138" s="6">
        <f>IF(OR(K138="On time",K138="Late",K138="Very late"),1,0)</f>
        <v/>
      </c>
    </row>
    <row r="139">
      <c r="A139" s="10" t="inlineStr">
        <is>
          <t>DN318344</t>
        </is>
      </c>
      <c r="B139" s="10" t="inlineStr">
        <is>
          <t>SO62023</t>
        </is>
      </c>
      <c r="C139" s="10" t="inlineStr">
        <is>
          <t>C11333</t>
        </is>
      </c>
      <c r="D139" s="10">
        <f>INDEX(Customers!$B:$B,MATCH(C139,Customers!$A:$A,0))</f>
        <v/>
      </c>
      <c r="E139" s="10">
        <f>INDEX(Customers!$D:$D,MATCH(C139,Customers!$A:$A,0))</f>
        <v/>
      </c>
      <c r="F139" s="10" t="inlineStr">
        <is>
          <t>Own trucks</t>
        </is>
      </c>
      <c r="G139" s="5" t="n">
        <v>46239</v>
      </c>
      <c r="H139" s="5" t="n">
        <v>46240</v>
      </c>
      <c r="I139" s="5" t="n">
        <v>46240</v>
      </c>
      <c r="J139" s="10" t="inlineStr">
        <is>
          <t>13:10</t>
        </is>
      </c>
      <c r="K139" s="10" t="inlineStr">
        <is>
          <t>On time</t>
        </is>
      </c>
      <c r="L139" s="6" t="n">
        <v>0</v>
      </c>
      <c r="M139" s="10" t="n"/>
      <c r="N139" s="6" t="n">
        <v>36</v>
      </c>
      <c r="O139" s="6" t="n">
        <v>4320</v>
      </c>
      <c r="P139" s="6" t="n">
        <v>1</v>
      </c>
      <c r="Q139" s="6">
        <f>IF(OR(K139="On time",K139="Late",K139="Very late"),1,0)</f>
        <v/>
      </c>
    </row>
    <row r="140">
      <c r="A140" s="10" t="inlineStr">
        <is>
          <t>DN318345</t>
        </is>
      </c>
      <c r="B140" s="10" t="inlineStr">
        <is>
          <t>SO62024</t>
        </is>
      </c>
      <c r="C140" s="10" t="inlineStr">
        <is>
          <t>C11518</t>
        </is>
      </c>
      <c r="D140" s="10">
        <f>INDEX(Customers!$B:$B,MATCH(C140,Customers!$A:$A,0))</f>
        <v/>
      </c>
      <c r="E140" s="10">
        <f>INDEX(Customers!$D:$D,MATCH(C140,Customers!$A:$A,0))</f>
        <v/>
      </c>
      <c r="F140" s="10" t="inlineStr">
        <is>
          <t>Own trucks</t>
        </is>
      </c>
      <c r="G140" s="5" t="n">
        <v>46239</v>
      </c>
      <c r="H140" s="5" t="n">
        <v>46240</v>
      </c>
      <c r="I140" s="5" t="n">
        <v>46240</v>
      </c>
      <c r="J140" s="10" t="inlineStr">
        <is>
          <t>12:30</t>
        </is>
      </c>
      <c r="K140" s="10" t="inlineStr">
        <is>
          <t>On time</t>
        </is>
      </c>
      <c r="L140" s="6" t="n">
        <v>0</v>
      </c>
      <c r="M140" s="10" t="n"/>
      <c r="N140" s="6" t="n">
        <v>35</v>
      </c>
      <c r="O140" s="6" t="n">
        <v>2905</v>
      </c>
      <c r="P140" s="6" t="n">
        <v>0</v>
      </c>
      <c r="Q140" s="6">
        <f>IF(OR(K140="On time",K140="Late",K140="Very late"),1,0)</f>
        <v/>
      </c>
    </row>
    <row r="141">
      <c r="A141" s="10" t="inlineStr">
        <is>
          <t>DN318346</t>
        </is>
      </c>
      <c r="B141" s="10" t="inlineStr">
        <is>
          <t>SO62025</t>
        </is>
      </c>
      <c r="C141" s="10" t="inlineStr">
        <is>
          <t>C11579</t>
        </is>
      </c>
      <c r="D141" s="10">
        <f>INDEX(Customers!$B:$B,MATCH(C141,Customers!$A:$A,0))</f>
        <v/>
      </c>
      <c r="E141" s="10">
        <f>INDEX(Customers!$D:$D,MATCH(C141,Customers!$A:$A,0))</f>
        <v/>
      </c>
      <c r="F141" s="10" t="inlineStr">
        <is>
          <t>Own trucks</t>
        </is>
      </c>
      <c r="G141" s="5" t="n">
        <v>46239</v>
      </c>
      <c r="H141" s="5" t="n">
        <v>46240</v>
      </c>
      <c r="I141" s="5" t="n">
        <v>46240</v>
      </c>
      <c r="J141" s="10" t="inlineStr">
        <is>
          <t>12:10</t>
        </is>
      </c>
      <c r="K141" s="10" t="inlineStr">
        <is>
          <t>On time</t>
        </is>
      </c>
      <c r="L141" s="6" t="n">
        <v>0</v>
      </c>
      <c r="M141" s="10" t="n"/>
      <c r="N141" s="6" t="n">
        <v>37</v>
      </c>
      <c r="O141" s="6" t="n">
        <v>4773</v>
      </c>
      <c r="P141" s="6" t="n">
        <v>1</v>
      </c>
      <c r="Q141" s="6">
        <f>IF(OR(K141="On time",K141="Late",K141="Very late"),1,0)</f>
        <v/>
      </c>
    </row>
    <row r="142">
      <c r="A142" s="10" t="inlineStr">
        <is>
          <t>DN318347</t>
        </is>
      </c>
      <c r="B142" s="10" t="inlineStr">
        <is>
          <t>SO62026</t>
        </is>
      </c>
      <c r="C142" s="10" t="inlineStr">
        <is>
          <t>C11666</t>
        </is>
      </c>
      <c r="D142" s="10">
        <f>INDEX(Customers!$B:$B,MATCH(C142,Customers!$A:$A,0))</f>
        <v/>
      </c>
      <c r="E142" s="10">
        <f>INDEX(Customers!$D:$D,MATCH(C142,Customers!$A:$A,0))</f>
        <v/>
      </c>
      <c r="F142" s="10" t="inlineStr">
        <is>
          <t>Own trucks</t>
        </is>
      </c>
      <c r="G142" s="5" t="n">
        <v>46239</v>
      </c>
      <c r="H142" s="5" t="n">
        <v>46240</v>
      </c>
      <c r="I142" s="5" t="n">
        <v>46241</v>
      </c>
      <c r="J142" s="10" t="inlineStr">
        <is>
          <t>16:30</t>
        </is>
      </c>
      <c r="K142" s="10" t="inlineStr">
        <is>
          <t>Late</t>
        </is>
      </c>
      <c r="L142" s="6" t="n">
        <v>1</v>
      </c>
      <c r="M142" s="10" t="inlineStr">
        <is>
          <t>Carrier delay</t>
        </is>
      </c>
      <c r="N142" s="6" t="n">
        <v>32</v>
      </c>
      <c r="O142" s="6" t="n">
        <v>2400</v>
      </c>
      <c r="P142" s="6" t="n">
        <v>1</v>
      </c>
      <c r="Q142" s="6">
        <f>IF(OR(K142="On time",K142="Late",K142="Very late"),1,0)</f>
        <v/>
      </c>
    </row>
    <row r="143">
      <c r="A143" s="10" t="inlineStr">
        <is>
          <t>DN318348</t>
        </is>
      </c>
      <c r="B143" s="10" t="inlineStr">
        <is>
          <t>SO62027</t>
        </is>
      </c>
      <c r="C143" s="10" t="inlineStr">
        <is>
          <t>C11718</t>
        </is>
      </c>
      <c r="D143" s="10">
        <f>INDEX(Customers!$B:$B,MATCH(C143,Customers!$A:$A,0))</f>
        <v/>
      </c>
      <c r="E143" s="10">
        <f>INDEX(Customers!$D:$D,MATCH(C143,Customers!$A:$A,0))</f>
        <v/>
      </c>
      <c r="F143" s="10" t="inlineStr">
        <is>
          <t>Own trucks</t>
        </is>
      </c>
      <c r="G143" s="5" t="n">
        <v>46239</v>
      </c>
      <c r="H143" s="5" t="n">
        <v>46240</v>
      </c>
      <c r="I143" s="5" t="n">
        <v>46241</v>
      </c>
      <c r="J143" s="10" t="inlineStr">
        <is>
          <t>10:30</t>
        </is>
      </c>
      <c r="K143" s="10" t="inlineStr">
        <is>
          <t>Late</t>
        </is>
      </c>
      <c r="L143" s="6" t="n">
        <v>1</v>
      </c>
      <c r="M143" s="10" t="inlineStr">
        <is>
          <t>Carrier delay</t>
        </is>
      </c>
      <c r="N143" s="6" t="n">
        <v>9</v>
      </c>
      <c r="O143" s="6" t="n">
        <v>1017</v>
      </c>
      <c r="P143" s="6" t="n">
        <v>1</v>
      </c>
      <c r="Q143" s="6">
        <f>IF(OR(K143="On time",K143="Late",K143="Very late"),1,0)</f>
        <v/>
      </c>
    </row>
    <row r="144">
      <c r="A144" s="10" t="inlineStr">
        <is>
          <t>DN318349</t>
        </is>
      </c>
      <c r="B144" s="10" t="inlineStr">
        <is>
          <t>SO62028</t>
        </is>
      </c>
      <c r="C144" s="10" t="inlineStr">
        <is>
          <t>C11866</t>
        </is>
      </c>
      <c r="D144" s="10">
        <f>INDEX(Customers!$B:$B,MATCH(C144,Customers!$A:$A,0))</f>
        <v/>
      </c>
      <c r="E144" s="10">
        <f>INDEX(Customers!$D:$D,MATCH(C144,Customers!$A:$A,0))</f>
        <v/>
      </c>
      <c r="F144" s="10" t="inlineStr">
        <is>
          <t>Carrier A</t>
        </is>
      </c>
      <c r="G144" s="5" t="n">
        <v>46239</v>
      </c>
      <c r="H144" s="5" t="n">
        <v>46240</v>
      </c>
      <c r="I144" s="5" t="n">
        <v>46240</v>
      </c>
      <c r="J144" s="10" t="inlineStr">
        <is>
          <t>08:00</t>
        </is>
      </c>
      <c r="K144" s="10" t="inlineStr">
        <is>
          <t>On time</t>
        </is>
      </c>
      <c r="L144" s="6" t="n">
        <v>0</v>
      </c>
      <c r="M144" s="10" t="n"/>
      <c r="N144" s="6" t="n">
        <v>23</v>
      </c>
      <c r="O144" s="6" t="n">
        <v>3197</v>
      </c>
      <c r="P144" s="6" t="n">
        <v>1</v>
      </c>
      <c r="Q144" s="6">
        <f>IF(OR(K144="On time",K144="Late",K144="Very late"),1,0)</f>
        <v/>
      </c>
    </row>
    <row r="145">
      <c r="A145" s="10" t="inlineStr">
        <is>
          <t>DN318350</t>
        </is>
      </c>
      <c r="B145" s="10" t="inlineStr">
        <is>
          <t>SO62029</t>
        </is>
      </c>
      <c r="C145" s="10" t="inlineStr">
        <is>
          <t>C11950</t>
        </is>
      </c>
      <c r="D145" s="10">
        <f>INDEX(Customers!$B:$B,MATCH(C145,Customers!$A:$A,0))</f>
        <v/>
      </c>
      <c r="E145" s="10">
        <f>INDEX(Customers!$D:$D,MATCH(C145,Customers!$A:$A,0))</f>
        <v/>
      </c>
      <c r="F145" s="10" t="inlineStr">
        <is>
          <t>Carrier A</t>
        </is>
      </c>
      <c r="G145" s="5" t="n">
        <v>46239</v>
      </c>
      <c r="H145" s="5" t="n">
        <v>46240</v>
      </c>
      <c r="I145" s="5" t="n">
        <v>46240</v>
      </c>
      <c r="J145" s="10" t="inlineStr">
        <is>
          <t>10:40</t>
        </is>
      </c>
      <c r="K145" s="10" t="inlineStr">
        <is>
          <t>On time</t>
        </is>
      </c>
      <c r="L145" s="6" t="n">
        <v>0</v>
      </c>
      <c r="M145" s="10" t="n"/>
      <c r="N145" s="6" t="n">
        <v>33</v>
      </c>
      <c r="O145" s="6" t="n">
        <v>3234</v>
      </c>
      <c r="P145" s="6" t="n">
        <v>1</v>
      </c>
      <c r="Q145" s="6">
        <f>IF(OR(K145="On time",K145="Late",K145="Very late"),1,0)</f>
        <v/>
      </c>
    </row>
    <row r="146">
      <c r="A146" s="10" t="inlineStr">
        <is>
          <t>DN318351</t>
        </is>
      </c>
      <c r="B146" s="10" t="inlineStr">
        <is>
          <t>SO62030</t>
        </is>
      </c>
      <c r="C146" s="10" t="inlineStr">
        <is>
          <t>C11971</t>
        </is>
      </c>
      <c r="D146" s="10">
        <f>INDEX(Customers!$B:$B,MATCH(C146,Customers!$A:$A,0))</f>
        <v/>
      </c>
      <c r="E146" s="10">
        <f>INDEX(Customers!$D:$D,MATCH(C146,Customers!$A:$A,0))</f>
        <v/>
      </c>
      <c r="F146" s="10" t="inlineStr">
        <is>
          <t>Own trucks</t>
        </is>
      </c>
      <c r="G146" s="5" t="n">
        <v>46239</v>
      </c>
      <c r="H146" s="5" t="n">
        <v>46240</v>
      </c>
      <c r="I146" s="5" t="n">
        <v>46240</v>
      </c>
      <c r="J146" s="10" t="inlineStr">
        <is>
          <t>09:30</t>
        </is>
      </c>
      <c r="K146" s="10" t="inlineStr">
        <is>
          <t>On time</t>
        </is>
      </c>
      <c r="L146" s="6" t="n">
        <v>0</v>
      </c>
      <c r="M146" s="10" t="n"/>
      <c r="N146" s="6" t="n">
        <v>31</v>
      </c>
      <c r="O146" s="6" t="n">
        <v>2077</v>
      </c>
      <c r="P146" s="6" t="n">
        <v>1</v>
      </c>
      <c r="Q146" s="6">
        <f>IF(OR(K146="On time",K146="Late",K146="Very late"),1,0)</f>
        <v/>
      </c>
    </row>
    <row r="147">
      <c r="A147" s="10" t="inlineStr">
        <is>
          <t>DN318352</t>
        </is>
      </c>
      <c r="B147" s="10" t="inlineStr">
        <is>
          <t>SO62032</t>
        </is>
      </c>
      <c r="C147" s="10" t="inlineStr">
        <is>
          <t>C11982</t>
        </is>
      </c>
      <c r="D147" s="10">
        <f>INDEX(Customers!$B:$B,MATCH(C147,Customers!$A:$A,0))</f>
        <v/>
      </c>
      <c r="E147" s="10">
        <f>INDEX(Customers!$D:$D,MATCH(C147,Customers!$A:$A,0))</f>
        <v/>
      </c>
      <c r="F147" s="10" t="inlineStr">
        <is>
          <t>Own trucks</t>
        </is>
      </c>
      <c r="G147" s="5" t="n">
        <v>46239</v>
      </c>
      <c r="H147" s="5" t="n">
        <v>46240</v>
      </c>
      <c r="I147" s="5" t="n">
        <v>46240</v>
      </c>
      <c r="J147" s="10" t="inlineStr">
        <is>
          <t>09:00</t>
        </is>
      </c>
      <c r="K147" s="10" t="inlineStr">
        <is>
          <t>On time</t>
        </is>
      </c>
      <c r="L147" s="6" t="n">
        <v>0</v>
      </c>
      <c r="M147" s="10" t="n"/>
      <c r="N147" s="6" t="n">
        <v>3</v>
      </c>
      <c r="O147" s="6" t="n">
        <v>342</v>
      </c>
      <c r="P147" s="6" t="n">
        <v>1</v>
      </c>
      <c r="Q147" s="6">
        <f>IF(OR(K147="On time",K147="Late",K147="Very late"),1,0)</f>
        <v/>
      </c>
    </row>
    <row r="148">
      <c r="A148" s="10" t="inlineStr">
        <is>
          <t>DN318353</t>
        </is>
      </c>
      <c r="B148" s="10" t="inlineStr">
        <is>
          <t>SO62033</t>
        </is>
      </c>
      <c r="C148" s="10" t="inlineStr">
        <is>
          <t>C12103</t>
        </is>
      </c>
      <c r="D148" s="10">
        <f>INDEX(Customers!$B:$B,MATCH(C148,Customers!$A:$A,0))</f>
        <v/>
      </c>
      <c r="E148" s="10">
        <f>INDEX(Customers!$D:$D,MATCH(C148,Customers!$A:$A,0))</f>
        <v/>
      </c>
      <c r="F148" s="10" t="inlineStr">
        <is>
          <t>Own trucks</t>
        </is>
      </c>
      <c r="G148" s="5" t="n">
        <v>46239</v>
      </c>
      <c r="H148" s="5" t="n">
        <v>46240</v>
      </c>
      <c r="I148" s="5" t="n">
        <v>46240</v>
      </c>
      <c r="J148" s="10" t="inlineStr">
        <is>
          <t>14:20</t>
        </is>
      </c>
      <c r="K148" s="10" t="inlineStr">
        <is>
          <t>On time</t>
        </is>
      </c>
      <c r="L148" s="6" t="n">
        <v>0</v>
      </c>
      <c r="M148" s="10" t="n"/>
      <c r="N148" s="6" t="n">
        <v>8</v>
      </c>
      <c r="O148" s="6" t="n">
        <v>488</v>
      </c>
      <c r="P148" s="6" t="n">
        <v>1</v>
      </c>
      <c r="Q148" s="6">
        <f>IF(OR(K148="On time",K148="Late",K148="Very late"),1,0)</f>
        <v/>
      </c>
    </row>
    <row r="149">
      <c r="A149" s="10" t="inlineStr">
        <is>
          <t>DN318354</t>
        </is>
      </c>
      <c r="B149" s="10" t="inlineStr">
        <is>
          <t>SO62034</t>
        </is>
      </c>
      <c r="C149" s="10" t="inlineStr">
        <is>
          <t>C12183</t>
        </is>
      </c>
      <c r="D149" s="10">
        <f>INDEX(Customers!$B:$B,MATCH(C149,Customers!$A:$A,0))</f>
        <v/>
      </c>
      <c r="E149" s="10">
        <f>INDEX(Customers!$D:$D,MATCH(C149,Customers!$A:$A,0))</f>
        <v/>
      </c>
      <c r="F149" s="10" t="inlineStr">
        <is>
          <t>Carrier B</t>
        </is>
      </c>
      <c r="G149" s="5" t="n">
        <v>46239</v>
      </c>
      <c r="H149" s="5" t="n">
        <v>46240</v>
      </c>
      <c r="I149" s="5" t="n">
        <v>46240</v>
      </c>
      <c r="J149" s="10" t="inlineStr">
        <is>
          <t>15:10</t>
        </is>
      </c>
      <c r="K149" s="10" t="inlineStr">
        <is>
          <t>On time</t>
        </is>
      </c>
      <c r="L149" s="6" t="n">
        <v>0</v>
      </c>
      <c r="M149" s="10" t="n"/>
      <c r="N149" s="6" t="n">
        <v>29</v>
      </c>
      <c r="O149" s="6" t="n">
        <v>1972</v>
      </c>
      <c r="P149" s="6" t="n">
        <v>1</v>
      </c>
      <c r="Q149" s="6">
        <f>IF(OR(K149="On time",K149="Late",K149="Very late"),1,0)</f>
        <v/>
      </c>
    </row>
    <row r="150">
      <c r="A150" s="10" t="inlineStr">
        <is>
          <t>DN318355</t>
        </is>
      </c>
      <c r="B150" s="10" t="inlineStr">
        <is>
          <t>SO62036</t>
        </is>
      </c>
      <c r="C150" s="10" t="inlineStr">
        <is>
          <t>C12213</t>
        </is>
      </c>
      <c r="D150" s="10">
        <f>INDEX(Customers!$B:$B,MATCH(C150,Customers!$A:$A,0))</f>
        <v/>
      </c>
      <c r="E150" s="10">
        <f>INDEX(Customers!$D:$D,MATCH(C150,Customers!$A:$A,0))</f>
        <v/>
      </c>
      <c r="F150" s="10" t="inlineStr">
        <is>
          <t>Carrier B</t>
        </is>
      </c>
      <c r="G150" s="5" t="n">
        <v>46239</v>
      </c>
      <c r="H150" s="5" t="n">
        <v>46240</v>
      </c>
      <c r="I150" s="5" t="n">
        <v>46240</v>
      </c>
      <c r="J150" s="10" t="inlineStr">
        <is>
          <t>16:40</t>
        </is>
      </c>
      <c r="K150" s="10" t="inlineStr">
        <is>
          <t>On time</t>
        </is>
      </c>
      <c r="L150" s="6" t="n">
        <v>0</v>
      </c>
      <c r="M150" s="10" t="n"/>
      <c r="N150" s="6" t="n">
        <v>21</v>
      </c>
      <c r="O150" s="6" t="n">
        <v>1848</v>
      </c>
      <c r="P150" s="6" t="n">
        <v>1</v>
      </c>
      <c r="Q150" s="6">
        <f>IF(OR(K150="On time",K150="Late",K150="Very late"),1,0)</f>
        <v/>
      </c>
    </row>
    <row r="151">
      <c r="A151" s="10" t="inlineStr">
        <is>
          <t>DN318356</t>
        </is>
      </c>
      <c r="B151" s="10" t="inlineStr">
        <is>
          <t>SO62038</t>
        </is>
      </c>
      <c r="C151" s="10" t="inlineStr">
        <is>
          <t>C12239</t>
        </is>
      </c>
      <c r="D151" s="10">
        <f>INDEX(Customers!$B:$B,MATCH(C151,Customers!$A:$A,0))</f>
        <v/>
      </c>
      <c r="E151" s="10">
        <f>INDEX(Customers!$D:$D,MATCH(C151,Customers!$A:$A,0))</f>
        <v/>
      </c>
      <c r="F151" s="10" t="inlineStr">
        <is>
          <t>Carrier B</t>
        </is>
      </c>
      <c r="G151" s="5" t="n">
        <v>46239</v>
      </c>
      <c r="H151" s="5" t="n">
        <v>46240</v>
      </c>
      <c r="I151" s="5" t="n">
        <v>46240</v>
      </c>
      <c r="J151" s="10" t="inlineStr">
        <is>
          <t>10:20</t>
        </is>
      </c>
      <c r="K151" s="10" t="inlineStr">
        <is>
          <t>On time</t>
        </is>
      </c>
      <c r="L151" s="6" t="n">
        <v>0</v>
      </c>
      <c r="M151" s="10" t="n"/>
      <c r="N151" s="6" t="n">
        <v>6</v>
      </c>
      <c r="O151" s="6" t="n">
        <v>642</v>
      </c>
      <c r="P151" s="6" t="n">
        <v>1</v>
      </c>
      <c r="Q151" s="6">
        <f>IF(OR(K151="On time",K151="Late",K151="Very late"),1,0)</f>
        <v/>
      </c>
    </row>
    <row r="152">
      <c r="A152" s="10" t="inlineStr">
        <is>
          <t>DN318358</t>
        </is>
      </c>
      <c r="B152" s="10" t="inlineStr">
        <is>
          <t>SO62040</t>
        </is>
      </c>
      <c r="C152" s="10" t="inlineStr">
        <is>
          <t>C12262</t>
        </is>
      </c>
      <c r="D152" s="10">
        <f>INDEX(Customers!$B:$B,MATCH(C152,Customers!$A:$A,0))</f>
        <v/>
      </c>
      <c r="E152" s="10">
        <f>INDEX(Customers!$D:$D,MATCH(C152,Customers!$A:$A,0))</f>
        <v/>
      </c>
      <c r="F152" s="10" t="inlineStr">
        <is>
          <t>Carrier B</t>
        </is>
      </c>
      <c r="G152" s="5" t="n">
        <v>46239</v>
      </c>
      <c r="H152" s="5" t="n">
        <v>46240</v>
      </c>
      <c r="I152" s="5" t="n">
        <v>46240</v>
      </c>
      <c r="J152" s="10" t="inlineStr">
        <is>
          <t>11:20</t>
        </is>
      </c>
      <c r="K152" s="10" t="inlineStr">
        <is>
          <t>On time</t>
        </is>
      </c>
      <c r="L152" s="6" t="n">
        <v>0</v>
      </c>
      <c r="M152" s="10" t="n"/>
      <c r="N152" s="6" t="n">
        <v>29</v>
      </c>
      <c r="O152" s="6" t="n">
        <v>3857</v>
      </c>
      <c r="P152" s="6" t="n">
        <v>1</v>
      </c>
      <c r="Q152" s="6">
        <f>IF(OR(K152="On time",K152="Late",K152="Very late"),1,0)</f>
        <v/>
      </c>
    </row>
    <row r="153">
      <c r="A153" s="10" t="inlineStr">
        <is>
          <t>DN318359</t>
        </is>
      </c>
      <c r="B153" s="10" t="inlineStr">
        <is>
          <t>SO62042</t>
        </is>
      </c>
      <c r="C153" s="10" t="inlineStr">
        <is>
          <t>C12305</t>
        </is>
      </c>
      <c r="D153" s="10">
        <f>INDEX(Customers!$B:$B,MATCH(C153,Customers!$A:$A,0))</f>
        <v/>
      </c>
      <c r="E153" s="10">
        <f>INDEX(Customers!$D:$D,MATCH(C153,Customers!$A:$A,0))</f>
        <v/>
      </c>
      <c r="F153" s="10" t="inlineStr">
        <is>
          <t>Carrier B</t>
        </is>
      </c>
      <c r="G153" s="5" t="n">
        <v>46239</v>
      </c>
      <c r="H153" s="5" t="n">
        <v>46240</v>
      </c>
      <c r="I153" s="5" t="n">
        <v>46240</v>
      </c>
      <c r="J153" s="10" t="inlineStr">
        <is>
          <t>16:40</t>
        </is>
      </c>
      <c r="K153" s="10" t="inlineStr">
        <is>
          <t>On time</t>
        </is>
      </c>
      <c r="L153" s="6" t="n">
        <v>0</v>
      </c>
      <c r="M153" s="10" t="n"/>
      <c r="N153" s="6" t="n">
        <v>13</v>
      </c>
      <c r="O153" s="6" t="n">
        <v>1586</v>
      </c>
      <c r="P153" s="6" t="n">
        <v>1</v>
      </c>
      <c r="Q153" s="6">
        <f>IF(OR(K153="On time",K153="Late",K153="Very late"),1,0)</f>
        <v/>
      </c>
    </row>
    <row r="154">
      <c r="A154" s="10" t="inlineStr">
        <is>
          <t>DN318360</t>
        </is>
      </c>
      <c r="B154" s="10" t="inlineStr">
        <is>
          <t>SO62043</t>
        </is>
      </c>
      <c r="C154" s="10" t="inlineStr">
        <is>
          <t>C12365</t>
        </is>
      </c>
      <c r="D154" s="10">
        <f>INDEX(Customers!$B:$B,MATCH(C154,Customers!$A:$A,0))</f>
        <v/>
      </c>
      <c r="E154" s="10">
        <f>INDEX(Customers!$D:$D,MATCH(C154,Customers!$A:$A,0))</f>
        <v/>
      </c>
      <c r="F154" s="10" t="inlineStr">
        <is>
          <t>Carrier B</t>
        </is>
      </c>
      <c r="G154" s="5" t="n">
        <v>46239</v>
      </c>
      <c r="H154" s="5" t="n">
        <v>46240</v>
      </c>
      <c r="I154" s="5" t="n">
        <v>46240</v>
      </c>
      <c r="J154" s="10" t="inlineStr">
        <is>
          <t>15:30</t>
        </is>
      </c>
      <c r="K154" s="10" t="inlineStr">
        <is>
          <t>On time</t>
        </is>
      </c>
      <c r="L154" s="6" t="n">
        <v>0</v>
      </c>
      <c r="M154" s="10" t="n"/>
      <c r="N154" s="6" t="n">
        <v>20</v>
      </c>
      <c r="O154" s="6" t="n">
        <v>2140</v>
      </c>
      <c r="P154" s="6" t="n">
        <v>1</v>
      </c>
      <c r="Q154" s="6">
        <f>IF(OR(K154="On time",K154="Late",K154="Very late"),1,0)</f>
        <v/>
      </c>
    </row>
    <row r="155">
      <c r="A155" s="10" t="inlineStr">
        <is>
          <t>DN318361</t>
        </is>
      </c>
      <c r="B155" s="10" t="inlineStr">
        <is>
          <t>SO62044</t>
        </is>
      </c>
      <c r="C155" s="10" t="inlineStr">
        <is>
          <t>C12389</t>
        </is>
      </c>
      <c r="D155" s="10">
        <f>INDEX(Customers!$B:$B,MATCH(C155,Customers!$A:$A,0))</f>
        <v/>
      </c>
      <c r="E155" s="10">
        <f>INDEX(Customers!$D:$D,MATCH(C155,Customers!$A:$A,0))</f>
        <v/>
      </c>
      <c r="F155" s="10" t="inlineStr">
        <is>
          <t>Carrier A</t>
        </is>
      </c>
      <c r="G155" s="5" t="n">
        <v>46239</v>
      </c>
      <c r="H155" s="5" t="n">
        <v>46240</v>
      </c>
      <c r="I155" s="5" t="n">
        <v>46240</v>
      </c>
      <c r="J155" s="10" t="inlineStr">
        <is>
          <t>16:30</t>
        </is>
      </c>
      <c r="K155" s="10" t="inlineStr">
        <is>
          <t>On time</t>
        </is>
      </c>
      <c r="L155" s="6" t="n">
        <v>0</v>
      </c>
      <c r="M155" s="10" t="n"/>
      <c r="N155" s="6" t="n">
        <v>12</v>
      </c>
      <c r="O155" s="6" t="n">
        <v>1200</v>
      </c>
      <c r="P155" s="6" t="n">
        <v>1</v>
      </c>
      <c r="Q155" s="6">
        <f>IF(OR(K155="On time",K155="Late",K155="Very late"),1,0)</f>
        <v/>
      </c>
    </row>
    <row r="156">
      <c r="A156" s="10" t="inlineStr">
        <is>
          <t>DN318362</t>
        </is>
      </c>
      <c r="B156" s="10" t="inlineStr">
        <is>
          <t>SO62045</t>
        </is>
      </c>
      <c r="C156" s="10" t="inlineStr">
        <is>
          <t>C12420</t>
        </is>
      </c>
      <c r="D156" s="10">
        <f>INDEX(Customers!$B:$B,MATCH(C156,Customers!$A:$A,0))</f>
        <v/>
      </c>
      <c r="E156" s="10">
        <f>INDEX(Customers!$D:$D,MATCH(C156,Customers!$A:$A,0))</f>
        <v/>
      </c>
      <c r="F156" s="10" t="inlineStr">
        <is>
          <t>Carrier A</t>
        </is>
      </c>
      <c r="G156" s="5" t="n">
        <v>46239</v>
      </c>
      <c r="H156" s="5" t="n">
        <v>46240</v>
      </c>
      <c r="I156" s="5" t="n">
        <v>46240</v>
      </c>
      <c r="J156" s="10" t="inlineStr">
        <is>
          <t>16:10</t>
        </is>
      </c>
      <c r="K156" s="10" t="inlineStr">
        <is>
          <t>On time</t>
        </is>
      </c>
      <c r="L156" s="6" t="n">
        <v>0</v>
      </c>
      <c r="M156" s="10" t="n"/>
      <c r="N156" s="6" t="n">
        <v>2</v>
      </c>
      <c r="O156" s="6" t="n">
        <v>160</v>
      </c>
      <c r="P156" s="6" t="n">
        <v>1</v>
      </c>
      <c r="Q156" s="6">
        <f>IF(OR(K156="On time",K156="Late",K156="Very late"),1,0)</f>
        <v/>
      </c>
    </row>
    <row r="157">
      <c r="A157" s="10" t="inlineStr">
        <is>
          <t>DN318364</t>
        </is>
      </c>
      <c r="B157" s="10" t="inlineStr">
        <is>
          <t>SO62046</t>
        </is>
      </c>
      <c r="C157" s="10" t="inlineStr">
        <is>
          <t>C12490</t>
        </is>
      </c>
      <c r="D157" s="10">
        <f>INDEX(Customers!$B:$B,MATCH(C157,Customers!$A:$A,0))</f>
        <v/>
      </c>
      <c r="E157" s="10">
        <f>INDEX(Customers!$D:$D,MATCH(C157,Customers!$A:$A,0))</f>
        <v/>
      </c>
      <c r="F157" s="10" t="inlineStr">
        <is>
          <t>Carrier A</t>
        </is>
      </c>
      <c r="G157" s="5" t="n">
        <v>46239</v>
      </c>
      <c r="H157" s="5" t="n">
        <v>46240</v>
      </c>
      <c r="I157" s="5" t="n">
        <v>46240</v>
      </c>
      <c r="J157" s="10" t="inlineStr">
        <is>
          <t>08:50</t>
        </is>
      </c>
      <c r="K157" s="10" t="inlineStr">
        <is>
          <t>On time</t>
        </is>
      </c>
      <c r="L157" s="6" t="n">
        <v>0</v>
      </c>
      <c r="M157" s="10" t="n"/>
      <c r="N157" s="6" t="n">
        <v>23</v>
      </c>
      <c r="O157" s="6" t="n">
        <v>2438</v>
      </c>
      <c r="P157" s="6" t="n">
        <v>1</v>
      </c>
      <c r="Q157" s="6">
        <f>IF(OR(K157="On time",K157="Late",K157="Very late"),1,0)</f>
        <v/>
      </c>
    </row>
    <row r="158">
      <c r="A158" s="10" t="inlineStr">
        <is>
          <t>DN318365</t>
        </is>
      </c>
      <c r="B158" s="10" t="inlineStr">
        <is>
          <t>SO62047</t>
        </is>
      </c>
      <c r="C158" s="10" t="inlineStr">
        <is>
          <t>C12543</t>
        </is>
      </c>
      <c r="D158" s="10">
        <f>INDEX(Customers!$B:$B,MATCH(C158,Customers!$A:$A,0))</f>
        <v/>
      </c>
      <c r="E158" s="10">
        <f>INDEX(Customers!$D:$D,MATCH(C158,Customers!$A:$A,0))</f>
        <v/>
      </c>
      <c r="F158" s="10" t="inlineStr">
        <is>
          <t>Carrier B</t>
        </is>
      </c>
      <c r="G158" s="5" t="n">
        <v>46238</v>
      </c>
      <c r="H158" s="5" t="n">
        <v>46240</v>
      </c>
      <c r="I158" s="5" t="n">
        <v>46240</v>
      </c>
      <c r="J158" s="10" t="inlineStr">
        <is>
          <t>12:30</t>
        </is>
      </c>
      <c r="K158" s="10" t="inlineStr">
        <is>
          <t>On time</t>
        </is>
      </c>
      <c r="L158" s="6" t="n">
        <v>0</v>
      </c>
      <c r="M158" s="10" t="n"/>
      <c r="N158" s="6" t="n">
        <v>30</v>
      </c>
      <c r="O158" s="6" t="n">
        <v>3870</v>
      </c>
      <c r="P158" s="6" t="n">
        <v>1</v>
      </c>
      <c r="Q158" s="6">
        <f>IF(OR(K158="On time",K158="Late",K158="Very late"),1,0)</f>
        <v/>
      </c>
    </row>
    <row r="159">
      <c r="A159" s="10" t="inlineStr">
        <is>
          <t>DN318366</t>
        </is>
      </c>
      <c r="B159" s="10" t="inlineStr">
        <is>
          <t>SO62048</t>
        </is>
      </c>
      <c r="C159" s="10" t="inlineStr">
        <is>
          <t>C12617</t>
        </is>
      </c>
      <c r="D159" s="10">
        <f>INDEX(Customers!$B:$B,MATCH(C159,Customers!$A:$A,0))</f>
        <v/>
      </c>
      <c r="E159" s="10">
        <f>INDEX(Customers!$D:$D,MATCH(C159,Customers!$A:$A,0))</f>
        <v/>
      </c>
      <c r="F159" s="10" t="inlineStr">
        <is>
          <t>Carrier B</t>
        </is>
      </c>
      <c r="G159" s="5" t="n">
        <v>46238</v>
      </c>
      <c r="H159" s="5" t="n">
        <v>46240</v>
      </c>
      <c r="I159" s="5" t="n">
        <v>46240</v>
      </c>
      <c r="J159" s="10" t="inlineStr">
        <is>
          <t>12:20</t>
        </is>
      </c>
      <c r="K159" s="10" t="inlineStr">
        <is>
          <t>On time</t>
        </is>
      </c>
      <c r="L159" s="6" t="n">
        <v>0</v>
      </c>
      <c r="M159" s="10" t="n"/>
      <c r="N159" s="6" t="n">
        <v>32</v>
      </c>
      <c r="O159" s="6" t="n">
        <v>1792</v>
      </c>
      <c r="P159" s="6" t="n">
        <v>1</v>
      </c>
      <c r="Q159" s="6">
        <f>IF(OR(K159="On time",K159="Late",K159="Very late"),1,0)</f>
        <v/>
      </c>
    </row>
    <row r="160">
      <c r="A160" s="10" t="inlineStr">
        <is>
          <t>DN318367</t>
        </is>
      </c>
      <c r="B160" s="10" t="inlineStr">
        <is>
          <t>SO62050</t>
        </is>
      </c>
      <c r="C160" s="10" t="inlineStr">
        <is>
          <t>C12639</t>
        </is>
      </c>
      <c r="D160" s="10">
        <f>INDEX(Customers!$B:$B,MATCH(C160,Customers!$A:$A,0))</f>
        <v/>
      </c>
      <c r="E160" s="10">
        <f>INDEX(Customers!$D:$D,MATCH(C160,Customers!$A:$A,0))</f>
        <v/>
      </c>
      <c r="F160" s="10" t="inlineStr">
        <is>
          <t>Carrier B</t>
        </is>
      </c>
      <c r="G160" s="5" t="n">
        <v>46238</v>
      </c>
      <c r="H160" s="5" t="n">
        <v>46240</v>
      </c>
      <c r="I160" s="5" t="n">
        <v>46240</v>
      </c>
      <c r="J160" s="10" t="inlineStr">
        <is>
          <t>11:40</t>
        </is>
      </c>
      <c r="K160" s="10" t="inlineStr">
        <is>
          <t>On time</t>
        </is>
      </c>
      <c r="L160" s="6" t="n">
        <v>0</v>
      </c>
      <c r="M160" s="10" t="n"/>
      <c r="N160" s="6" t="n">
        <v>36</v>
      </c>
      <c r="O160" s="6" t="n">
        <v>2196</v>
      </c>
      <c r="P160" s="6" t="n">
        <v>1</v>
      </c>
      <c r="Q160" s="6">
        <f>IF(OR(K160="On time",K160="Late",K160="Very late"),1,0)</f>
        <v/>
      </c>
    </row>
    <row r="161">
      <c r="A161" s="10" t="inlineStr">
        <is>
          <t>DN318368</t>
        </is>
      </c>
      <c r="B161" s="10" t="inlineStr">
        <is>
          <t>SO62051</t>
        </is>
      </c>
      <c r="C161" s="10" t="inlineStr">
        <is>
          <t>C12675</t>
        </is>
      </c>
      <c r="D161" s="10">
        <f>INDEX(Customers!$B:$B,MATCH(C161,Customers!$A:$A,0))</f>
        <v/>
      </c>
      <c r="E161" s="10">
        <f>INDEX(Customers!$D:$D,MATCH(C161,Customers!$A:$A,0))</f>
        <v/>
      </c>
      <c r="F161" s="10" t="inlineStr">
        <is>
          <t>Carrier B</t>
        </is>
      </c>
      <c r="G161" s="5" t="n">
        <v>46238</v>
      </c>
      <c r="H161" s="5" t="n">
        <v>46240</v>
      </c>
      <c r="I161" s="5" t="n">
        <v>46240</v>
      </c>
      <c r="J161" s="10" t="inlineStr">
        <is>
          <t>11:50</t>
        </is>
      </c>
      <c r="K161" s="10" t="inlineStr">
        <is>
          <t>On time</t>
        </is>
      </c>
      <c r="L161" s="6" t="n">
        <v>0</v>
      </c>
      <c r="M161" s="10" t="n"/>
      <c r="N161" s="6" t="n">
        <v>18</v>
      </c>
      <c r="O161" s="6" t="n">
        <v>990</v>
      </c>
      <c r="P161" s="6" t="n">
        <v>1</v>
      </c>
      <c r="Q161" s="6">
        <f>IF(OR(K161="On time",K161="Late",K161="Very late"),1,0)</f>
        <v/>
      </c>
    </row>
    <row r="162">
      <c r="A162" s="10" t="inlineStr">
        <is>
          <t>DN318369</t>
        </is>
      </c>
      <c r="B162" s="10" t="inlineStr">
        <is>
          <t>SO62052</t>
        </is>
      </c>
      <c r="C162" s="10" t="inlineStr">
        <is>
          <t>C10268</t>
        </is>
      </c>
      <c r="D162" s="10">
        <f>INDEX(Customers!$B:$B,MATCH(C162,Customers!$A:$A,0))</f>
        <v/>
      </c>
      <c r="E162" s="10">
        <f>INDEX(Customers!$D:$D,MATCH(C162,Customers!$A:$A,0))</f>
        <v/>
      </c>
      <c r="F162" s="10" t="inlineStr">
        <is>
          <t>Own trucks</t>
        </is>
      </c>
      <c r="G162" s="5" t="n">
        <v>46240</v>
      </c>
      <c r="H162" s="5" t="n">
        <v>46241</v>
      </c>
      <c r="I162" s="5" t="n">
        <v>46241</v>
      </c>
      <c r="J162" s="10" t="inlineStr">
        <is>
          <t>12:40</t>
        </is>
      </c>
      <c r="K162" s="10" t="inlineStr">
        <is>
          <t>On time</t>
        </is>
      </c>
      <c r="L162" s="6" t="n">
        <v>0</v>
      </c>
      <c r="M162" s="10" t="n"/>
      <c r="N162" s="6" t="n">
        <v>36</v>
      </c>
      <c r="O162" s="6" t="n">
        <v>4068</v>
      </c>
      <c r="P162" s="6" t="n">
        <v>1</v>
      </c>
      <c r="Q162" s="6">
        <f>IF(OR(K162="On time",K162="Late",K162="Very late"),1,0)</f>
        <v/>
      </c>
    </row>
    <row r="163">
      <c r="A163" s="10" t="inlineStr">
        <is>
          <t>DN318370</t>
        </is>
      </c>
      <c r="B163" s="10" t="inlineStr">
        <is>
          <t>SO62054</t>
        </is>
      </c>
      <c r="C163" s="10" t="inlineStr">
        <is>
          <t>C10322</t>
        </is>
      </c>
      <c r="D163" s="10">
        <f>INDEX(Customers!$B:$B,MATCH(C163,Customers!$A:$A,0))</f>
        <v/>
      </c>
      <c r="E163" s="10">
        <f>INDEX(Customers!$D:$D,MATCH(C163,Customers!$A:$A,0))</f>
        <v/>
      </c>
      <c r="F163" s="10" t="inlineStr">
        <is>
          <t>Own trucks</t>
        </is>
      </c>
      <c r="G163" s="5" t="n">
        <v>46240</v>
      </c>
      <c r="H163" s="5" t="n">
        <v>46241</v>
      </c>
      <c r="I163" s="5" t="n">
        <v>46241</v>
      </c>
      <c r="J163" s="10" t="inlineStr">
        <is>
          <t>11:10</t>
        </is>
      </c>
      <c r="K163" s="10" t="inlineStr">
        <is>
          <t>On time</t>
        </is>
      </c>
      <c r="L163" s="6" t="n">
        <v>0</v>
      </c>
      <c r="M163" s="10" t="n"/>
      <c r="N163" s="6" t="n">
        <v>8</v>
      </c>
      <c r="O163" s="6" t="n">
        <v>864</v>
      </c>
      <c r="P163" s="6" t="n">
        <v>1</v>
      </c>
      <c r="Q163" s="6">
        <f>IF(OR(K163="On time",K163="Late",K163="Very late"),1,0)</f>
        <v/>
      </c>
    </row>
    <row r="164">
      <c r="A164" s="10" t="inlineStr">
        <is>
          <t>DN318371</t>
        </is>
      </c>
      <c r="B164" s="10" t="inlineStr">
        <is>
          <t>SO62056</t>
        </is>
      </c>
      <c r="C164" s="10" t="inlineStr">
        <is>
          <t>C10343</t>
        </is>
      </c>
      <c r="D164" s="10">
        <f>INDEX(Customers!$B:$B,MATCH(C164,Customers!$A:$A,0))</f>
        <v/>
      </c>
      <c r="E164" s="10">
        <f>INDEX(Customers!$D:$D,MATCH(C164,Customers!$A:$A,0))</f>
        <v/>
      </c>
      <c r="F164" s="10" t="inlineStr">
        <is>
          <t>Same-day courier</t>
        </is>
      </c>
      <c r="G164" s="5" t="n">
        <v>46240</v>
      </c>
      <c r="H164" s="5" t="n">
        <v>46241</v>
      </c>
      <c r="I164" s="5" t="n">
        <v>46241</v>
      </c>
      <c r="J164" s="10" t="inlineStr">
        <is>
          <t>08:40</t>
        </is>
      </c>
      <c r="K164" s="10" t="inlineStr">
        <is>
          <t>On time</t>
        </is>
      </c>
      <c r="L164" s="6" t="n">
        <v>0</v>
      </c>
      <c r="M164" s="10" t="n"/>
      <c r="N164" s="6" t="n">
        <v>26</v>
      </c>
      <c r="O164" s="6" t="n">
        <v>1534</v>
      </c>
      <c r="P164" s="6" t="n">
        <v>1</v>
      </c>
      <c r="Q164" s="6">
        <f>IF(OR(K164="On time",K164="Late",K164="Very late"),1,0)</f>
        <v/>
      </c>
    </row>
    <row r="165">
      <c r="A165" s="10" t="inlineStr">
        <is>
          <t>DN318372</t>
        </is>
      </c>
      <c r="B165" s="10" t="inlineStr">
        <is>
          <t>SO62057</t>
        </is>
      </c>
      <c r="C165" s="10" t="inlineStr">
        <is>
          <t>C10446</t>
        </is>
      </c>
      <c r="D165" s="10">
        <f>INDEX(Customers!$B:$B,MATCH(C165,Customers!$A:$A,0))</f>
        <v/>
      </c>
      <c r="E165" s="10">
        <f>INDEX(Customers!$D:$D,MATCH(C165,Customers!$A:$A,0))</f>
        <v/>
      </c>
      <c r="F165" s="10" t="inlineStr">
        <is>
          <t>Same-day courier</t>
        </is>
      </c>
      <c r="G165" s="5" t="n">
        <v>46240</v>
      </c>
      <c r="H165" s="5" t="n">
        <v>46241</v>
      </c>
      <c r="I165" s="5" t="n">
        <v>46241</v>
      </c>
      <c r="J165" s="10" t="inlineStr">
        <is>
          <t>11:30</t>
        </is>
      </c>
      <c r="K165" s="10" t="inlineStr">
        <is>
          <t>On time</t>
        </is>
      </c>
      <c r="L165" s="6" t="n">
        <v>0</v>
      </c>
      <c r="M165" s="10" t="n"/>
      <c r="N165" s="6" t="n">
        <v>25</v>
      </c>
      <c r="O165" s="6" t="n">
        <v>3150</v>
      </c>
      <c r="P165" s="6" t="n">
        <v>1</v>
      </c>
      <c r="Q165" s="6">
        <f>IF(OR(K165="On time",K165="Late",K165="Very late"),1,0)</f>
        <v/>
      </c>
    </row>
    <row r="166">
      <c r="A166" s="10" t="inlineStr">
        <is>
          <t>DN318373</t>
        </is>
      </c>
      <c r="B166" s="10" t="inlineStr">
        <is>
          <t>SO62059</t>
        </is>
      </c>
      <c r="C166" s="10" t="inlineStr">
        <is>
          <t>C10522</t>
        </is>
      </c>
      <c r="D166" s="10">
        <f>INDEX(Customers!$B:$B,MATCH(C166,Customers!$A:$A,0))</f>
        <v/>
      </c>
      <c r="E166" s="10">
        <f>INDEX(Customers!$D:$D,MATCH(C166,Customers!$A:$A,0))</f>
        <v/>
      </c>
      <c r="F166" s="10" t="inlineStr">
        <is>
          <t>Same-day courier</t>
        </is>
      </c>
      <c r="G166" s="5" t="n">
        <v>46240</v>
      </c>
      <c r="H166" s="5" t="n">
        <v>46241</v>
      </c>
      <c r="I166" s="5" t="n">
        <v>46241</v>
      </c>
      <c r="J166" s="10" t="inlineStr">
        <is>
          <t>11:50</t>
        </is>
      </c>
      <c r="K166" s="10" t="inlineStr">
        <is>
          <t>On time</t>
        </is>
      </c>
      <c r="L166" s="6" t="n">
        <v>0</v>
      </c>
      <c r="M166" s="10" t="n"/>
      <c r="N166" s="6" t="n">
        <v>36</v>
      </c>
      <c r="O166" s="6" t="n">
        <v>2736</v>
      </c>
      <c r="P166" s="6" t="n">
        <v>1</v>
      </c>
      <c r="Q166" s="6">
        <f>IF(OR(K166="On time",K166="Late",K166="Very late"),1,0)</f>
        <v/>
      </c>
    </row>
    <row r="167">
      <c r="A167" s="10" t="inlineStr">
        <is>
          <t>DN318374</t>
        </is>
      </c>
      <c r="B167" s="10" t="inlineStr">
        <is>
          <t>SO62061</t>
        </is>
      </c>
      <c r="C167" s="10" t="inlineStr">
        <is>
          <t>C10536</t>
        </is>
      </c>
      <c r="D167" s="10">
        <f>INDEX(Customers!$B:$B,MATCH(C167,Customers!$A:$A,0))</f>
        <v/>
      </c>
      <c r="E167" s="10">
        <f>INDEX(Customers!$D:$D,MATCH(C167,Customers!$A:$A,0))</f>
        <v/>
      </c>
      <c r="F167" s="10" t="inlineStr">
        <is>
          <t>Own trucks</t>
        </is>
      </c>
      <c r="G167" s="5" t="n">
        <v>46240</v>
      </c>
      <c r="H167" s="5" t="n">
        <v>46241</v>
      </c>
      <c r="I167" s="5" t="n">
        <v>46241</v>
      </c>
      <c r="J167" s="10" t="inlineStr">
        <is>
          <t>16:30</t>
        </is>
      </c>
      <c r="K167" s="10" t="inlineStr">
        <is>
          <t>On time</t>
        </is>
      </c>
      <c r="L167" s="6" t="n">
        <v>0</v>
      </c>
      <c r="M167" s="10" t="n"/>
      <c r="N167" s="6" t="n">
        <v>32</v>
      </c>
      <c r="O167" s="6" t="n">
        <v>3552</v>
      </c>
      <c r="P167" s="6" t="n">
        <v>1</v>
      </c>
      <c r="Q167" s="6">
        <f>IF(OR(K167="On time",K167="Late",K167="Very late"),1,0)</f>
        <v/>
      </c>
    </row>
    <row r="168">
      <c r="A168" s="10" t="inlineStr">
        <is>
          <t>DN318375</t>
        </is>
      </c>
      <c r="B168" s="10" t="inlineStr">
        <is>
          <t>SO62062</t>
        </is>
      </c>
      <c r="C168" s="10" t="inlineStr">
        <is>
          <t>C10551</t>
        </is>
      </c>
      <c r="D168" s="10">
        <f>INDEX(Customers!$B:$B,MATCH(C168,Customers!$A:$A,0))</f>
        <v/>
      </c>
      <c r="E168" s="10">
        <f>INDEX(Customers!$D:$D,MATCH(C168,Customers!$A:$A,0))</f>
        <v/>
      </c>
      <c r="F168" s="10" t="inlineStr">
        <is>
          <t>Own trucks</t>
        </is>
      </c>
      <c r="G168" s="5" t="n">
        <v>46240</v>
      </c>
      <c r="H168" s="5" t="n">
        <v>46241</v>
      </c>
      <c r="I168" s="5" t="n">
        <v>46245</v>
      </c>
      <c r="J168" s="10" t="inlineStr">
        <is>
          <t>13:10</t>
        </is>
      </c>
      <c r="K168" s="10" t="inlineStr">
        <is>
          <t>Very late</t>
        </is>
      </c>
      <c r="L168" s="6" t="n">
        <v>2</v>
      </c>
      <c r="M168" s="10" t="inlineStr">
        <is>
          <t>Stock not ready</t>
        </is>
      </c>
      <c r="N168" s="6" t="n">
        <v>19</v>
      </c>
      <c r="O168" s="6" t="n">
        <v>2166</v>
      </c>
      <c r="P168" s="6" t="n">
        <v>1</v>
      </c>
      <c r="Q168" s="6">
        <f>IF(OR(K168="On time",K168="Late",K168="Very late"),1,0)</f>
        <v/>
      </c>
    </row>
    <row r="169">
      <c r="A169" s="10" t="inlineStr">
        <is>
          <t>DN318376</t>
        </is>
      </c>
      <c r="B169" s="10" t="inlineStr">
        <is>
          <t>SO62063</t>
        </is>
      </c>
      <c r="C169" s="10" t="inlineStr">
        <is>
          <t>C10589</t>
        </is>
      </c>
      <c r="D169" s="10">
        <f>INDEX(Customers!$B:$B,MATCH(C169,Customers!$A:$A,0))</f>
        <v/>
      </c>
      <c r="E169" s="10">
        <f>INDEX(Customers!$D:$D,MATCH(C169,Customers!$A:$A,0))</f>
        <v/>
      </c>
      <c r="F169" s="10" t="inlineStr">
        <is>
          <t>Own trucks</t>
        </is>
      </c>
      <c r="G169" s="5" t="n">
        <v>46240</v>
      </c>
      <c r="H169" s="5" t="n">
        <v>46241</v>
      </c>
      <c r="I169" s="5" t="n">
        <v>46241</v>
      </c>
      <c r="J169" s="10" t="inlineStr">
        <is>
          <t>11:00</t>
        </is>
      </c>
      <c r="K169" s="10" t="inlineStr">
        <is>
          <t>On time</t>
        </is>
      </c>
      <c r="L169" s="6" t="n">
        <v>0</v>
      </c>
      <c r="M169" s="10" t="n"/>
      <c r="N169" s="6" t="n">
        <v>8</v>
      </c>
      <c r="O169" s="6" t="n">
        <v>632</v>
      </c>
      <c r="P169" s="6" t="n">
        <v>1</v>
      </c>
      <c r="Q169" s="6">
        <f>IF(OR(K169="On time",K169="Late",K169="Very late"),1,0)</f>
        <v/>
      </c>
    </row>
    <row r="170">
      <c r="A170" s="10" t="inlineStr">
        <is>
          <t>DN318378</t>
        </is>
      </c>
      <c r="B170" s="10" t="inlineStr">
        <is>
          <t>SO62064</t>
        </is>
      </c>
      <c r="C170" s="10" t="inlineStr">
        <is>
          <t>C10622</t>
        </is>
      </c>
      <c r="D170" s="10">
        <f>INDEX(Customers!$B:$B,MATCH(C170,Customers!$A:$A,0))</f>
        <v/>
      </c>
      <c r="E170" s="10">
        <f>INDEX(Customers!$D:$D,MATCH(C170,Customers!$A:$A,0))</f>
        <v/>
      </c>
      <c r="F170" s="10" t="inlineStr">
        <is>
          <t>Own trucks</t>
        </is>
      </c>
      <c r="G170" s="5" t="n">
        <v>46240</v>
      </c>
      <c r="H170" s="5" t="n">
        <v>46241</v>
      </c>
      <c r="I170" s="5" t="n">
        <v>46241</v>
      </c>
      <c r="J170" s="10" t="inlineStr">
        <is>
          <t>08:00</t>
        </is>
      </c>
      <c r="K170" s="10" t="inlineStr">
        <is>
          <t>On time</t>
        </is>
      </c>
      <c r="L170" s="6" t="n">
        <v>0</v>
      </c>
      <c r="M170" s="10" t="n"/>
      <c r="N170" s="6" t="n">
        <v>25</v>
      </c>
      <c r="O170" s="6" t="n">
        <v>3200</v>
      </c>
      <c r="P170" s="6" t="n">
        <v>1</v>
      </c>
      <c r="Q170" s="6">
        <f>IF(OR(K170="On time",K170="Late",K170="Very late"),1,0)</f>
        <v/>
      </c>
    </row>
    <row r="171">
      <c r="A171" s="10" t="inlineStr">
        <is>
          <t>DN318379</t>
        </is>
      </c>
      <c r="B171" s="10" t="inlineStr">
        <is>
          <t>SO62065</t>
        </is>
      </c>
      <c r="C171" s="10" t="inlineStr">
        <is>
          <t>C10648</t>
        </is>
      </c>
      <c r="D171" s="10">
        <f>INDEX(Customers!$B:$B,MATCH(C171,Customers!$A:$A,0))</f>
        <v/>
      </c>
      <c r="E171" s="10">
        <f>INDEX(Customers!$D:$D,MATCH(C171,Customers!$A:$A,0))</f>
        <v/>
      </c>
      <c r="F171" s="10" t="inlineStr">
        <is>
          <t>Own trucks</t>
        </is>
      </c>
      <c r="G171" s="5" t="n">
        <v>46240</v>
      </c>
      <c r="H171" s="5" t="n">
        <v>46241</v>
      </c>
      <c r="I171" s="5" t="n">
        <v>46241</v>
      </c>
      <c r="J171" s="10" t="inlineStr">
        <is>
          <t>12:20</t>
        </is>
      </c>
      <c r="K171" s="10" t="inlineStr">
        <is>
          <t>On time</t>
        </is>
      </c>
      <c r="L171" s="6" t="n">
        <v>0</v>
      </c>
      <c r="M171" s="10" t="n"/>
      <c r="N171" s="6" t="n">
        <v>7</v>
      </c>
      <c r="O171" s="6" t="n">
        <v>651</v>
      </c>
      <c r="P171" s="6" t="n">
        <v>1</v>
      </c>
      <c r="Q171" s="6">
        <f>IF(OR(K171="On time",K171="Late",K171="Very late"),1,0)</f>
        <v/>
      </c>
    </row>
    <row r="172">
      <c r="A172" s="10" t="inlineStr">
        <is>
          <t>DN318380</t>
        </is>
      </c>
      <c r="B172" s="10" t="inlineStr">
        <is>
          <t>SO62066</t>
        </is>
      </c>
      <c r="C172" s="10" t="inlineStr">
        <is>
          <t>C10676</t>
        </is>
      </c>
      <c r="D172" s="10">
        <f>INDEX(Customers!$B:$B,MATCH(C172,Customers!$A:$A,0))</f>
        <v/>
      </c>
      <c r="E172" s="10">
        <f>INDEX(Customers!$D:$D,MATCH(C172,Customers!$A:$A,0))</f>
        <v/>
      </c>
      <c r="F172" s="10" t="inlineStr">
        <is>
          <t>Own trucks</t>
        </is>
      </c>
      <c r="G172" s="5" t="n">
        <v>46240</v>
      </c>
      <c r="H172" s="5" t="n">
        <v>46241</v>
      </c>
      <c r="I172" s="5" t="n">
        <v>46241</v>
      </c>
      <c r="J172" s="10" t="inlineStr">
        <is>
          <t>10:30</t>
        </is>
      </c>
      <c r="K172" s="10" t="inlineStr">
        <is>
          <t>On time</t>
        </is>
      </c>
      <c r="L172" s="6" t="n">
        <v>0</v>
      </c>
      <c r="M172" s="10" t="n"/>
      <c r="N172" s="6" t="n">
        <v>37</v>
      </c>
      <c r="O172" s="6" t="n">
        <v>3663</v>
      </c>
      <c r="P172" s="6" t="n">
        <v>1</v>
      </c>
      <c r="Q172" s="6">
        <f>IF(OR(K172="On time",K172="Late",K172="Very late"),1,0)</f>
        <v/>
      </c>
    </row>
    <row r="173">
      <c r="A173" s="10" t="inlineStr">
        <is>
          <t>DN318381</t>
        </is>
      </c>
      <c r="B173" s="10" t="inlineStr">
        <is>
          <t>SO62067</t>
        </is>
      </c>
      <c r="C173" s="10" t="inlineStr">
        <is>
          <t>C10689</t>
        </is>
      </c>
      <c r="D173" s="10">
        <f>INDEX(Customers!$B:$B,MATCH(C173,Customers!$A:$A,0))</f>
        <v/>
      </c>
      <c r="E173" s="10">
        <f>INDEX(Customers!$D:$D,MATCH(C173,Customers!$A:$A,0))</f>
        <v/>
      </c>
      <c r="F173" s="10" t="inlineStr">
        <is>
          <t>Own trucks</t>
        </is>
      </c>
      <c r="G173" s="5" t="n">
        <v>46240</v>
      </c>
      <c r="H173" s="5" t="n">
        <v>46241</v>
      </c>
      <c r="I173" s="5" t="n">
        <v>46241</v>
      </c>
      <c r="J173" s="10" t="inlineStr">
        <is>
          <t>11:50</t>
        </is>
      </c>
      <c r="K173" s="10" t="inlineStr">
        <is>
          <t>On time</t>
        </is>
      </c>
      <c r="L173" s="6" t="n">
        <v>0</v>
      </c>
      <c r="M173" s="10" t="n"/>
      <c r="N173" s="6" t="n">
        <v>9</v>
      </c>
      <c r="O173" s="6" t="n">
        <v>936</v>
      </c>
      <c r="P173" s="6" t="n">
        <v>1</v>
      </c>
      <c r="Q173" s="6">
        <f>IF(OR(K173="On time",K173="Late",K173="Very late"),1,0)</f>
        <v/>
      </c>
    </row>
    <row r="174">
      <c r="A174" s="10" t="inlineStr">
        <is>
          <t>DN318382</t>
        </is>
      </c>
      <c r="B174" s="10" t="inlineStr">
        <is>
          <t>SO62068</t>
        </is>
      </c>
      <c r="C174" s="10" t="inlineStr">
        <is>
          <t>C10796</t>
        </is>
      </c>
      <c r="D174" s="10">
        <f>INDEX(Customers!$B:$B,MATCH(C174,Customers!$A:$A,0))</f>
        <v/>
      </c>
      <c r="E174" s="10">
        <f>INDEX(Customers!$D:$D,MATCH(C174,Customers!$A:$A,0))</f>
        <v/>
      </c>
      <c r="F174" s="10" t="inlineStr">
        <is>
          <t>Own trucks</t>
        </is>
      </c>
      <c r="G174" s="5" t="n">
        <v>46240</v>
      </c>
      <c r="H174" s="5" t="n">
        <v>46241</v>
      </c>
      <c r="I174" s="5" t="n">
        <v>46241</v>
      </c>
      <c r="J174" s="10" t="inlineStr">
        <is>
          <t>09:20</t>
        </is>
      </c>
      <c r="K174" s="10" t="inlineStr">
        <is>
          <t>On time</t>
        </is>
      </c>
      <c r="L174" s="6" t="n">
        <v>0</v>
      </c>
      <c r="M174" s="10" t="n"/>
      <c r="N174" s="6" t="n">
        <v>32</v>
      </c>
      <c r="O174" s="6" t="n">
        <v>2016</v>
      </c>
      <c r="P174" s="6" t="n">
        <v>1</v>
      </c>
      <c r="Q174" s="6">
        <f>IF(OR(K174="On time",K174="Late",K174="Very late"),1,0)</f>
        <v/>
      </c>
    </row>
    <row r="175">
      <c r="A175" s="10" t="inlineStr">
        <is>
          <t>DN318383</t>
        </is>
      </c>
      <c r="B175" s="10" t="inlineStr">
        <is>
          <t>SO62070</t>
        </is>
      </c>
      <c r="C175" s="10" t="inlineStr">
        <is>
          <t>C10847</t>
        </is>
      </c>
      <c r="D175" s="10">
        <f>INDEX(Customers!$B:$B,MATCH(C175,Customers!$A:$A,0))</f>
        <v/>
      </c>
      <c r="E175" s="10">
        <f>INDEX(Customers!$D:$D,MATCH(C175,Customers!$A:$A,0))</f>
        <v/>
      </c>
      <c r="F175" s="10" t="inlineStr">
        <is>
          <t>Own trucks</t>
        </is>
      </c>
      <c r="G175" s="5" t="n">
        <v>46240</v>
      </c>
      <c r="H175" s="5" t="n">
        <v>46241</v>
      </c>
      <c r="I175" s="5" t="n">
        <v>46241</v>
      </c>
      <c r="J175" s="10" t="inlineStr">
        <is>
          <t>11:40</t>
        </is>
      </c>
      <c r="K175" s="10" t="inlineStr">
        <is>
          <t>On time</t>
        </is>
      </c>
      <c r="L175" s="6" t="n">
        <v>0</v>
      </c>
      <c r="M175" s="10" t="n"/>
      <c r="N175" s="6" t="n">
        <v>5</v>
      </c>
      <c r="O175" s="6" t="n">
        <v>630</v>
      </c>
      <c r="P175" s="6" t="n">
        <v>1</v>
      </c>
      <c r="Q175" s="6">
        <f>IF(OR(K175="On time",K175="Late",K175="Very late"),1,0)</f>
        <v/>
      </c>
    </row>
    <row r="176">
      <c r="A176" s="10" t="inlineStr">
        <is>
          <t>DN318384</t>
        </is>
      </c>
      <c r="B176" s="10" t="inlineStr">
        <is>
          <t>SO62071</t>
        </is>
      </c>
      <c r="C176" s="10" t="inlineStr">
        <is>
          <t>C10982</t>
        </is>
      </c>
      <c r="D176" s="10">
        <f>INDEX(Customers!$B:$B,MATCH(C176,Customers!$A:$A,0))</f>
        <v/>
      </c>
      <c r="E176" s="10">
        <f>INDEX(Customers!$D:$D,MATCH(C176,Customers!$A:$A,0))</f>
        <v/>
      </c>
      <c r="F176" s="10" t="inlineStr">
        <is>
          <t>Own trucks</t>
        </is>
      </c>
      <c r="G176" s="5" t="n">
        <v>46240</v>
      </c>
      <c r="H176" s="5" t="n">
        <v>46241</v>
      </c>
      <c r="I176" s="5" t="n">
        <v>46241</v>
      </c>
      <c r="J176" s="10" t="inlineStr">
        <is>
          <t>07:20</t>
        </is>
      </c>
      <c r="K176" s="10" t="inlineStr">
        <is>
          <t>On time</t>
        </is>
      </c>
      <c r="L176" s="6" t="n">
        <v>0</v>
      </c>
      <c r="M176" s="10" t="n"/>
      <c r="N176" s="6" t="n">
        <v>11</v>
      </c>
      <c r="O176" s="6" t="n">
        <v>979</v>
      </c>
      <c r="P176" s="6" t="n">
        <v>1</v>
      </c>
      <c r="Q176" s="6">
        <f>IF(OR(K176="On time",K176="Late",K176="Very late"),1,0)</f>
        <v/>
      </c>
    </row>
    <row r="177">
      <c r="A177" s="10" t="inlineStr">
        <is>
          <t>DN318385</t>
        </is>
      </c>
      <c r="B177" s="10" t="inlineStr">
        <is>
          <t>SO62072</t>
        </is>
      </c>
      <c r="C177" s="10" t="inlineStr">
        <is>
          <t>C11107</t>
        </is>
      </c>
      <c r="D177" s="10">
        <f>INDEX(Customers!$B:$B,MATCH(C177,Customers!$A:$A,0))</f>
        <v/>
      </c>
      <c r="E177" s="10">
        <f>INDEX(Customers!$D:$D,MATCH(C177,Customers!$A:$A,0))</f>
        <v/>
      </c>
      <c r="F177" s="10" t="inlineStr">
        <is>
          <t>Own trucks</t>
        </is>
      </c>
      <c r="G177" s="5" t="n">
        <v>46240</v>
      </c>
      <c r="H177" s="5" t="n">
        <v>46241</v>
      </c>
      <c r="I177" s="5" t="n">
        <v>46241</v>
      </c>
      <c r="J177" s="10" t="inlineStr">
        <is>
          <t>10:20</t>
        </is>
      </c>
      <c r="K177" s="10" t="inlineStr">
        <is>
          <t>On time</t>
        </is>
      </c>
      <c r="L177" s="6" t="n">
        <v>0</v>
      </c>
      <c r="M177" s="10" t="n"/>
      <c r="N177" s="6" t="n">
        <v>9</v>
      </c>
      <c r="O177" s="6" t="n">
        <v>792</v>
      </c>
      <c r="P177" s="6" t="n">
        <v>1</v>
      </c>
      <c r="Q177" s="6">
        <f>IF(OR(K177="On time",K177="Late",K177="Very late"),1,0)</f>
        <v/>
      </c>
    </row>
    <row r="178">
      <c r="A178" s="10" t="inlineStr">
        <is>
          <t>DN318386</t>
        </is>
      </c>
      <c r="B178" s="10" t="inlineStr">
        <is>
          <t>SO62073</t>
        </is>
      </c>
      <c r="C178" s="10" t="inlineStr">
        <is>
          <t>C11186</t>
        </is>
      </c>
      <c r="D178" s="10">
        <f>INDEX(Customers!$B:$B,MATCH(C178,Customers!$A:$A,0))</f>
        <v/>
      </c>
      <c r="E178" s="10">
        <f>INDEX(Customers!$D:$D,MATCH(C178,Customers!$A:$A,0))</f>
        <v/>
      </c>
      <c r="F178" s="10" t="inlineStr">
        <is>
          <t>Own trucks</t>
        </is>
      </c>
      <c r="G178" s="5" t="n">
        <v>46240</v>
      </c>
      <c r="H178" s="5" t="n">
        <v>46241</v>
      </c>
      <c r="I178" s="5" t="n">
        <v>46241</v>
      </c>
      <c r="J178" s="10" t="inlineStr">
        <is>
          <t>11:10</t>
        </is>
      </c>
      <c r="K178" s="10" t="inlineStr">
        <is>
          <t>On time</t>
        </is>
      </c>
      <c r="L178" s="6" t="n">
        <v>0</v>
      </c>
      <c r="M178" s="10" t="n"/>
      <c r="N178" s="6" t="n">
        <v>5</v>
      </c>
      <c r="O178" s="6" t="n">
        <v>315</v>
      </c>
      <c r="P178" s="6" t="n">
        <v>1</v>
      </c>
      <c r="Q178" s="6">
        <f>IF(OR(K178="On time",K178="Late",K178="Very late"),1,0)</f>
        <v/>
      </c>
    </row>
    <row r="179">
      <c r="A179" s="10" t="inlineStr">
        <is>
          <t>DN318387</t>
        </is>
      </c>
      <c r="B179" s="10" t="inlineStr">
        <is>
          <t>SO62075</t>
        </is>
      </c>
      <c r="C179" s="10" t="inlineStr">
        <is>
          <t>C11247</t>
        </is>
      </c>
      <c r="D179" s="10">
        <f>INDEX(Customers!$B:$B,MATCH(C179,Customers!$A:$A,0))</f>
        <v/>
      </c>
      <c r="E179" s="10">
        <f>INDEX(Customers!$D:$D,MATCH(C179,Customers!$A:$A,0))</f>
        <v/>
      </c>
      <c r="F179" s="10" t="inlineStr">
        <is>
          <t>Own trucks</t>
        </is>
      </c>
      <c r="G179" s="5" t="n">
        <v>46240</v>
      </c>
      <c r="H179" s="5" t="n">
        <v>46241</v>
      </c>
      <c r="I179" s="5" t="n">
        <v>46241</v>
      </c>
      <c r="J179" s="10" t="inlineStr">
        <is>
          <t>10:40</t>
        </is>
      </c>
      <c r="K179" s="10" t="inlineStr">
        <is>
          <t>On time</t>
        </is>
      </c>
      <c r="L179" s="6" t="n">
        <v>0</v>
      </c>
      <c r="M179" s="10" t="n"/>
      <c r="N179" s="6" t="n">
        <v>2</v>
      </c>
      <c r="O179" s="6" t="n">
        <v>116</v>
      </c>
      <c r="P179" s="6" t="n">
        <v>1</v>
      </c>
      <c r="Q179" s="6">
        <f>IF(OR(K179="On time",K179="Late",K179="Very late"),1,0)</f>
        <v/>
      </c>
    </row>
    <row r="180">
      <c r="A180" s="10" t="inlineStr">
        <is>
          <t>DN318388</t>
        </is>
      </c>
      <c r="B180" s="10" t="inlineStr">
        <is>
          <t>SO62077</t>
        </is>
      </c>
      <c r="C180" s="10" t="inlineStr">
        <is>
          <t>C11264</t>
        </is>
      </c>
      <c r="D180" s="10">
        <f>INDEX(Customers!$B:$B,MATCH(C180,Customers!$A:$A,0))</f>
        <v/>
      </c>
      <c r="E180" s="10">
        <f>INDEX(Customers!$D:$D,MATCH(C180,Customers!$A:$A,0))</f>
        <v/>
      </c>
      <c r="F180" s="10" t="inlineStr">
        <is>
          <t>Own trucks</t>
        </is>
      </c>
      <c r="G180" s="5" t="n">
        <v>46240</v>
      </c>
      <c r="H180" s="5" t="n">
        <v>46241</v>
      </c>
      <c r="I180" s="5" t="n">
        <v>46241</v>
      </c>
      <c r="J180" s="10" t="inlineStr">
        <is>
          <t>12:00</t>
        </is>
      </c>
      <c r="K180" s="10" t="inlineStr">
        <is>
          <t>On time</t>
        </is>
      </c>
      <c r="L180" s="6" t="n">
        <v>0</v>
      </c>
      <c r="M180" s="10" t="n"/>
      <c r="N180" s="6" t="n">
        <v>18</v>
      </c>
      <c r="O180" s="6" t="n">
        <v>2124</v>
      </c>
      <c r="P180" s="6" t="n">
        <v>1</v>
      </c>
      <c r="Q180" s="6">
        <f>IF(OR(K180="On time",K180="Late",K180="Very late"),1,0)</f>
        <v/>
      </c>
    </row>
    <row r="181">
      <c r="A181" s="10" t="inlineStr">
        <is>
          <t>DN318389</t>
        </is>
      </c>
      <c r="B181" s="10" t="inlineStr">
        <is>
          <t>SO62078</t>
        </is>
      </c>
      <c r="C181" s="10" t="inlineStr">
        <is>
          <t>C11314</t>
        </is>
      </c>
      <c r="D181" s="10">
        <f>INDEX(Customers!$B:$B,MATCH(C181,Customers!$A:$A,0))</f>
        <v/>
      </c>
      <c r="E181" s="10">
        <f>INDEX(Customers!$D:$D,MATCH(C181,Customers!$A:$A,0))</f>
        <v/>
      </c>
      <c r="F181" s="10" t="inlineStr">
        <is>
          <t>Own trucks</t>
        </is>
      </c>
      <c r="G181" s="5" t="n">
        <v>46240</v>
      </c>
      <c r="H181" s="5" t="n">
        <v>46241</v>
      </c>
      <c r="I181" s="5" t="n">
        <v>46241</v>
      </c>
      <c r="J181" s="10" t="inlineStr">
        <is>
          <t>15:50</t>
        </is>
      </c>
      <c r="K181" s="10" t="inlineStr">
        <is>
          <t>On time</t>
        </is>
      </c>
      <c r="L181" s="6" t="n">
        <v>0</v>
      </c>
      <c r="M181" s="10" t="n"/>
      <c r="N181" s="6" t="n">
        <v>16</v>
      </c>
      <c r="O181" s="6" t="n">
        <v>960</v>
      </c>
      <c r="P181" s="6" t="n">
        <v>1</v>
      </c>
      <c r="Q181" s="6">
        <f>IF(OR(K181="On time",K181="Late",K181="Very late"),1,0)</f>
        <v/>
      </c>
    </row>
    <row r="182">
      <c r="A182" s="10" t="inlineStr">
        <is>
          <t>DN318390</t>
        </is>
      </c>
      <c r="B182" s="10" t="inlineStr">
        <is>
          <t>SO62080</t>
        </is>
      </c>
      <c r="C182" s="10" t="inlineStr">
        <is>
          <t>C11518</t>
        </is>
      </c>
      <c r="D182" s="10">
        <f>INDEX(Customers!$B:$B,MATCH(C182,Customers!$A:$A,0))</f>
        <v/>
      </c>
      <c r="E182" s="10">
        <f>INDEX(Customers!$D:$D,MATCH(C182,Customers!$A:$A,0))</f>
        <v/>
      </c>
      <c r="F182" s="10" t="inlineStr">
        <is>
          <t>Own trucks</t>
        </is>
      </c>
      <c r="G182" s="5" t="n">
        <v>46240</v>
      </c>
      <c r="H182" s="5" t="n">
        <v>46241</v>
      </c>
      <c r="I182" s="5" t="n">
        <v>46241</v>
      </c>
      <c r="J182" s="10" t="inlineStr">
        <is>
          <t>12:20</t>
        </is>
      </c>
      <c r="K182" s="10" t="inlineStr">
        <is>
          <t>On time</t>
        </is>
      </c>
      <c r="L182" s="6" t="n">
        <v>0</v>
      </c>
      <c r="M182" s="10" t="n"/>
      <c r="N182" s="6" t="n">
        <v>14</v>
      </c>
      <c r="O182" s="6" t="n">
        <v>1736</v>
      </c>
      <c r="P182" s="6" t="n">
        <v>1</v>
      </c>
      <c r="Q182" s="6">
        <f>IF(OR(K182="On time",K182="Late",K182="Very late"),1,0)</f>
        <v/>
      </c>
    </row>
    <row r="183">
      <c r="A183" s="10" t="inlineStr">
        <is>
          <t>DN318391</t>
        </is>
      </c>
      <c r="B183" s="10" t="inlineStr">
        <is>
          <t>SO62082</t>
        </is>
      </c>
      <c r="C183" s="10" t="inlineStr">
        <is>
          <t>C11579</t>
        </is>
      </c>
      <c r="D183" s="10">
        <f>INDEX(Customers!$B:$B,MATCH(C183,Customers!$A:$A,0))</f>
        <v/>
      </c>
      <c r="E183" s="10">
        <f>INDEX(Customers!$D:$D,MATCH(C183,Customers!$A:$A,0))</f>
        <v/>
      </c>
      <c r="F183" s="10" t="inlineStr">
        <is>
          <t>Own trucks</t>
        </is>
      </c>
      <c r="G183" s="5" t="n">
        <v>46240</v>
      </c>
      <c r="H183" s="5" t="n">
        <v>46241</v>
      </c>
      <c r="I183" s="5" t="n">
        <v>46241</v>
      </c>
      <c r="J183" s="10" t="inlineStr">
        <is>
          <t>13:40</t>
        </is>
      </c>
      <c r="K183" s="10" t="inlineStr">
        <is>
          <t>On time</t>
        </is>
      </c>
      <c r="L183" s="6" t="n">
        <v>0</v>
      </c>
      <c r="M183" s="10" t="n"/>
      <c r="N183" s="6" t="n">
        <v>7</v>
      </c>
      <c r="O183" s="6" t="n">
        <v>952</v>
      </c>
      <c r="P183" s="6" t="n">
        <v>1</v>
      </c>
      <c r="Q183" s="6">
        <f>IF(OR(K183="On time",K183="Late",K183="Very late"),1,0)</f>
        <v/>
      </c>
    </row>
    <row r="184">
      <c r="A184" s="10" t="inlineStr">
        <is>
          <t>DN318392</t>
        </is>
      </c>
      <c r="B184" s="10" t="inlineStr">
        <is>
          <t>SO62084</t>
        </is>
      </c>
      <c r="C184" s="10" t="inlineStr">
        <is>
          <t>C11666</t>
        </is>
      </c>
      <c r="D184" s="10">
        <f>INDEX(Customers!$B:$B,MATCH(C184,Customers!$A:$A,0))</f>
        <v/>
      </c>
      <c r="E184" s="10">
        <f>INDEX(Customers!$D:$D,MATCH(C184,Customers!$A:$A,0))</f>
        <v/>
      </c>
      <c r="F184" s="10" t="inlineStr">
        <is>
          <t>Own trucks</t>
        </is>
      </c>
      <c r="G184" s="5" t="n">
        <v>46240</v>
      </c>
      <c r="H184" s="5" t="n">
        <v>46241</v>
      </c>
      <c r="I184" s="5" t="n">
        <v>46241</v>
      </c>
      <c r="J184" s="10" t="inlineStr">
        <is>
          <t>07:50</t>
        </is>
      </c>
      <c r="K184" s="10" t="inlineStr">
        <is>
          <t>On time</t>
        </is>
      </c>
      <c r="L184" s="6" t="n">
        <v>0</v>
      </c>
      <c r="M184" s="10" t="n"/>
      <c r="N184" s="6" t="n">
        <v>40</v>
      </c>
      <c r="O184" s="6" t="n">
        <v>2400</v>
      </c>
      <c r="P184" s="6" t="n">
        <v>1</v>
      </c>
      <c r="Q184" s="6">
        <f>IF(OR(K184="On time",K184="Late",K184="Very late"),1,0)</f>
        <v/>
      </c>
    </row>
    <row r="185">
      <c r="A185" s="10" t="inlineStr">
        <is>
          <t>DN318393</t>
        </is>
      </c>
      <c r="B185" s="10" t="inlineStr">
        <is>
          <t>SO62086</t>
        </is>
      </c>
      <c r="C185" s="10" t="inlineStr">
        <is>
          <t>C11790</t>
        </is>
      </c>
      <c r="D185" s="10">
        <f>INDEX(Customers!$B:$B,MATCH(C185,Customers!$A:$A,0))</f>
        <v/>
      </c>
      <c r="E185" s="10">
        <f>INDEX(Customers!$D:$D,MATCH(C185,Customers!$A:$A,0))</f>
        <v/>
      </c>
      <c r="F185" s="10" t="inlineStr">
        <is>
          <t>Carrier A</t>
        </is>
      </c>
      <c r="G185" s="5" t="n">
        <v>46240</v>
      </c>
      <c r="H185" s="5" t="n">
        <v>46241</v>
      </c>
      <c r="I185" s="5" t="n">
        <v>46241</v>
      </c>
      <c r="J185" s="10" t="inlineStr">
        <is>
          <t>12:00</t>
        </is>
      </c>
      <c r="K185" s="10" t="inlineStr">
        <is>
          <t>On time</t>
        </is>
      </c>
      <c r="L185" s="6" t="n">
        <v>0</v>
      </c>
      <c r="M185" s="10" t="n"/>
      <c r="N185" s="6" t="n">
        <v>18</v>
      </c>
      <c r="O185" s="6" t="n">
        <v>1260</v>
      </c>
      <c r="P185" s="6" t="n">
        <v>1</v>
      </c>
      <c r="Q185" s="6">
        <f>IF(OR(K185="On time",K185="Late",K185="Very late"),1,0)</f>
        <v/>
      </c>
    </row>
    <row r="186">
      <c r="A186" s="10" t="inlineStr">
        <is>
          <t>DN318394</t>
        </is>
      </c>
      <c r="B186" s="10" t="inlineStr">
        <is>
          <t>SO62087</t>
        </is>
      </c>
      <c r="C186" s="10" t="inlineStr">
        <is>
          <t>C11798</t>
        </is>
      </c>
      <c r="D186" s="10">
        <f>INDEX(Customers!$B:$B,MATCH(C186,Customers!$A:$A,0))</f>
        <v/>
      </c>
      <c r="E186" s="10">
        <f>INDEX(Customers!$D:$D,MATCH(C186,Customers!$A:$A,0))</f>
        <v/>
      </c>
      <c r="F186" s="10" t="inlineStr">
        <is>
          <t>Carrier A</t>
        </is>
      </c>
      <c r="G186" s="5" t="n">
        <v>46240</v>
      </c>
      <c r="H186" s="5" t="n">
        <v>46241</v>
      </c>
      <c r="I186" s="5" t="n">
        <v>46241</v>
      </c>
      <c r="J186" s="10" t="inlineStr">
        <is>
          <t>10:30</t>
        </is>
      </c>
      <c r="K186" s="10" t="inlineStr">
        <is>
          <t>On time</t>
        </is>
      </c>
      <c r="L186" s="6" t="n">
        <v>0</v>
      </c>
      <c r="M186" s="10" t="n"/>
      <c r="N186" s="6" t="n">
        <v>2</v>
      </c>
      <c r="O186" s="6" t="n">
        <v>140</v>
      </c>
      <c r="P186" s="6" t="n">
        <v>1</v>
      </c>
      <c r="Q186" s="6">
        <f>IF(OR(K186="On time",K186="Late",K186="Very late"),1,0)</f>
        <v/>
      </c>
    </row>
    <row r="187">
      <c r="A187" s="10" t="inlineStr">
        <is>
          <t>DN318395</t>
        </is>
      </c>
      <c r="B187" s="10" t="inlineStr">
        <is>
          <t>SO62088</t>
        </is>
      </c>
      <c r="C187" s="10" t="inlineStr">
        <is>
          <t>C11866</t>
        </is>
      </c>
      <c r="D187" s="10">
        <f>INDEX(Customers!$B:$B,MATCH(C187,Customers!$A:$A,0))</f>
        <v/>
      </c>
      <c r="E187" s="10">
        <f>INDEX(Customers!$D:$D,MATCH(C187,Customers!$A:$A,0))</f>
        <v/>
      </c>
      <c r="F187" s="10" t="inlineStr">
        <is>
          <t>Carrier A</t>
        </is>
      </c>
      <c r="G187" s="5" t="n">
        <v>46240</v>
      </c>
      <c r="H187" s="5" t="n">
        <v>46241</v>
      </c>
      <c r="I187" s="5" t="n">
        <v>46241</v>
      </c>
      <c r="J187" s="10" t="inlineStr">
        <is>
          <t>09:10</t>
        </is>
      </c>
      <c r="K187" s="10" t="inlineStr">
        <is>
          <t>On time</t>
        </is>
      </c>
      <c r="L187" s="6" t="n">
        <v>0</v>
      </c>
      <c r="M187" s="10" t="n"/>
      <c r="N187" s="6" t="n">
        <v>40</v>
      </c>
      <c r="O187" s="6" t="n">
        <v>3720</v>
      </c>
      <c r="P187" s="6" t="n">
        <v>1</v>
      </c>
      <c r="Q187" s="6">
        <f>IF(OR(K187="On time",K187="Late",K187="Very late"),1,0)</f>
        <v/>
      </c>
    </row>
    <row r="188">
      <c r="A188" s="10" t="inlineStr">
        <is>
          <t>DN318396</t>
        </is>
      </c>
      <c r="B188" s="10" t="inlineStr">
        <is>
          <t>SO62089</t>
        </is>
      </c>
      <c r="C188" s="10" t="inlineStr">
        <is>
          <t>C11950</t>
        </is>
      </c>
      <c r="D188" s="10">
        <f>INDEX(Customers!$B:$B,MATCH(C188,Customers!$A:$A,0))</f>
        <v/>
      </c>
      <c r="E188" s="10">
        <f>INDEX(Customers!$D:$D,MATCH(C188,Customers!$A:$A,0))</f>
        <v/>
      </c>
      <c r="F188" s="10" t="inlineStr">
        <is>
          <t>Carrier A</t>
        </is>
      </c>
      <c r="G188" s="5" t="n">
        <v>46240</v>
      </c>
      <c r="H188" s="5" t="n">
        <v>46241</v>
      </c>
      <c r="I188" s="5" t="n">
        <v>46241</v>
      </c>
      <c r="J188" s="10" t="inlineStr">
        <is>
          <t>15:30</t>
        </is>
      </c>
      <c r="K188" s="10" t="inlineStr">
        <is>
          <t>On time</t>
        </is>
      </c>
      <c r="L188" s="6" t="n">
        <v>0</v>
      </c>
      <c r="M188" s="10" t="n"/>
      <c r="N188" s="6" t="n">
        <v>14</v>
      </c>
      <c r="O188" s="6" t="n">
        <v>924</v>
      </c>
      <c r="P188" s="6" t="n">
        <v>1</v>
      </c>
      <c r="Q188" s="6">
        <f>IF(OR(K188="On time",K188="Late",K188="Very late"),1,0)</f>
        <v/>
      </c>
    </row>
    <row r="189">
      <c r="A189" s="10" t="inlineStr">
        <is>
          <t>DN318397</t>
        </is>
      </c>
      <c r="B189" s="10" t="inlineStr">
        <is>
          <t>SO62090</t>
        </is>
      </c>
      <c r="C189" s="10" t="inlineStr">
        <is>
          <t>C11971</t>
        </is>
      </c>
      <c r="D189" s="10">
        <f>INDEX(Customers!$B:$B,MATCH(C189,Customers!$A:$A,0))</f>
        <v/>
      </c>
      <c r="E189" s="10">
        <f>INDEX(Customers!$D:$D,MATCH(C189,Customers!$A:$A,0))</f>
        <v/>
      </c>
      <c r="F189" s="10" t="inlineStr">
        <is>
          <t>Own trucks</t>
        </is>
      </c>
      <c r="G189" s="5" t="n">
        <v>46240</v>
      </c>
      <c r="H189" s="5" t="n">
        <v>46241</v>
      </c>
      <c r="I189" s="5" t="n">
        <v>46241</v>
      </c>
      <c r="J189" s="10" t="inlineStr">
        <is>
          <t>16:40</t>
        </is>
      </c>
      <c r="K189" s="10" t="inlineStr">
        <is>
          <t>On time</t>
        </is>
      </c>
      <c r="L189" s="6" t="n">
        <v>0</v>
      </c>
      <c r="M189" s="10" t="n"/>
      <c r="N189" s="6" t="n">
        <v>40</v>
      </c>
      <c r="O189" s="6" t="n">
        <v>5120</v>
      </c>
      <c r="P189" s="6" t="n">
        <v>1</v>
      </c>
      <c r="Q189" s="6">
        <f>IF(OR(K189="On time",K189="Late",K189="Very late"),1,0)</f>
        <v/>
      </c>
    </row>
    <row r="190">
      <c r="A190" s="10" t="inlineStr">
        <is>
          <t>DN318398</t>
        </is>
      </c>
      <c r="B190" s="10" t="inlineStr">
        <is>
          <t>SO62092</t>
        </is>
      </c>
      <c r="C190" s="10" t="inlineStr">
        <is>
          <t>C12037</t>
        </is>
      </c>
      <c r="D190" s="10">
        <f>INDEX(Customers!$B:$B,MATCH(C190,Customers!$A:$A,0))</f>
        <v/>
      </c>
      <c r="E190" s="10">
        <f>INDEX(Customers!$D:$D,MATCH(C190,Customers!$A:$A,0))</f>
        <v/>
      </c>
      <c r="F190" s="10" t="inlineStr">
        <is>
          <t>Own trucks</t>
        </is>
      </c>
      <c r="G190" s="5" t="n">
        <v>46240</v>
      </c>
      <c r="H190" s="5" t="n">
        <v>46241</v>
      </c>
      <c r="I190" s="5" t="n">
        <v>46241</v>
      </c>
      <c r="J190" s="10" t="inlineStr">
        <is>
          <t>10:50</t>
        </is>
      </c>
      <c r="K190" s="10" t="inlineStr">
        <is>
          <t>On time</t>
        </is>
      </c>
      <c r="L190" s="6" t="n">
        <v>0</v>
      </c>
      <c r="M190" s="10" t="n"/>
      <c r="N190" s="6" t="n">
        <v>23</v>
      </c>
      <c r="O190" s="6" t="n">
        <v>2875</v>
      </c>
      <c r="P190" s="6" t="n">
        <v>1</v>
      </c>
      <c r="Q190" s="6">
        <f>IF(OR(K190="On time",K190="Late",K190="Very late"),1,0)</f>
        <v/>
      </c>
    </row>
    <row r="191">
      <c r="A191" s="10" t="inlineStr">
        <is>
          <t>DN318399</t>
        </is>
      </c>
      <c r="B191" s="10" t="inlineStr">
        <is>
          <t>SO62093</t>
        </is>
      </c>
      <c r="C191" s="10" t="inlineStr">
        <is>
          <t>C12103</t>
        </is>
      </c>
      <c r="D191" s="10">
        <f>INDEX(Customers!$B:$B,MATCH(C191,Customers!$A:$A,0))</f>
        <v/>
      </c>
      <c r="E191" s="10">
        <f>INDEX(Customers!$D:$D,MATCH(C191,Customers!$A:$A,0))</f>
        <v/>
      </c>
      <c r="F191" s="10" t="inlineStr">
        <is>
          <t>Own trucks</t>
        </is>
      </c>
      <c r="G191" s="5" t="n">
        <v>46240</v>
      </c>
      <c r="H191" s="5" t="n">
        <v>46241</v>
      </c>
      <c r="I191" s="5" t="n">
        <v>46241</v>
      </c>
      <c r="J191" s="10" t="inlineStr">
        <is>
          <t>08:30</t>
        </is>
      </c>
      <c r="K191" s="10" t="inlineStr">
        <is>
          <t>On time</t>
        </is>
      </c>
      <c r="L191" s="6" t="n">
        <v>0</v>
      </c>
      <c r="M191" s="10" t="n"/>
      <c r="N191" s="6" t="n">
        <v>13</v>
      </c>
      <c r="O191" s="6" t="n">
        <v>1079</v>
      </c>
      <c r="P191" s="6" t="n">
        <v>1</v>
      </c>
      <c r="Q191" s="6">
        <f>IF(OR(K191="On time",K191="Late",K191="Very late"),1,0)</f>
        <v/>
      </c>
    </row>
    <row r="192">
      <c r="A192" s="10" t="inlineStr">
        <is>
          <t>DN318400</t>
        </is>
      </c>
      <c r="B192" s="10" t="inlineStr">
        <is>
          <t>SO62094</t>
        </is>
      </c>
      <c r="C192" s="10" t="inlineStr">
        <is>
          <t>C12183</t>
        </is>
      </c>
      <c r="D192" s="10">
        <f>INDEX(Customers!$B:$B,MATCH(C192,Customers!$A:$A,0))</f>
        <v/>
      </c>
      <c r="E192" s="10">
        <f>INDEX(Customers!$D:$D,MATCH(C192,Customers!$A:$A,0))</f>
        <v/>
      </c>
      <c r="F192" s="10" t="inlineStr">
        <is>
          <t>Carrier B</t>
        </is>
      </c>
      <c r="G192" s="5" t="n">
        <v>46240</v>
      </c>
      <c r="H192" s="5" t="n">
        <v>46241</v>
      </c>
      <c r="I192" s="5" t="n">
        <v>46241</v>
      </c>
      <c r="J192" s="10" t="inlineStr">
        <is>
          <t>14:00</t>
        </is>
      </c>
      <c r="K192" s="10" t="inlineStr">
        <is>
          <t>On time</t>
        </is>
      </c>
      <c r="L192" s="6" t="n">
        <v>0</v>
      </c>
      <c r="M192" s="10" t="n"/>
      <c r="N192" s="6" t="n">
        <v>19</v>
      </c>
      <c r="O192" s="6" t="n">
        <v>1748</v>
      </c>
      <c r="P192" s="6" t="n">
        <v>1</v>
      </c>
      <c r="Q192" s="6">
        <f>IF(OR(K192="On time",K192="Late",K192="Very late"),1,0)</f>
        <v/>
      </c>
    </row>
    <row r="193">
      <c r="A193" s="10" t="inlineStr">
        <is>
          <t>DN318401</t>
        </is>
      </c>
      <c r="B193" s="10" t="inlineStr">
        <is>
          <t>SO62095</t>
        </is>
      </c>
      <c r="C193" s="10" t="inlineStr">
        <is>
          <t>C12239</t>
        </is>
      </c>
      <c r="D193" s="10">
        <f>INDEX(Customers!$B:$B,MATCH(C193,Customers!$A:$A,0))</f>
        <v/>
      </c>
      <c r="E193" s="10">
        <f>INDEX(Customers!$D:$D,MATCH(C193,Customers!$A:$A,0))</f>
        <v/>
      </c>
      <c r="F193" s="10" t="inlineStr">
        <is>
          <t>Carrier B</t>
        </is>
      </c>
      <c r="G193" s="5" t="n">
        <v>46240</v>
      </c>
      <c r="H193" s="5" t="n">
        <v>46241</v>
      </c>
      <c r="I193" s="5" t="n">
        <v>46241</v>
      </c>
      <c r="J193" s="10" t="inlineStr">
        <is>
          <t>14:20</t>
        </is>
      </c>
      <c r="K193" s="10" t="inlineStr">
        <is>
          <t>On time</t>
        </is>
      </c>
      <c r="L193" s="6" t="n">
        <v>0</v>
      </c>
      <c r="M193" s="10" t="n"/>
      <c r="N193" s="6" t="n">
        <v>6</v>
      </c>
      <c r="O193" s="6" t="n">
        <v>624</v>
      </c>
      <c r="P193" s="6" t="n">
        <v>1</v>
      </c>
      <c r="Q193" s="6">
        <f>IF(OR(K193="On time",K193="Late",K193="Very late"),1,0)</f>
        <v/>
      </c>
    </row>
    <row r="194">
      <c r="A194" s="10" t="inlineStr">
        <is>
          <t>DN318402</t>
        </is>
      </c>
      <c r="B194" s="10" t="inlineStr">
        <is>
          <t>SO62096</t>
        </is>
      </c>
      <c r="C194" s="10" t="inlineStr">
        <is>
          <t>C12262</t>
        </is>
      </c>
      <c r="D194" s="10">
        <f>INDEX(Customers!$B:$B,MATCH(C194,Customers!$A:$A,0))</f>
        <v/>
      </c>
      <c r="E194" s="10">
        <f>INDEX(Customers!$D:$D,MATCH(C194,Customers!$A:$A,0))</f>
        <v/>
      </c>
      <c r="F194" s="10" t="inlineStr">
        <is>
          <t>Carrier B</t>
        </is>
      </c>
      <c r="G194" s="5" t="n">
        <v>46240</v>
      </c>
      <c r="H194" s="5" t="n">
        <v>46241</v>
      </c>
      <c r="I194" s="5" t="n">
        <v>46241</v>
      </c>
      <c r="J194" s="10" t="inlineStr">
        <is>
          <t>13:00</t>
        </is>
      </c>
      <c r="K194" s="10" t="inlineStr">
        <is>
          <t>On time</t>
        </is>
      </c>
      <c r="L194" s="6" t="n">
        <v>0</v>
      </c>
      <c r="M194" s="10" t="n"/>
      <c r="N194" s="6" t="n">
        <v>9</v>
      </c>
      <c r="O194" s="6" t="n">
        <v>810</v>
      </c>
      <c r="P194" s="6" t="n">
        <v>1</v>
      </c>
      <c r="Q194" s="6">
        <f>IF(OR(K194="On time",K194="Late",K194="Very late"),1,0)</f>
        <v/>
      </c>
    </row>
    <row r="195">
      <c r="A195" s="10" t="inlineStr">
        <is>
          <t>DN318403</t>
        </is>
      </c>
      <c r="B195" s="10" t="inlineStr">
        <is>
          <t>SO62098</t>
        </is>
      </c>
      <c r="C195" s="10" t="inlineStr">
        <is>
          <t>C12305</t>
        </is>
      </c>
      <c r="D195" s="10">
        <f>INDEX(Customers!$B:$B,MATCH(C195,Customers!$A:$A,0))</f>
        <v/>
      </c>
      <c r="E195" s="10">
        <f>INDEX(Customers!$D:$D,MATCH(C195,Customers!$A:$A,0))</f>
        <v/>
      </c>
      <c r="F195" s="10" t="inlineStr">
        <is>
          <t>Carrier B</t>
        </is>
      </c>
      <c r="G195" s="5" t="n">
        <v>46240</v>
      </c>
      <c r="H195" s="5" t="n">
        <v>46241</v>
      </c>
      <c r="I195" s="5" t="n">
        <v>46241</v>
      </c>
      <c r="J195" s="10" t="inlineStr">
        <is>
          <t>10:20</t>
        </is>
      </c>
      <c r="K195" s="10" t="inlineStr">
        <is>
          <t>On time</t>
        </is>
      </c>
      <c r="L195" s="6" t="n">
        <v>0</v>
      </c>
      <c r="M195" s="10" t="n"/>
      <c r="N195" s="6" t="n">
        <v>38</v>
      </c>
      <c r="O195" s="6" t="n">
        <v>3610</v>
      </c>
      <c r="P195" s="6" t="n">
        <v>1</v>
      </c>
      <c r="Q195" s="6">
        <f>IF(OR(K195="On time",K195="Late",K195="Very late"),1,0)</f>
        <v/>
      </c>
    </row>
    <row r="196">
      <c r="A196" s="10" t="inlineStr">
        <is>
          <t>DN318404</t>
        </is>
      </c>
      <c r="B196" s="10" t="inlineStr">
        <is>
          <t>SO62099</t>
        </is>
      </c>
      <c r="C196" s="10" t="inlineStr">
        <is>
          <t>C12365</t>
        </is>
      </c>
      <c r="D196" s="10">
        <f>INDEX(Customers!$B:$B,MATCH(C196,Customers!$A:$A,0))</f>
        <v/>
      </c>
      <c r="E196" s="10">
        <f>INDEX(Customers!$D:$D,MATCH(C196,Customers!$A:$A,0))</f>
        <v/>
      </c>
      <c r="F196" s="10" t="inlineStr">
        <is>
          <t>Carrier B</t>
        </is>
      </c>
      <c r="G196" s="5" t="n">
        <v>46240</v>
      </c>
      <c r="H196" s="5" t="n">
        <v>46241</v>
      </c>
      <c r="I196" s="5" t="n">
        <v>46241</v>
      </c>
      <c r="J196" s="10" t="inlineStr">
        <is>
          <t>07:50</t>
        </is>
      </c>
      <c r="K196" s="10" t="inlineStr">
        <is>
          <t>On time</t>
        </is>
      </c>
      <c r="L196" s="6" t="n">
        <v>0</v>
      </c>
      <c r="M196" s="10" t="n"/>
      <c r="N196" s="6" t="n">
        <v>20</v>
      </c>
      <c r="O196" s="6" t="n">
        <v>1520</v>
      </c>
      <c r="P196" s="6" t="n">
        <v>1</v>
      </c>
      <c r="Q196" s="6">
        <f>IF(OR(K196="On time",K196="Late",K196="Very late"),1,0)</f>
        <v/>
      </c>
    </row>
    <row r="197">
      <c r="A197" s="10" t="inlineStr">
        <is>
          <t>DN318405</t>
        </is>
      </c>
      <c r="B197" s="10" t="inlineStr">
        <is>
          <t>SO62100</t>
        </is>
      </c>
      <c r="C197" s="10" t="inlineStr">
        <is>
          <t>C12371</t>
        </is>
      </c>
      <c r="D197" s="10">
        <f>INDEX(Customers!$B:$B,MATCH(C197,Customers!$A:$A,0))</f>
        <v/>
      </c>
      <c r="E197" s="10">
        <f>INDEX(Customers!$D:$D,MATCH(C197,Customers!$A:$A,0))</f>
        <v/>
      </c>
      <c r="F197" s="10" t="inlineStr">
        <is>
          <t>Carrier A</t>
        </is>
      </c>
      <c r="G197" s="5" t="n">
        <v>46240</v>
      </c>
      <c r="H197" s="5" t="n">
        <v>46241</v>
      </c>
      <c r="I197" s="5" t="n">
        <v>46241</v>
      </c>
      <c r="J197" s="10" t="inlineStr">
        <is>
          <t>14:40</t>
        </is>
      </c>
      <c r="K197" s="10" t="inlineStr">
        <is>
          <t>On time</t>
        </is>
      </c>
      <c r="L197" s="6" t="n">
        <v>0</v>
      </c>
      <c r="M197" s="10" t="n"/>
      <c r="N197" s="6" t="n">
        <v>6</v>
      </c>
      <c r="O197" s="6" t="n">
        <v>750</v>
      </c>
      <c r="P197" s="6" t="n">
        <v>1</v>
      </c>
      <c r="Q197" s="6">
        <f>IF(OR(K197="On time",K197="Late",K197="Very late"),1,0)</f>
        <v/>
      </c>
    </row>
    <row r="198">
      <c r="A198" s="10" t="inlineStr">
        <is>
          <t>DN318406</t>
        </is>
      </c>
      <c r="B198" s="10" t="inlineStr">
        <is>
          <t>SO62101</t>
        </is>
      </c>
      <c r="C198" s="10" t="inlineStr">
        <is>
          <t>C12420</t>
        </is>
      </c>
      <c r="D198" s="10">
        <f>INDEX(Customers!$B:$B,MATCH(C198,Customers!$A:$A,0))</f>
        <v/>
      </c>
      <c r="E198" s="10">
        <f>INDEX(Customers!$D:$D,MATCH(C198,Customers!$A:$A,0))</f>
        <v/>
      </c>
      <c r="F198" s="10" t="inlineStr">
        <is>
          <t>Carrier A</t>
        </is>
      </c>
      <c r="G198" s="5" t="n">
        <v>46240</v>
      </c>
      <c r="H198" s="5" t="n">
        <v>46241</v>
      </c>
      <c r="I198" s="5" t="n">
        <v>46241</v>
      </c>
      <c r="J198" s="10" t="inlineStr">
        <is>
          <t>16:20</t>
        </is>
      </c>
      <c r="K198" s="10" t="inlineStr">
        <is>
          <t>On time</t>
        </is>
      </c>
      <c r="L198" s="6" t="n">
        <v>0</v>
      </c>
      <c r="M198" s="10" t="n"/>
      <c r="N198" s="6" t="n">
        <v>27</v>
      </c>
      <c r="O198" s="6" t="n">
        <v>3402</v>
      </c>
      <c r="P198" s="6" t="n">
        <v>1</v>
      </c>
      <c r="Q198" s="6">
        <f>IF(OR(K198="On time",K198="Late",K198="Very late"),1,0)</f>
        <v/>
      </c>
    </row>
    <row r="199">
      <c r="A199" s="10" t="inlineStr">
        <is>
          <t>DN318407</t>
        </is>
      </c>
      <c r="B199" s="10" t="inlineStr">
        <is>
          <t>SO62102</t>
        </is>
      </c>
      <c r="C199" s="10" t="inlineStr">
        <is>
          <t>C12527</t>
        </is>
      </c>
      <c r="D199" s="10">
        <f>INDEX(Customers!$B:$B,MATCH(C199,Customers!$A:$A,0))</f>
        <v/>
      </c>
      <c r="E199" s="10">
        <f>INDEX(Customers!$D:$D,MATCH(C199,Customers!$A:$A,0))</f>
        <v/>
      </c>
      <c r="F199" s="10" t="inlineStr">
        <is>
          <t>Carrier A</t>
        </is>
      </c>
      <c r="G199" s="5" t="n">
        <v>46240</v>
      </c>
      <c r="H199" s="5" t="n">
        <v>46241</v>
      </c>
      <c r="I199" s="5" t="n">
        <v>46244</v>
      </c>
      <c r="J199" s="10" t="inlineStr">
        <is>
          <t>09:00</t>
        </is>
      </c>
      <c r="K199" s="10" t="inlineStr">
        <is>
          <t>Late</t>
        </is>
      </c>
      <c r="L199" s="6" t="n">
        <v>1</v>
      </c>
      <c r="M199" s="10" t="inlineStr">
        <is>
          <t>Customer closed (failed attempt)</t>
        </is>
      </c>
      <c r="N199" s="6" t="n">
        <v>3</v>
      </c>
      <c r="O199" s="6" t="n">
        <v>351</v>
      </c>
      <c r="P199" s="6" t="n">
        <v>1</v>
      </c>
      <c r="Q199" s="6">
        <f>IF(OR(K199="On time",K199="Late",K199="Very late"),1,0)</f>
        <v/>
      </c>
    </row>
    <row r="200">
      <c r="A200" s="10" t="inlineStr">
        <is>
          <t>DN318408</t>
        </is>
      </c>
      <c r="B200" s="10" t="inlineStr">
        <is>
          <t>SO62103</t>
        </is>
      </c>
      <c r="C200" s="10" t="inlineStr">
        <is>
          <t>C12543</t>
        </is>
      </c>
      <c r="D200" s="10">
        <f>INDEX(Customers!$B:$B,MATCH(C200,Customers!$A:$A,0))</f>
        <v/>
      </c>
      <c r="E200" s="10">
        <f>INDEX(Customers!$D:$D,MATCH(C200,Customers!$A:$A,0))</f>
        <v/>
      </c>
      <c r="F200" s="10" t="inlineStr">
        <is>
          <t>Carrier B</t>
        </is>
      </c>
      <c r="G200" s="5" t="n">
        <v>46239</v>
      </c>
      <c r="H200" s="5" t="n">
        <v>46241</v>
      </c>
      <c r="I200" s="5" t="n">
        <v>46241</v>
      </c>
      <c r="J200" s="10" t="inlineStr">
        <is>
          <t>14:00</t>
        </is>
      </c>
      <c r="K200" s="10" t="inlineStr">
        <is>
          <t>On time</t>
        </is>
      </c>
      <c r="L200" s="6" t="n">
        <v>0</v>
      </c>
      <c r="M200" s="10" t="n"/>
      <c r="N200" s="6" t="n">
        <v>14</v>
      </c>
      <c r="O200" s="6" t="n">
        <v>1834</v>
      </c>
      <c r="P200" s="6" t="n">
        <v>1</v>
      </c>
      <c r="Q200" s="6">
        <f>IF(OR(K200="On time",K200="Late",K200="Very late"),1,0)</f>
        <v/>
      </c>
    </row>
    <row r="201">
      <c r="A201" s="10" t="inlineStr">
        <is>
          <t>DN318409</t>
        </is>
      </c>
      <c r="B201" s="10" t="inlineStr">
        <is>
          <t>SO62104</t>
        </is>
      </c>
      <c r="C201" s="10" t="inlineStr">
        <is>
          <t>C12617</t>
        </is>
      </c>
      <c r="D201" s="10">
        <f>INDEX(Customers!$B:$B,MATCH(C201,Customers!$A:$A,0))</f>
        <v/>
      </c>
      <c r="E201" s="10">
        <f>INDEX(Customers!$D:$D,MATCH(C201,Customers!$A:$A,0))</f>
        <v/>
      </c>
      <c r="F201" s="10" t="inlineStr">
        <is>
          <t>Carrier B</t>
        </is>
      </c>
      <c r="G201" s="5" t="n">
        <v>46239</v>
      </c>
      <c r="H201" s="5" t="n">
        <v>46241</v>
      </c>
      <c r="I201" s="5" t="n">
        <v>46241</v>
      </c>
      <c r="J201" s="10" t="inlineStr">
        <is>
          <t>07:10</t>
        </is>
      </c>
      <c r="K201" s="10" t="inlineStr">
        <is>
          <t>On time</t>
        </is>
      </c>
      <c r="L201" s="6" t="n">
        <v>0</v>
      </c>
      <c r="M201" s="10" t="n"/>
      <c r="N201" s="6" t="n">
        <v>4</v>
      </c>
      <c r="O201" s="6" t="n">
        <v>376</v>
      </c>
      <c r="P201" s="6" t="n">
        <v>1</v>
      </c>
      <c r="Q201" s="6">
        <f>IF(OR(K201="On time",K201="Late",K201="Very late"),1,0)</f>
        <v/>
      </c>
    </row>
    <row r="202">
      <c r="A202" s="10" t="inlineStr">
        <is>
          <t>DN318410</t>
        </is>
      </c>
      <c r="B202" s="10" t="inlineStr">
        <is>
          <t>SO62106</t>
        </is>
      </c>
      <c r="C202" s="10" t="inlineStr">
        <is>
          <t>C12639</t>
        </is>
      </c>
      <c r="D202" s="10">
        <f>INDEX(Customers!$B:$B,MATCH(C202,Customers!$A:$A,0))</f>
        <v/>
      </c>
      <c r="E202" s="10">
        <f>INDEX(Customers!$D:$D,MATCH(C202,Customers!$A:$A,0))</f>
        <v/>
      </c>
      <c r="F202" s="10" t="inlineStr">
        <is>
          <t>Carrier B</t>
        </is>
      </c>
      <c r="G202" s="5" t="n">
        <v>46239</v>
      </c>
      <c r="H202" s="5" t="n">
        <v>46241</v>
      </c>
      <c r="I202" s="5" t="n">
        <v>46241</v>
      </c>
      <c r="J202" s="10" t="inlineStr">
        <is>
          <t>08:30</t>
        </is>
      </c>
      <c r="K202" s="10" t="inlineStr">
        <is>
          <t>On time</t>
        </is>
      </c>
      <c r="L202" s="6" t="n">
        <v>0</v>
      </c>
      <c r="M202" s="10" t="n"/>
      <c r="N202" s="6" t="n">
        <v>27</v>
      </c>
      <c r="O202" s="6" t="n">
        <v>1728</v>
      </c>
      <c r="P202" s="6" t="n">
        <v>1</v>
      </c>
      <c r="Q202" s="6">
        <f>IF(OR(K202="On time",K202="Late",K202="Very late"),1,0)</f>
        <v/>
      </c>
    </row>
    <row r="203">
      <c r="A203" s="10" t="inlineStr">
        <is>
          <t>DN318411</t>
        </is>
      </c>
      <c r="B203" s="10" t="inlineStr">
        <is>
          <t>SO62107</t>
        </is>
      </c>
      <c r="C203" s="10" t="inlineStr">
        <is>
          <t>C12675</t>
        </is>
      </c>
      <c r="D203" s="10">
        <f>INDEX(Customers!$B:$B,MATCH(C203,Customers!$A:$A,0))</f>
        <v/>
      </c>
      <c r="E203" s="10">
        <f>INDEX(Customers!$D:$D,MATCH(C203,Customers!$A:$A,0))</f>
        <v/>
      </c>
      <c r="F203" s="10" t="inlineStr">
        <is>
          <t>Carrier B</t>
        </is>
      </c>
      <c r="G203" s="5" t="n">
        <v>46239</v>
      </c>
      <c r="H203" s="5" t="n">
        <v>46241</v>
      </c>
      <c r="I203" s="5" t="n">
        <v>46241</v>
      </c>
      <c r="J203" s="10" t="inlineStr">
        <is>
          <t>08:00</t>
        </is>
      </c>
      <c r="K203" s="10" t="inlineStr">
        <is>
          <t>On time</t>
        </is>
      </c>
      <c r="L203" s="6" t="n">
        <v>0</v>
      </c>
      <c r="M203" s="10" t="n"/>
      <c r="N203" s="6" t="n">
        <v>2</v>
      </c>
      <c r="O203" s="6" t="n">
        <v>156</v>
      </c>
      <c r="P203" s="6" t="n">
        <v>0</v>
      </c>
      <c r="Q203" s="6">
        <f>IF(OR(K203="On time",K203="Late",K203="Very late"),1,0)</f>
        <v/>
      </c>
    </row>
    <row r="204">
      <c r="A204" s="10" t="inlineStr">
        <is>
          <t>DN318412</t>
        </is>
      </c>
      <c r="B204" s="10" t="inlineStr">
        <is>
          <t>SO62108</t>
        </is>
      </c>
      <c r="C204" s="10" t="inlineStr">
        <is>
          <t>C10322</t>
        </is>
      </c>
      <c r="D204" s="10">
        <f>INDEX(Customers!$B:$B,MATCH(C204,Customers!$A:$A,0))</f>
        <v/>
      </c>
      <c r="E204" s="10">
        <f>INDEX(Customers!$D:$D,MATCH(C204,Customers!$A:$A,0))</f>
        <v/>
      </c>
      <c r="F204" s="10" t="inlineStr">
        <is>
          <t>Same-day courier</t>
        </is>
      </c>
      <c r="G204" s="5" t="n">
        <v>46241</v>
      </c>
      <c r="H204" s="5" t="n">
        <v>46244</v>
      </c>
      <c r="I204" s="5" t="n">
        <v>46244</v>
      </c>
      <c r="J204" s="10" t="inlineStr">
        <is>
          <t>10:00</t>
        </is>
      </c>
      <c r="K204" s="10" t="inlineStr">
        <is>
          <t>On time</t>
        </is>
      </c>
      <c r="L204" s="6" t="n">
        <v>0</v>
      </c>
      <c r="M204" s="10" t="n"/>
      <c r="N204" s="6" t="n">
        <v>2</v>
      </c>
      <c r="O204" s="6" t="n">
        <v>188</v>
      </c>
      <c r="P204" s="6" t="n">
        <v>1</v>
      </c>
      <c r="Q204" s="6">
        <f>IF(OR(K204="On time",K204="Late",K204="Very late"),1,0)</f>
        <v/>
      </c>
    </row>
    <row r="205">
      <c r="A205" s="10" t="inlineStr">
        <is>
          <t>DN318413</t>
        </is>
      </c>
      <c r="B205" s="10" t="inlineStr">
        <is>
          <t>SO62109</t>
        </is>
      </c>
      <c r="C205" s="10" t="inlineStr">
        <is>
          <t>C10343</t>
        </is>
      </c>
      <c r="D205" s="10">
        <f>INDEX(Customers!$B:$B,MATCH(C205,Customers!$A:$A,0))</f>
        <v/>
      </c>
      <c r="E205" s="10">
        <f>INDEX(Customers!$D:$D,MATCH(C205,Customers!$A:$A,0))</f>
        <v/>
      </c>
      <c r="F205" s="10" t="inlineStr">
        <is>
          <t>Own trucks</t>
        </is>
      </c>
      <c r="G205" s="5" t="n">
        <v>46241</v>
      </c>
      <c r="H205" s="5" t="n">
        <v>46244</v>
      </c>
      <c r="I205" s="5" t="n">
        <v>46245</v>
      </c>
      <c r="J205" s="10" t="inlineStr">
        <is>
          <t>12:10</t>
        </is>
      </c>
      <c r="K205" s="10" t="inlineStr">
        <is>
          <t>Late</t>
        </is>
      </c>
      <c r="L205" s="6" t="n">
        <v>1</v>
      </c>
      <c r="M205" s="10" t="inlineStr">
        <is>
          <t>Carrier delay</t>
        </is>
      </c>
      <c r="N205" s="6" t="n">
        <v>39</v>
      </c>
      <c r="O205" s="6" t="n">
        <v>3354</v>
      </c>
      <c r="P205" s="6" t="n">
        <v>1</v>
      </c>
      <c r="Q205" s="6">
        <f>IF(OR(K205="On time",K205="Late",K205="Very late"),1,0)</f>
        <v/>
      </c>
    </row>
    <row r="206">
      <c r="A206" s="10" t="inlineStr">
        <is>
          <t>DN318414</t>
        </is>
      </c>
      <c r="B206" s="10" t="inlineStr">
        <is>
          <t>SO62111</t>
        </is>
      </c>
      <c r="C206" s="10" t="inlineStr">
        <is>
          <t>C10413</t>
        </is>
      </c>
      <c r="D206" s="10">
        <f>INDEX(Customers!$B:$B,MATCH(C206,Customers!$A:$A,0))</f>
        <v/>
      </c>
      <c r="E206" s="10">
        <f>INDEX(Customers!$D:$D,MATCH(C206,Customers!$A:$A,0))</f>
        <v/>
      </c>
      <c r="F206" s="10" t="inlineStr">
        <is>
          <t>Own trucks</t>
        </is>
      </c>
      <c r="G206" s="5" t="n">
        <v>46241</v>
      </c>
      <c r="H206" s="5" t="n">
        <v>46244</v>
      </c>
      <c r="I206" s="5" t="n">
        <v>46244</v>
      </c>
      <c r="J206" s="10" t="inlineStr">
        <is>
          <t>07:40</t>
        </is>
      </c>
      <c r="K206" s="10" t="inlineStr">
        <is>
          <t>On time</t>
        </is>
      </c>
      <c r="L206" s="6" t="n">
        <v>0</v>
      </c>
      <c r="M206" s="10" t="n"/>
      <c r="N206" s="6" t="n">
        <v>7</v>
      </c>
      <c r="O206" s="6" t="n">
        <v>518</v>
      </c>
      <c r="P206" s="6" t="n">
        <v>1</v>
      </c>
      <c r="Q206" s="6">
        <f>IF(OR(K206="On time",K206="Late",K206="Very late"),1,0)</f>
        <v/>
      </c>
    </row>
    <row r="207">
      <c r="A207" s="10" t="inlineStr">
        <is>
          <t>DN318415</t>
        </is>
      </c>
      <c r="B207" s="10" t="inlineStr">
        <is>
          <t>SO62112</t>
        </is>
      </c>
      <c r="C207" s="10" t="inlineStr">
        <is>
          <t>C10522</t>
        </is>
      </c>
      <c r="D207" s="10">
        <f>INDEX(Customers!$B:$B,MATCH(C207,Customers!$A:$A,0))</f>
        <v/>
      </c>
      <c r="E207" s="10">
        <f>INDEX(Customers!$D:$D,MATCH(C207,Customers!$A:$A,0))</f>
        <v/>
      </c>
      <c r="F207" s="10" t="inlineStr">
        <is>
          <t>Own trucks</t>
        </is>
      </c>
      <c r="G207" s="5" t="n">
        <v>46241</v>
      </c>
      <c r="H207" s="5" t="n">
        <v>46244</v>
      </c>
      <c r="I207" s="5" t="n">
        <v>46244</v>
      </c>
      <c r="J207" s="10" t="inlineStr">
        <is>
          <t>09:40</t>
        </is>
      </c>
      <c r="K207" s="10" t="inlineStr">
        <is>
          <t>On time</t>
        </is>
      </c>
      <c r="L207" s="6" t="n">
        <v>0</v>
      </c>
      <c r="M207" s="10" t="n"/>
      <c r="N207" s="6" t="n">
        <v>12</v>
      </c>
      <c r="O207" s="6" t="n">
        <v>972</v>
      </c>
      <c r="P207" s="6" t="n">
        <v>1</v>
      </c>
      <c r="Q207" s="6">
        <f>IF(OR(K207="On time",K207="Late",K207="Very late"),1,0)</f>
        <v/>
      </c>
    </row>
    <row r="208">
      <c r="A208" s="10" t="inlineStr">
        <is>
          <t>DN318416</t>
        </is>
      </c>
      <c r="B208" s="10" t="inlineStr">
        <is>
          <t>SO62114</t>
        </is>
      </c>
      <c r="C208" s="10" t="inlineStr">
        <is>
          <t>C10536</t>
        </is>
      </c>
      <c r="D208" s="10">
        <f>INDEX(Customers!$B:$B,MATCH(C208,Customers!$A:$A,0))</f>
        <v/>
      </c>
      <c r="E208" s="10">
        <f>INDEX(Customers!$D:$D,MATCH(C208,Customers!$A:$A,0))</f>
        <v/>
      </c>
      <c r="F208" s="10" t="inlineStr">
        <is>
          <t>Own trucks</t>
        </is>
      </c>
      <c r="G208" s="5" t="n">
        <v>46241</v>
      </c>
      <c r="H208" s="5" t="n">
        <v>46244</v>
      </c>
      <c r="I208" s="5" t="n">
        <v>46244</v>
      </c>
      <c r="J208" s="10" t="inlineStr">
        <is>
          <t>10:10</t>
        </is>
      </c>
      <c r="K208" s="10" t="inlineStr">
        <is>
          <t>On time</t>
        </is>
      </c>
      <c r="L208" s="6" t="n">
        <v>0</v>
      </c>
      <c r="M208" s="10" t="n"/>
      <c r="N208" s="6" t="n">
        <v>33</v>
      </c>
      <c r="O208" s="6" t="n">
        <v>2046</v>
      </c>
      <c r="P208" s="6" t="n">
        <v>1</v>
      </c>
      <c r="Q208" s="6">
        <f>IF(OR(K208="On time",K208="Late",K208="Very late"),1,0)</f>
        <v/>
      </c>
    </row>
    <row r="209">
      <c r="A209" s="10" t="inlineStr">
        <is>
          <t>DN318417</t>
        </is>
      </c>
      <c r="B209" s="10" t="inlineStr">
        <is>
          <t>SO62115</t>
        </is>
      </c>
      <c r="C209" s="10" t="inlineStr">
        <is>
          <t>C10589</t>
        </is>
      </c>
      <c r="D209" s="10">
        <f>INDEX(Customers!$B:$B,MATCH(C209,Customers!$A:$A,0))</f>
        <v/>
      </c>
      <c r="E209" s="10">
        <f>INDEX(Customers!$D:$D,MATCH(C209,Customers!$A:$A,0))</f>
        <v/>
      </c>
      <c r="F209" s="10" t="inlineStr">
        <is>
          <t>Own trucks</t>
        </is>
      </c>
      <c r="G209" s="5" t="n">
        <v>46241</v>
      </c>
      <c r="H209" s="5" t="n">
        <v>46244</v>
      </c>
      <c r="I209" s="5" t="n">
        <v>46244</v>
      </c>
      <c r="J209" s="10" t="inlineStr">
        <is>
          <t>13:00</t>
        </is>
      </c>
      <c r="K209" s="10" t="inlineStr">
        <is>
          <t>On time</t>
        </is>
      </c>
      <c r="L209" s="6" t="n">
        <v>0</v>
      </c>
      <c r="M209" s="10" t="n"/>
      <c r="N209" s="6" t="n">
        <v>25</v>
      </c>
      <c r="O209" s="6" t="n">
        <v>3150</v>
      </c>
      <c r="P209" s="6" t="n">
        <v>1</v>
      </c>
      <c r="Q209" s="6">
        <f>IF(OR(K209="On time",K209="Late",K209="Very late"),1,0)</f>
        <v/>
      </c>
    </row>
    <row r="210">
      <c r="A210" s="10" t="inlineStr">
        <is>
          <t>DN318418</t>
        </is>
      </c>
      <c r="B210" s="10" t="inlineStr">
        <is>
          <t>SO62116</t>
        </is>
      </c>
      <c r="C210" s="10" t="inlineStr">
        <is>
          <t>C10622</t>
        </is>
      </c>
      <c r="D210" s="10">
        <f>INDEX(Customers!$B:$B,MATCH(C210,Customers!$A:$A,0))</f>
        <v/>
      </c>
      <c r="E210" s="10">
        <f>INDEX(Customers!$D:$D,MATCH(C210,Customers!$A:$A,0))</f>
        <v/>
      </c>
      <c r="F210" s="10" t="inlineStr">
        <is>
          <t>Own trucks</t>
        </is>
      </c>
      <c r="G210" s="5" t="n">
        <v>46241</v>
      </c>
      <c r="H210" s="5" t="n">
        <v>46244</v>
      </c>
      <c r="I210" s="5" t="n">
        <v>46244</v>
      </c>
      <c r="J210" s="10" t="inlineStr">
        <is>
          <t>16:40</t>
        </is>
      </c>
      <c r="K210" s="10" t="inlineStr">
        <is>
          <t>On time</t>
        </is>
      </c>
      <c r="L210" s="6" t="n">
        <v>0</v>
      </c>
      <c r="M210" s="10" t="n"/>
      <c r="N210" s="6" t="n">
        <v>8</v>
      </c>
      <c r="O210" s="6" t="n">
        <v>736</v>
      </c>
      <c r="P210" s="6" t="n">
        <v>1</v>
      </c>
      <c r="Q210" s="6">
        <f>IF(OR(K210="On time",K210="Late",K210="Very late"),1,0)</f>
        <v/>
      </c>
    </row>
    <row r="211">
      <c r="A211" s="10" t="inlineStr">
        <is>
          <t>DN318419</t>
        </is>
      </c>
      <c r="B211" s="10" t="inlineStr">
        <is>
          <t>SO62118</t>
        </is>
      </c>
      <c r="C211" s="10" t="inlineStr">
        <is>
          <t>C10676</t>
        </is>
      </c>
      <c r="D211" s="10">
        <f>INDEX(Customers!$B:$B,MATCH(C211,Customers!$A:$A,0))</f>
        <v/>
      </c>
      <c r="E211" s="10">
        <f>INDEX(Customers!$D:$D,MATCH(C211,Customers!$A:$A,0))</f>
        <v/>
      </c>
      <c r="F211" s="10" t="inlineStr">
        <is>
          <t>Own trucks</t>
        </is>
      </c>
      <c r="G211" s="5" t="n">
        <v>46241</v>
      </c>
      <c r="H211" s="5" t="n">
        <v>46244</v>
      </c>
      <c r="I211" s="5" t="n">
        <v>46244</v>
      </c>
      <c r="J211" s="10" t="inlineStr">
        <is>
          <t>12:20</t>
        </is>
      </c>
      <c r="K211" s="10" t="inlineStr">
        <is>
          <t>On time</t>
        </is>
      </c>
      <c r="L211" s="6" t="n">
        <v>0</v>
      </c>
      <c r="M211" s="10" t="n"/>
      <c r="N211" s="6" t="n">
        <v>18</v>
      </c>
      <c r="O211" s="6" t="n">
        <v>2232</v>
      </c>
      <c r="P211" s="6" t="n">
        <v>1</v>
      </c>
      <c r="Q211" s="6">
        <f>IF(OR(K211="On time",K211="Late",K211="Very late"),1,0)</f>
        <v/>
      </c>
    </row>
    <row r="212">
      <c r="A212" s="10" t="inlineStr">
        <is>
          <t>DN318420</t>
        </is>
      </c>
      <c r="B212" s="10" t="inlineStr">
        <is>
          <t>SO62119</t>
        </is>
      </c>
      <c r="C212" s="10" t="inlineStr">
        <is>
          <t>C10684</t>
        </is>
      </c>
      <c r="D212" s="10">
        <f>INDEX(Customers!$B:$B,MATCH(C212,Customers!$A:$A,0))</f>
        <v/>
      </c>
      <c r="E212" s="10">
        <f>INDEX(Customers!$D:$D,MATCH(C212,Customers!$A:$A,0))</f>
        <v/>
      </c>
      <c r="F212" s="10" t="inlineStr">
        <is>
          <t>Own trucks</t>
        </is>
      </c>
      <c r="G212" s="5" t="n">
        <v>46241</v>
      </c>
      <c r="H212" s="5" t="n">
        <v>46244</v>
      </c>
      <c r="I212" s="5" t="n">
        <v>46244</v>
      </c>
      <c r="J212" s="10" t="inlineStr">
        <is>
          <t>10:20</t>
        </is>
      </c>
      <c r="K212" s="10" t="inlineStr">
        <is>
          <t>On time</t>
        </is>
      </c>
      <c r="L212" s="6" t="n">
        <v>0</v>
      </c>
      <c r="M212" s="10" t="n"/>
      <c r="N212" s="6" t="n">
        <v>8</v>
      </c>
      <c r="O212" s="6" t="n">
        <v>840</v>
      </c>
      <c r="P212" s="6" t="n">
        <v>1</v>
      </c>
      <c r="Q212" s="6">
        <f>IF(OR(K212="On time",K212="Late",K212="Very late"),1,0)</f>
        <v/>
      </c>
    </row>
    <row r="213">
      <c r="A213" s="10" t="inlineStr">
        <is>
          <t>DN318421</t>
        </is>
      </c>
      <c r="B213" s="10" t="inlineStr">
        <is>
          <t>SO62120</t>
        </is>
      </c>
      <c r="C213" s="10" t="inlineStr">
        <is>
          <t>C10746</t>
        </is>
      </c>
      <c r="D213" s="10">
        <f>INDEX(Customers!$B:$B,MATCH(C213,Customers!$A:$A,0))</f>
        <v/>
      </c>
      <c r="E213" s="10">
        <f>INDEX(Customers!$D:$D,MATCH(C213,Customers!$A:$A,0))</f>
        <v/>
      </c>
      <c r="F213" s="10" t="inlineStr">
        <is>
          <t>Own trucks</t>
        </is>
      </c>
      <c r="G213" s="5" t="n">
        <v>46241</v>
      </c>
      <c r="H213" s="5" t="n">
        <v>46244</v>
      </c>
      <c r="I213" s="5" t="n">
        <v>46244</v>
      </c>
      <c r="J213" s="10" t="inlineStr">
        <is>
          <t>12:40</t>
        </is>
      </c>
      <c r="K213" s="10" t="inlineStr">
        <is>
          <t>On time</t>
        </is>
      </c>
      <c r="L213" s="6" t="n">
        <v>0</v>
      </c>
      <c r="M213" s="10" t="n"/>
      <c r="N213" s="6" t="n">
        <v>31</v>
      </c>
      <c r="O213" s="6" t="n">
        <v>2480</v>
      </c>
      <c r="P213" s="6" t="n">
        <v>1</v>
      </c>
      <c r="Q213" s="6">
        <f>IF(OR(K213="On time",K213="Late",K213="Very late"),1,0)</f>
        <v/>
      </c>
    </row>
    <row r="214">
      <c r="A214" s="10" t="inlineStr">
        <is>
          <t>DN318422</t>
        </is>
      </c>
      <c r="B214" s="10" t="inlineStr">
        <is>
          <t>SO62122</t>
        </is>
      </c>
      <c r="C214" s="10" t="inlineStr">
        <is>
          <t>C10847</t>
        </is>
      </c>
      <c r="D214" s="10">
        <f>INDEX(Customers!$B:$B,MATCH(C214,Customers!$A:$A,0))</f>
        <v/>
      </c>
      <c r="E214" s="10">
        <f>INDEX(Customers!$D:$D,MATCH(C214,Customers!$A:$A,0))</f>
        <v/>
      </c>
      <c r="F214" s="10" t="inlineStr">
        <is>
          <t>Own trucks</t>
        </is>
      </c>
      <c r="G214" s="5" t="n">
        <v>46241</v>
      </c>
      <c r="H214" s="5" t="n">
        <v>46244</v>
      </c>
      <c r="I214" s="5" t="n">
        <v>46244</v>
      </c>
      <c r="J214" s="10" t="inlineStr">
        <is>
          <t>09:30</t>
        </is>
      </c>
      <c r="K214" s="10" t="inlineStr">
        <is>
          <t>On time</t>
        </is>
      </c>
      <c r="L214" s="6" t="n">
        <v>0</v>
      </c>
      <c r="M214" s="10" t="n"/>
      <c r="N214" s="6" t="n">
        <v>18</v>
      </c>
      <c r="O214" s="6" t="n">
        <v>1494</v>
      </c>
      <c r="P214" s="6" t="n">
        <v>1</v>
      </c>
      <c r="Q214" s="6">
        <f>IF(OR(K214="On time",K214="Late",K214="Very late"),1,0)</f>
        <v/>
      </c>
    </row>
    <row r="215">
      <c r="A215" s="10" t="inlineStr">
        <is>
          <t>DN318423</t>
        </is>
      </c>
      <c r="B215" s="10" t="inlineStr">
        <is>
          <t>SO62123</t>
        </is>
      </c>
      <c r="C215" s="10" t="inlineStr">
        <is>
          <t>C10982</t>
        </is>
      </c>
      <c r="D215" s="10">
        <f>INDEX(Customers!$B:$B,MATCH(C215,Customers!$A:$A,0))</f>
        <v/>
      </c>
      <c r="E215" s="10">
        <f>INDEX(Customers!$D:$D,MATCH(C215,Customers!$A:$A,0))</f>
        <v/>
      </c>
      <c r="F215" s="10" t="inlineStr">
        <is>
          <t>Own trucks</t>
        </is>
      </c>
      <c r="G215" s="5" t="n">
        <v>46241</v>
      </c>
      <c r="H215" s="5" t="n">
        <v>46244</v>
      </c>
      <c r="I215" s="5" t="n">
        <v>46244</v>
      </c>
      <c r="J215" s="10" t="inlineStr">
        <is>
          <t>15:10</t>
        </is>
      </c>
      <c r="K215" s="10" t="inlineStr">
        <is>
          <t>On time</t>
        </is>
      </c>
      <c r="L215" s="6" t="n">
        <v>0</v>
      </c>
      <c r="M215" s="10" t="n"/>
      <c r="N215" s="6" t="n">
        <v>38</v>
      </c>
      <c r="O215" s="6" t="n">
        <v>2204</v>
      </c>
      <c r="P215" s="6" t="n">
        <v>1</v>
      </c>
      <c r="Q215" s="6">
        <f>IF(OR(K215="On time",K215="Late",K215="Very late"),1,0)</f>
        <v/>
      </c>
    </row>
    <row r="216">
      <c r="A216" s="10" t="inlineStr">
        <is>
          <t>DN318424</t>
        </is>
      </c>
      <c r="B216" s="10" t="inlineStr">
        <is>
          <t>SO62124</t>
        </is>
      </c>
      <c r="C216" s="10" t="inlineStr">
        <is>
          <t>C11107</t>
        </is>
      </c>
      <c r="D216" s="10">
        <f>INDEX(Customers!$B:$B,MATCH(C216,Customers!$A:$A,0))</f>
        <v/>
      </c>
      <c r="E216" s="10">
        <f>INDEX(Customers!$D:$D,MATCH(C216,Customers!$A:$A,0))</f>
        <v/>
      </c>
      <c r="F216" s="10" t="inlineStr">
        <is>
          <t>Own trucks</t>
        </is>
      </c>
      <c r="G216" s="5" t="n">
        <v>46241</v>
      </c>
      <c r="H216" s="5" t="n">
        <v>46244</v>
      </c>
      <c r="I216" s="5" t="n">
        <v>46244</v>
      </c>
      <c r="J216" s="10" t="inlineStr">
        <is>
          <t>15:50</t>
        </is>
      </c>
      <c r="K216" s="10" t="inlineStr">
        <is>
          <t>On time</t>
        </is>
      </c>
      <c r="L216" s="6" t="n">
        <v>0</v>
      </c>
      <c r="M216" s="10" t="n"/>
      <c r="N216" s="6" t="n">
        <v>10</v>
      </c>
      <c r="O216" s="6" t="n">
        <v>940</v>
      </c>
      <c r="P216" s="6" t="n">
        <v>1</v>
      </c>
      <c r="Q216" s="6">
        <f>IF(OR(K216="On time",K216="Late",K216="Very late"),1,0)</f>
        <v/>
      </c>
    </row>
    <row r="217">
      <c r="A217" s="10" t="inlineStr">
        <is>
          <t>DN318425</t>
        </is>
      </c>
      <c r="B217" s="10" t="inlineStr">
        <is>
          <t>SO62125</t>
        </is>
      </c>
      <c r="C217" s="10" t="inlineStr">
        <is>
          <t>C11143</t>
        </is>
      </c>
      <c r="D217" s="10">
        <f>INDEX(Customers!$B:$B,MATCH(C217,Customers!$A:$A,0))</f>
        <v/>
      </c>
      <c r="E217" s="10">
        <f>INDEX(Customers!$D:$D,MATCH(C217,Customers!$A:$A,0))</f>
        <v/>
      </c>
      <c r="F217" s="10" t="inlineStr">
        <is>
          <t>Own trucks</t>
        </is>
      </c>
      <c r="G217" s="5" t="n">
        <v>46241</v>
      </c>
      <c r="H217" s="5" t="n">
        <v>46244</v>
      </c>
      <c r="I217" s="5" t="n">
        <v>46244</v>
      </c>
      <c r="J217" s="10" t="inlineStr">
        <is>
          <t>09:30</t>
        </is>
      </c>
      <c r="K217" s="10" t="inlineStr">
        <is>
          <t>On time</t>
        </is>
      </c>
      <c r="L217" s="6" t="n">
        <v>0</v>
      </c>
      <c r="M217" s="10" t="n"/>
      <c r="N217" s="6" t="n">
        <v>12</v>
      </c>
      <c r="O217" s="6" t="n">
        <v>1452</v>
      </c>
      <c r="P217" s="6" t="n">
        <v>1</v>
      </c>
      <c r="Q217" s="6">
        <f>IF(OR(K217="On time",K217="Late",K217="Very late"),1,0)</f>
        <v/>
      </c>
    </row>
    <row r="218">
      <c r="A218" s="10" t="inlineStr">
        <is>
          <t>DN318426</t>
        </is>
      </c>
      <c r="B218" s="10" t="inlineStr">
        <is>
          <t>SO62126</t>
        </is>
      </c>
      <c r="C218" s="10" t="inlineStr">
        <is>
          <t>C11186</t>
        </is>
      </c>
      <c r="D218" s="10">
        <f>INDEX(Customers!$B:$B,MATCH(C218,Customers!$A:$A,0))</f>
        <v/>
      </c>
      <c r="E218" s="10">
        <f>INDEX(Customers!$D:$D,MATCH(C218,Customers!$A:$A,0))</f>
        <v/>
      </c>
      <c r="F218" s="10" t="inlineStr">
        <is>
          <t>Own trucks</t>
        </is>
      </c>
      <c r="G218" s="5" t="n">
        <v>46241</v>
      </c>
      <c r="H218" s="5" t="n">
        <v>46244</v>
      </c>
      <c r="I218" s="5" t="n">
        <v>46244</v>
      </c>
      <c r="J218" s="10" t="inlineStr">
        <is>
          <t>16:50</t>
        </is>
      </c>
      <c r="K218" s="10" t="inlineStr">
        <is>
          <t>On time</t>
        </is>
      </c>
      <c r="L218" s="6" t="n">
        <v>0</v>
      </c>
      <c r="M218" s="10" t="n"/>
      <c r="N218" s="6" t="n">
        <v>25</v>
      </c>
      <c r="O218" s="6" t="n">
        <v>1500</v>
      </c>
      <c r="P218" s="6" t="n">
        <v>1</v>
      </c>
      <c r="Q218" s="6">
        <f>IF(OR(K218="On time",K218="Late",K218="Very late"),1,0)</f>
        <v/>
      </c>
    </row>
    <row r="219">
      <c r="A219" s="10" t="inlineStr">
        <is>
          <t>DN318427</t>
        </is>
      </c>
      <c r="B219" s="10" t="inlineStr">
        <is>
          <t>SO62128</t>
        </is>
      </c>
      <c r="C219" s="10" t="inlineStr">
        <is>
          <t>C11264</t>
        </is>
      </c>
      <c r="D219" s="10">
        <f>INDEX(Customers!$B:$B,MATCH(C219,Customers!$A:$A,0))</f>
        <v/>
      </c>
      <c r="E219" s="10">
        <f>INDEX(Customers!$D:$D,MATCH(C219,Customers!$A:$A,0))</f>
        <v/>
      </c>
      <c r="F219" s="10" t="inlineStr">
        <is>
          <t>Own trucks</t>
        </is>
      </c>
      <c r="G219" s="5" t="n">
        <v>46241</v>
      </c>
      <c r="H219" s="5" t="n">
        <v>46244</v>
      </c>
      <c r="I219" s="5" t="n">
        <v>46244</v>
      </c>
      <c r="J219" s="10" t="inlineStr">
        <is>
          <t>15:40</t>
        </is>
      </c>
      <c r="K219" s="10" t="inlineStr">
        <is>
          <t>On time</t>
        </is>
      </c>
      <c r="L219" s="6" t="n">
        <v>0</v>
      </c>
      <c r="M219" s="10" t="n"/>
      <c r="N219" s="6" t="n">
        <v>37</v>
      </c>
      <c r="O219" s="6" t="n">
        <v>4144</v>
      </c>
      <c r="P219" s="6" t="n">
        <v>0</v>
      </c>
      <c r="Q219" s="6">
        <f>IF(OR(K219="On time",K219="Late",K219="Very late"),1,0)</f>
        <v/>
      </c>
    </row>
    <row r="220">
      <c r="A220" s="10" t="inlineStr">
        <is>
          <t>DN318429</t>
        </is>
      </c>
      <c r="B220" s="10" t="inlineStr">
        <is>
          <t>SO62130</t>
        </is>
      </c>
      <c r="C220" s="10" t="inlineStr">
        <is>
          <t>C11314</t>
        </is>
      </c>
      <c r="D220" s="10">
        <f>INDEX(Customers!$B:$B,MATCH(C220,Customers!$A:$A,0))</f>
        <v/>
      </c>
      <c r="E220" s="10">
        <f>INDEX(Customers!$D:$D,MATCH(C220,Customers!$A:$A,0))</f>
        <v/>
      </c>
      <c r="F220" s="10" t="inlineStr">
        <is>
          <t>Own trucks</t>
        </is>
      </c>
      <c r="G220" s="5" t="n">
        <v>46241</v>
      </c>
      <c r="H220" s="5" t="n">
        <v>46244</v>
      </c>
      <c r="I220" s="5" t="n">
        <v>46244</v>
      </c>
      <c r="J220" s="10" t="inlineStr">
        <is>
          <t>15:00</t>
        </is>
      </c>
      <c r="K220" s="10" t="inlineStr">
        <is>
          <t>On time</t>
        </is>
      </c>
      <c r="L220" s="6" t="n">
        <v>0</v>
      </c>
      <c r="M220" s="10" t="n"/>
      <c r="N220" s="6" t="n">
        <v>8</v>
      </c>
      <c r="O220" s="6" t="n">
        <v>672</v>
      </c>
      <c r="P220" s="6" t="n">
        <v>1</v>
      </c>
      <c r="Q220" s="6">
        <f>IF(OR(K220="On time",K220="Late",K220="Very late"),1,0)</f>
        <v/>
      </c>
    </row>
    <row r="221">
      <c r="A221" s="10" t="inlineStr">
        <is>
          <t>DN318430</t>
        </is>
      </c>
      <c r="B221" s="10" t="inlineStr">
        <is>
          <t>SO62132</t>
        </is>
      </c>
      <c r="C221" s="10" t="inlineStr">
        <is>
          <t>C11400</t>
        </is>
      </c>
      <c r="D221" s="10">
        <f>INDEX(Customers!$B:$B,MATCH(C221,Customers!$A:$A,0))</f>
        <v/>
      </c>
      <c r="E221" s="10">
        <f>INDEX(Customers!$D:$D,MATCH(C221,Customers!$A:$A,0))</f>
        <v/>
      </c>
      <c r="F221" s="10" t="inlineStr">
        <is>
          <t>Own trucks</t>
        </is>
      </c>
      <c r="G221" s="5" t="n">
        <v>46241</v>
      </c>
      <c r="H221" s="5" t="n">
        <v>46244</v>
      </c>
      <c r="I221" s="5" t="n">
        <v>46244</v>
      </c>
      <c r="J221" s="10" t="inlineStr">
        <is>
          <t>16:20</t>
        </is>
      </c>
      <c r="K221" s="10" t="inlineStr">
        <is>
          <t>On time</t>
        </is>
      </c>
      <c r="L221" s="6" t="n">
        <v>0</v>
      </c>
      <c r="M221" s="10" t="n"/>
      <c r="N221" s="6" t="n">
        <v>29</v>
      </c>
      <c r="O221" s="6" t="n">
        <v>2291</v>
      </c>
      <c r="P221" s="6" t="n">
        <v>1</v>
      </c>
      <c r="Q221" s="6">
        <f>IF(OR(K221="On time",K221="Late",K221="Very late"),1,0)</f>
        <v/>
      </c>
    </row>
    <row r="222">
      <c r="A222" s="10" t="inlineStr">
        <is>
          <t>DN318431</t>
        </is>
      </c>
      <c r="B222" s="10" t="inlineStr">
        <is>
          <t>SO62134</t>
        </is>
      </c>
      <c r="C222" s="10" t="inlineStr">
        <is>
          <t>C11666</t>
        </is>
      </c>
      <c r="D222" s="10">
        <f>INDEX(Customers!$B:$B,MATCH(C222,Customers!$A:$A,0))</f>
        <v/>
      </c>
      <c r="E222" s="10">
        <f>INDEX(Customers!$D:$D,MATCH(C222,Customers!$A:$A,0))</f>
        <v/>
      </c>
      <c r="F222" s="10" t="inlineStr">
        <is>
          <t>Own trucks</t>
        </is>
      </c>
      <c r="G222" s="5" t="n">
        <v>46241</v>
      </c>
      <c r="H222" s="5" t="n">
        <v>46244</v>
      </c>
      <c r="I222" s="5" t="n">
        <v>46245</v>
      </c>
      <c r="J222" s="10" t="inlineStr">
        <is>
          <t>16:30</t>
        </is>
      </c>
      <c r="K222" s="10" t="inlineStr">
        <is>
          <t>Late</t>
        </is>
      </c>
      <c r="L222" s="6" t="n">
        <v>1</v>
      </c>
      <c r="M222" s="10" t="inlineStr">
        <is>
          <t>Carrier delay</t>
        </is>
      </c>
      <c r="N222" s="6" t="n">
        <v>8</v>
      </c>
      <c r="O222" s="6" t="n">
        <v>616</v>
      </c>
      <c r="P222" s="6" t="n">
        <v>1</v>
      </c>
      <c r="Q222" s="6">
        <f>IF(OR(K222="On time",K222="Late",K222="Very late"),1,0)</f>
        <v/>
      </c>
    </row>
    <row r="223">
      <c r="A223" s="10" t="inlineStr">
        <is>
          <t>DN318432</t>
        </is>
      </c>
      <c r="B223" s="10" t="inlineStr">
        <is>
          <t>SO62135</t>
        </is>
      </c>
      <c r="C223" s="10" t="inlineStr">
        <is>
          <t>C11745</t>
        </is>
      </c>
      <c r="D223" s="10">
        <f>INDEX(Customers!$B:$B,MATCH(C223,Customers!$A:$A,0))</f>
        <v/>
      </c>
      <c r="E223" s="10">
        <f>INDEX(Customers!$D:$D,MATCH(C223,Customers!$A:$A,0))</f>
        <v/>
      </c>
      <c r="F223" s="10" t="inlineStr">
        <is>
          <t>Own trucks</t>
        </is>
      </c>
      <c r="G223" s="5" t="n">
        <v>46241</v>
      </c>
      <c r="H223" s="5" t="n">
        <v>46244</v>
      </c>
      <c r="I223" s="5" t="n">
        <v>46245</v>
      </c>
      <c r="J223" s="10" t="inlineStr">
        <is>
          <t>10:40</t>
        </is>
      </c>
      <c r="K223" s="10" t="inlineStr">
        <is>
          <t>Late</t>
        </is>
      </c>
      <c r="L223" s="6" t="n">
        <v>1</v>
      </c>
      <c r="M223" s="10" t="inlineStr">
        <is>
          <t>Carrier delay</t>
        </is>
      </c>
      <c r="N223" s="6" t="n">
        <v>27</v>
      </c>
      <c r="O223" s="6" t="n">
        <v>3483</v>
      </c>
      <c r="P223" s="6" t="n">
        <v>1</v>
      </c>
      <c r="Q223" s="6">
        <f>IF(OR(K223="On time",K223="Late",K223="Very late"),1,0)</f>
        <v/>
      </c>
    </row>
    <row r="224">
      <c r="A224" s="10" t="inlineStr">
        <is>
          <t>DN318433</t>
        </is>
      </c>
      <c r="B224" s="10" t="inlineStr">
        <is>
          <t>SO62136</t>
        </is>
      </c>
      <c r="C224" s="10" t="inlineStr">
        <is>
          <t>C11798</t>
        </is>
      </c>
      <c r="D224" s="10">
        <f>INDEX(Customers!$B:$B,MATCH(C224,Customers!$A:$A,0))</f>
        <v/>
      </c>
      <c r="E224" s="10">
        <f>INDEX(Customers!$D:$D,MATCH(C224,Customers!$A:$A,0))</f>
        <v/>
      </c>
      <c r="F224" s="10" t="inlineStr">
        <is>
          <t>Carrier A</t>
        </is>
      </c>
      <c r="G224" s="5" t="n">
        <v>46241</v>
      </c>
      <c r="H224" s="5" t="n">
        <v>46244</v>
      </c>
      <c r="I224" s="5" t="n">
        <v>46244</v>
      </c>
      <c r="J224" s="10" t="inlineStr">
        <is>
          <t>14:20</t>
        </is>
      </c>
      <c r="K224" s="10" t="inlineStr">
        <is>
          <t>On time</t>
        </is>
      </c>
      <c r="L224" s="6" t="n">
        <v>0</v>
      </c>
      <c r="M224" s="10" t="n"/>
      <c r="N224" s="6" t="n">
        <v>27</v>
      </c>
      <c r="O224" s="6" t="n">
        <v>2565</v>
      </c>
      <c r="P224" s="6" t="n">
        <v>1</v>
      </c>
      <c r="Q224" s="6">
        <f>IF(OR(K224="On time",K224="Late",K224="Very late"),1,0)</f>
        <v/>
      </c>
    </row>
    <row r="225">
      <c r="A225" s="10" t="inlineStr">
        <is>
          <t>DN318434</t>
        </is>
      </c>
      <c r="B225" s="10" t="inlineStr">
        <is>
          <t>SO62138</t>
        </is>
      </c>
      <c r="C225" s="10" t="inlineStr">
        <is>
          <t>C11858</t>
        </is>
      </c>
      <c r="D225" s="10">
        <f>INDEX(Customers!$B:$B,MATCH(C225,Customers!$A:$A,0))</f>
        <v/>
      </c>
      <c r="E225" s="10">
        <f>INDEX(Customers!$D:$D,MATCH(C225,Customers!$A:$A,0))</f>
        <v/>
      </c>
      <c r="F225" s="10" t="inlineStr">
        <is>
          <t>Carrier A</t>
        </is>
      </c>
      <c r="G225" s="5" t="n">
        <v>46241</v>
      </c>
      <c r="H225" s="5" t="n">
        <v>46244</v>
      </c>
      <c r="I225" s="5" t="n">
        <v>46244</v>
      </c>
      <c r="J225" s="10" t="inlineStr">
        <is>
          <t>12:00</t>
        </is>
      </c>
      <c r="K225" s="10" t="inlineStr">
        <is>
          <t>On time</t>
        </is>
      </c>
      <c r="L225" s="6" t="n">
        <v>0</v>
      </c>
      <c r="M225" s="10" t="n"/>
      <c r="N225" s="6" t="n">
        <v>5</v>
      </c>
      <c r="O225" s="6" t="n">
        <v>305</v>
      </c>
      <c r="P225" s="6" t="n">
        <v>1</v>
      </c>
      <c r="Q225" s="6">
        <f>IF(OR(K225="On time",K225="Late",K225="Very late"),1,0)</f>
        <v/>
      </c>
    </row>
    <row r="226">
      <c r="A226" s="10" t="inlineStr">
        <is>
          <t>DN318435</t>
        </is>
      </c>
      <c r="B226" s="10" t="inlineStr">
        <is>
          <t>SO62139</t>
        </is>
      </c>
      <c r="C226" s="10" t="inlineStr">
        <is>
          <t>C11971</t>
        </is>
      </c>
      <c r="D226" s="10">
        <f>INDEX(Customers!$B:$B,MATCH(C226,Customers!$A:$A,0))</f>
        <v/>
      </c>
      <c r="E226" s="10">
        <f>INDEX(Customers!$D:$D,MATCH(C226,Customers!$A:$A,0))</f>
        <v/>
      </c>
      <c r="F226" s="10" t="inlineStr">
        <is>
          <t>Own trucks</t>
        </is>
      </c>
      <c r="G226" s="5" t="n">
        <v>46241</v>
      </c>
      <c r="H226" s="5" t="n">
        <v>46244</v>
      </c>
      <c r="I226" s="5" t="n">
        <v>46244</v>
      </c>
      <c r="J226" s="10" t="inlineStr">
        <is>
          <t>14:00</t>
        </is>
      </c>
      <c r="K226" s="10" t="inlineStr">
        <is>
          <t>On time</t>
        </is>
      </c>
      <c r="L226" s="6" t="n">
        <v>0</v>
      </c>
      <c r="M226" s="10" t="n"/>
      <c r="N226" s="6" t="n">
        <v>9</v>
      </c>
      <c r="O226" s="6" t="n">
        <v>684</v>
      </c>
      <c r="P226" s="6" t="n">
        <v>1</v>
      </c>
      <c r="Q226" s="6">
        <f>IF(OR(K226="On time",K226="Late",K226="Very late"),1,0)</f>
        <v/>
      </c>
    </row>
    <row r="227">
      <c r="A227" s="10" t="inlineStr">
        <is>
          <t>DN318436</t>
        </is>
      </c>
      <c r="B227" s="10" t="inlineStr">
        <is>
          <t>SO62140</t>
        </is>
      </c>
      <c r="C227" s="10" t="inlineStr">
        <is>
          <t>C12037</t>
        </is>
      </c>
      <c r="D227" s="10">
        <f>INDEX(Customers!$B:$B,MATCH(C227,Customers!$A:$A,0))</f>
        <v/>
      </c>
      <c r="E227" s="10">
        <f>INDEX(Customers!$D:$D,MATCH(C227,Customers!$A:$A,0))</f>
        <v/>
      </c>
      <c r="F227" s="10" t="inlineStr">
        <is>
          <t>Own trucks</t>
        </is>
      </c>
      <c r="G227" s="5" t="n">
        <v>46241</v>
      </c>
      <c r="H227" s="5" t="n">
        <v>46244</v>
      </c>
      <c r="I227" s="5" t="n">
        <v>46244</v>
      </c>
      <c r="J227" s="10" t="inlineStr">
        <is>
          <t>08:30</t>
        </is>
      </c>
      <c r="K227" s="10" t="inlineStr">
        <is>
          <t>On time</t>
        </is>
      </c>
      <c r="L227" s="6" t="n">
        <v>0</v>
      </c>
      <c r="M227" s="10" t="n"/>
      <c r="N227" s="6" t="n">
        <v>23</v>
      </c>
      <c r="O227" s="6" t="n">
        <v>2875</v>
      </c>
      <c r="P227" s="6" t="n">
        <v>1</v>
      </c>
      <c r="Q227" s="6">
        <f>IF(OR(K227="On time",K227="Late",K227="Very late"),1,0)</f>
        <v/>
      </c>
    </row>
    <row r="228">
      <c r="A228" s="10" t="inlineStr">
        <is>
          <t>DN318437</t>
        </is>
      </c>
      <c r="B228" s="10" t="inlineStr">
        <is>
          <t>SO62141</t>
        </is>
      </c>
      <c r="C228" s="10" t="inlineStr">
        <is>
          <t>C12103</t>
        </is>
      </c>
      <c r="D228" s="10">
        <f>INDEX(Customers!$B:$B,MATCH(C228,Customers!$A:$A,0))</f>
        <v/>
      </c>
      <c r="E228" s="10">
        <f>INDEX(Customers!$D:$D,MATCH(C228,Customers!$A:$A,0))</f>
        <v/>
      </c>
      <c r="F228" s="10" t="inlineStr">
        <is>
          <t>Own trucks</t>
        </is>
      </c>
      <c r="G228" s="5" t="n">
        <v>46241</v>
      </c>
      <c r="H228" s="5" t="n">
        <v>46244</v>
      </c>
      <c r="I228" s="5" t="n">
        <v>46244</v>
      </c>
      <c r="J228" s="10" t="inlineStr">
        <is>
          <t>13:40</t>
        </is>
      </c>
      <c r="K228" s="10" t="inlineStr">
        <is>
          <t>On time</t>
        </is>
      </c>
      <c r="L228" s="6" t="n">
        <v>0</v>
      </c>
      <c r="M228" s="10" t="n"/>
      <c r="N228" s="6" t="n">
        <v>3</v>
      </c>
      <c r="O228" s="6" t="n">
        <v>204</v>
      </c>
      <c r="P228" s="6" t="n">
        <v>1</v>
      </c>
      <c r="Q228" s="6">
        <f>IF(OR(K228="On time",K228="Late",K228="Very late"),1,0)</f>
        <v/>
      </c>
    </row>
    <row r="229">
      <c r="A229" s="10" t="inlineStr">
        <is>
          <t>DN318438</t>
        </is>
      </c>
      <c r="B229" s="10" t="inlineStr">
        <is>
          <t>SO62142</t>
        </is>
      </c>
      <c r="C229" s="10" t="inlineStr">
        <is>
          <t>C12183</t>
        </is>
      </c>
      <c r="D229" s="10">
        <f>INDEX(Customers!$B:$B,MATCH(C229,Customers!$A:$A,0))</f>
        <v/>
      </c>
      <c r="E229" s="10">
        <f>INDEX(Customers!$D:$D,MATCH(C229,Customers!$A:$A,0))</f>
        <v/>
      </c>
      <c r="F229" s="10" t="inlineStr">
        <is>
          <t>Carrier B</t>
        </is>
      </c>
      <c r="G229" s="5" t="n">
        <v>46241</v>
      </c>
      <c r="H229" s="5" t="n">
        <v>46244</v>
      </c>
      <c r="I229" s="5" t="n">
        <v>46247</v>
      </c>
      <c r="J229" s="10" t="inlineStr">
        <is>
          <t>12:00</t>
        </is>
      </c>
      <c r="K229" s="10" t="inlineStr">
        <is>
          <t>Very late</t>
        </is>
      </c>
      <c r="L229" s="6" t="n">
        <v>2</v>
      </c>
      <c r="M229" s="10" t="inlineStr">
        <is>
          <t>Carrier delay</t>
        </is>
      </c>
      <c r="N229" s="6" t="n">
        <v>12</v>
      </c>
      <c r="O229" s="6" t="n">
        <v>816</v>
      </c>
      <c r="P229" s="6" t="n">
        <v>1</v>
      </c>
      <c r="Q229" s="6">
        <f>IF(OR(K229="On time",K229="Late",K229="Very late"),1,0)</f>
        <v/>
      </c>
    </row>
    <row r="230">
      <c r="A230" s="10" t="inlineStr">
        <is>
          <t>DN318439</t>
        </is>
      </c>
      <c r="B230" s="10" t="inlineStr">
        <is>
          <t>SO62144</t>
        </is>
      </c>
      <c r="C230" s="10" t="inlineStr">
        <is>
          <t>C12213</t>
        </is>
      </c>
      <c r="D230" s="10">
        <f>INDEX(Customers!$B:$B,MATCH(C230,Customers!$A:$A,0))</f>
        <v/>
      </c>
      <c r="E230" s="10">
        <f>INDEX(Customers!$D:$D,MATCH(C230,Customers!$A:$A,0))</f>
        <v/>
      </c>
      <c r="F230" s="10" t="inlineStr">
        <is>
          <t>Carrier B</t>
        </is>
      </c>
      <c r="G230" s="5" t="n">
        <v>46241</v>
      </c>
      <c r="H230" s="5" t="n">
        <v>46244</v>
      </c>
      <c r="I230" s="5" t="n">
        <v>46244</v>
      </c>
      <c r="J230" s="10" t="inlineStr">
        <is>
          <t>08:00</t>
        </is>
      </c>
      <c r="K230" s="10" t="inlineStr">
        <is>
          <t>On time</t>
        </is>
      </c>
      <c r="L230" s="6" t="n">
        <v>0</v>
      </c>
      <c r="M230" s="10" t="n"/>
      <c r="N230" s="6" t="n">
        <v>19</v>
      </c>
      <c r="O230" s="6" t="n">
        <v>2337</v>
      </c>
      <c r="P230" s="6" t="n">
        <v>1</v>
      </c>
      <c r="Q230" s="6">
        <f>IF(OR(K230="On time",K230="Late",K230="Very late"),1,0)</f>
        <v/>
      </c>
    </row>
    <row r="231">
      <c r="A231" s="10" t="inlineStr">
        <is>
          <t>DN318440</t>
        </is>
      </c>
      <c r="B231" s="10" t="inlineStr">
        <is>
          <t>SO62145</t>
        </is>
      </c>
      <c r="C231" s="10" t="inlineStr">
        <is>
          <t>C12239</t>
        </is>
      </c>
      <c r="D231" s="10">
        <f>INDEX(Customers!$B:$B,MATCH(C231,Customers!$A:$A,0))</f>
        <v/>
      </c>
      <c r="E231" s="10">
        <f>INDEX(Customers!$D:$D,MATCH(C231,Customers!$A:$A,0))</f>
        <v/>
      </c>
      <c r="F231" s="10" t="inlineStr">
        <is>
          <t>Carrier B</t>
        </is>
      </c>
      <c r="G231" s="5" t="n">
        <v>46241</v>
      </c>
      <c r="H231" s="5" t="n">
        <v>46244</v>
      </c>
      <c r="I231" s="5" t="n">
        <v>46244</v>
      </c>
      <c r="J231" s="10" t="inlineStr">
        <is>
          <t>08:40</t>
        </is>
      </c>
      <c r="K231" s="10" t="inlineStr">
        <is>
          <t>On time</t>
        </is>
      </c>
      <c r="L231" s="6" t="n">
        <v>0</v>
      </c>
      <c r="M231" s="10" t="n"/>
      <c r="N231" s="6" t="n">
        <v>15</v>
      </c>
      <c r="O231" s="6" t="n">
        <v>1365</v>
      </c>
      <c r="P231" s="6" t="n">
        <v>1</v>
      </c>
      <c r="Q231" s="6">
        <f>IF(OR(K231="On time",K231="Late",K231="Very late"),1,0)</f>
        <v/>
      </c>
    </row>
    <row r="232">
      <c r="A232" s="10" t="inlineStr">
        <is>
          <t>DN318441</t>
        </is>
      </c>
      <c r="B232" s="10" t="inlineStr">
        <is>
          <t>SO62147</t>
        </is>
      </c>
      <c r="C232" s="10" t="inlineStr">
        <is>
          <t>C12262</t>
        </is>
      </c>
      <c r="D232" s="10">
        <f>INDEX(Customers!$B:$B,MATCH(C232,Customers!$A:$A,0))</f>
        <v/>
      </c>
      <c r="E232" s="10">
        <f>INDEX(Customers!$D:$D,MATCH(C232,Customers!$A:$A,0))</f>
        <v/>
      </c>
      <c r="F232" s="10" t="inlineStr">
        <is>
          <t>Carrier B</t>
        </is>
      </c>
      <c r="G232" s="5" t="n">
        <v>46241</v>
      </c>
      <c r="H232" s="5" t="n">
        <v>46244</v>
      </c>
      <c r="I232" s="5" t="n">
        <v>46244</v>
      </c>
      <c r="J232" s="10" t="inlineStr">
        <is>
          <t>10:40</t>
        </is>
      </c>
      <c r="K232" s="10" t="inlineStr">
        <is>
          <t>On time</t>
        </is>
      </c>
      <c r="L232" s="6" t="n">
        <v>0</v>
      </c>
      <c r="M232" s="10" t="n"/>
      <c r="N232" s="6" t="n">
        <v>27</v>
      </c>
      <c r="O232" s="6" t="n">
        <v>3672</v>
      </c>
      <c r="P232" s="6" t="n">
        <v>1</v>
      </c>
      <c r="Q232" s="6">
        <f>IF(OR(K232="On time",K232="Late",K232="Very late"),1,0)</f>
        <v/>
      </c>
    </row>
    <row r="233">
      <c r="A233" s="10" t="inlineStr">
        <is>
          <t>DN318442</t>
        </is>
      </c>
      <c r="B233" s="10" t="inlineStr">
        <is>
          <t>SO62148</t>
        </is>
      </c>
      <c r="C233" s="10" t="inlineStr">
        <is>
          <t>C12305</t>
        </is>
      </c>
      <c r="D233" s="10">
        <f>INDEX(Customers!$B:$B,MATCH(C233,Customers!$A:$A,0))</f>
        <v/>
      </c>
      <c r="E233" s="10">
        <f>INDEX(Customers!$D:$D,MATCH(C233,Customers!$A:$A,0))</f>
        <v/>
      </c>
      <c r="F233" s="10" t="inlineStr">
        <is>
          <t>Carrier B</t>
        </is>
      </c>
      <c r="G233" s="5" t="n">
        <v>46241</v>
      </c>
      <c r="H233" s="5" t="n">
        <v>46244</v>
      </c>
      <c r="I233" s="5" t="n">
        <v>46244</v>
      </c>
      <c r="J233" s="10" t="inlineStr">
        <is>
          <t>08:50</t>
        </is>
      </c>
      <c r="K233" s="10" t="inlineStr">
        <is>
          <t>On time</t>
        </is>
      </c>
      <c r="L233" s="6" t="n">
        <v>0</v>
      </c>
      <c r="M233" s="10" t="n"/>
      <c r="N233" s="6" t="n">
        <v>10</v>
      </c>
      <c r="O233" s="6" t="n">
        <v>780</v>
      </c>
      <c r="P233" s="6" t="n">
        <v>1</v>
      </c>
      <c r="Q233" s="6">
        <f>IF(OR(K233="On time",K233="Late",K233="Very late"),1,0)</f>
        <v/>
      </c>
    </row>
    <row r="234">
      <c r="A234" s="10" t="inlineStr">
        <is>
          <t>DN318443</t>
        </is>
      </c>
      <c r="B234" s="10" t="inlineStr">
        <is>
          <t>SO62149</t>
        </is>
      </c>
      <c r="C234" s="10" t="inlineStr">
        <is>
          <t>C12365</t>
        </is>
      </c>
      <c r="D234" s="10">
        <f>INDEX(Customers!$B:$B,MATCH(C234,Customers!$A:$A,0))</f>
        <v/>
      </c>
      <c r="E234" s="10">
        <f>INDEX(Customers!$D:$D,MATCH(C234,Customers!$A:$A,0))</f>
        <v/>
      </c>
      <c r="F234" s="10" t="inlineStr">
        <is>
          <t>Carrier B</t>
        </is>
      </c>
      <c r="G234" s="5" t="n">
        <v>46241</v>
      </c>
      <c r="H234" s="5" t="n">
        <v>46244</v>
      </c>
      <c r="I234" s="5" t="n">
        <v>46244</v>
      </c>
      <c r="J234" s="10" t="inlineStr">
        <is>
          <t>15:50</t>
        </is>
      </c>
      <c r="K234" s="10" t="inlineStr">
        <is>
          <t>On time</t>
        </is>
      </c>
      <c r="L234" s="6" t="n">
        <v>0</v>
      </c>
      <c r="M234" s="10" t="n"/>
      <c r="N234" s="6" t="n">
        <v>26</v>
      </c>
      <c r="O234" s="6" t="n">
        <v>2106</v>
      </c>
      <c r="P234" s="6" t="n">
        <v>1</v>
      </c>
      <c r="Q234" s="6">
        <f>IF(OR(K234="On time",K234="Late",K234="Very late"),1,0)</f>
        <v/>
      </c>
    </row>
    <row r="235">
      <c r="A235" s="10" t="inlineStr">
        <is>
          <t>DN318444</t>
        </is>
      </c>
      <c r="B235" s="10" t="inlineStr">
        <is>
          <t>SO62150</t>
        </is>
      </c>
      <c r="C235" s="10" t="inlineStr">
        <is>
          <t>C12420</t>
        </is>
      </c>
      <c r="D235" s="10">
        <f>INDEX(Customers!$B:$B,MATCH(C235,Customers!$A:$A,0))</f>
        <v/>
      </c>
      <c r="E235" s="10">
        <f>INDEX(Customers!$D:$D,MATCH(C235,Customers!$A:$A,0))</f>
        <v/>
      </c>
      <c r="F235" s="10" t="inlineStr">
        <is>
          <t>Carrier A</t>
        </is>
      </c>
      <c r="G235" s="5" t="n">
        <v>46241</v>
      </c>
      <c r="H235" s="5" t="n">
        <v>46244</v>
      </c>
      <c r="I235" s="5" t="n">
        <v>46244</v>
      </c>
      <c r="J235" s="10" t="inlineStr">
        <is>
          <t>07:20</t>
        </is>
      </c>
      <c r="K235" s="10" t="inlineStr">
        <is>
          <t>On time</t>
        </is>
      </c>
      <c r="L235" s="6" t="n">
        <v>0</v>
      </c>
      <c r="M235" s="10" t="n"/>
      <c r="N235" s="6" t="n">
        <v>21</v>
      </c>
      <c r="O235" s="6" t="n">
        <v>1596</v>
      </c>
      <c r="P235" s="6" t="n">
        <v>1</v>
      </c>
      <c r="Q235" s="6">
        <f>IF(OR(K235="On time",K235="Late",K235="Very late"),1,0)</f>
        <v/>
      </c>
    </row>
    <row r="236">
      <c r="A236" s="10" t="inlineStr">
        <is>
          <t>DN318445</t>
        </is>
      </c>
      <c r="B236" s="10" t="inlineStr">
        <is>
          <t>SO62151</t>
        </is>
      </c>
      <c r="C236" s="10" t="inlineStr">
        <is>
          <t>C12490</t>
        </is>
      </c>
      <c r="D236" s="10">
        <f>INDEX(Customers!$B:$B,MATCH(C236,Customers!$A:$A,0))</f>
        <v/>
      </c>
      <c r="E236" s="10">
        <f>INDEX(Customers!$D:$D,MATCH(C236,Customers!$A:$A,0))</f>
        <v/>
      </c>
      <c r="F236" s="10" t="inlineStr">
        <is>
          <t>Carrier A</t>
        </is>
      </c>
      <c r="G236" s="5" t="n">
        <v>46241</v>
      </c>
      <c r="H236" s="5" t="n">
        <v>46244</v>
      </c>
      <c r="I236" s="5" t="n">
        <v>46244</v>
      </c>
      <c r="J236" s="10" t="inlineStr">
        <is>
          <t>11:50</t>
        </is>
      </c>
      <c r="K236" s="10" t="inlineStr">
        <is>
          <t>On time</t>
        </is>
      </c>
      <c r="L236" s="6" t="n">
        <v>0</v>
      </c>
      <c r="M236" s="10" t="n"/>
      <c r="N236" s="6" t="n">
        <v>11</v>
      </c>
      <c r="O236" s="6" t="n">
        <v>957</v>
      </c>
      <c r="P236" s="6" t="n">
        <v>1</v>
      </c>
      <c r="Q236" s="6">
        <f>IF(OR(K236="On time",K236="Late",K236="Very late"),1,0)</f>
        <v/>
      </c>
    </row>
    <row r="237">
      <c r="A237" s="10" t="inlineStr">
        <is>
          <t>DN318446</t>
        </is>
      </c>
      <c r="B237" s="10" t="inlineStr">
        <is>
          <t>SO62153</t>
        </is>
      </c>
      <c r="C237" s="10" t="inlineStr">
        <is>
          <t>C12543</t>
        </is>
      </c>
      <c r="D237" s="10">
        <f>INDEX(Customers!$B:$B,MATCH(C237,Customers!$A:$A,0))</f>
        <v/>
      </c>
      <c r="E237" s="10">
        <f>INDEX(Customers!$D:$D,MATCH(C237,Customers!$A:$A,0))</f>
        <v/>
      </c>
      <c r="F237" s="10" t="inlineStr">
        <is>
          <t>Carrier B</t>
        </is>
      </c>
      <c r="G237" s="5" t="n">
        <v>46240</v>
      </c>
      <c r="H237" s="5" t="n">
        <v>46244</v>
      </c>
      <c r="I237" s="5" t="n">
        <v>46244</v>
      </c>
      <c r="J237" s="10" t="inlineStr">
        <is>
          <t>09:40</t>
        </is>
      </c>
      <c r="K237" s="10" t="inlineStr">
        <is>
          <t>On time</t>
        </is>
      </c>
      <c r="L237" s="6" t="n">
        <v>0</v>
      </c>
      <c r="M237" s="10" t="n"/>
      <c r="N237" s="6" t="n">
        <v>33</v>
      </c>
      <c r="O237" s="6" t="n">
        <v>3102</v>
      </c>
      <c r="P237" s="6" t="n">
        <v>1</v>
      </c>
      <c r="Q237" s="6">
        <f>IF(OR(K237="On time",K237="Late",K237="Very late"),1,0)</f>
        <v/>
      </c>
    </row>
    <row r="238">
      <c r="A238" s="10" t="inlineStr">
        <is>
          <t>DN318447</t>
        </is>
      </c>
      <c r="B238" s="10" t="inlineStr">
        <is>
          <t>SO62154</t>
        </is>
      </c>
      <c r="C238" s="10" t="inlineStr">
        <is>
          <t>C12617</t>
        </is>
      </c>
      <c r="D238" s="10">
        <f>INDEX(Customers!$B:$B,MATCH(C238,Customers!$A:$A,0))</f>
        <v/>
      </c>
      <c r="E238" s="10">
        <f>INDEX(Customers!$D:$D,MATCH(C238,Customers!$A:$A,0))</f>
        <v/>
      </c>
      <c r="F238" s="10" t="inlineStr">
        <is>
          <t>Carrier B</t>
        </is>
      </c>
      <c r="G238" s="5" t="n">
        <v>46240</v>
      </c>
      <c r="H238" s="5" t="n">
        <v>46244</v>
      </c>
      <c r="I238" s="5" t="n">
        <v>46248</v>
      </c>
      <c r="J238" s="10" t="inlineStr">
        <is>
          <t>10:40</t>
        </is>
      </c>
      <c r="K238" s="10" t="inlineStr">
        <is>
          <t>Very late</t>
        </is>
      </c>
      <c r="L238" s="6" t="n">
        <v>3</v>
      </c>
      <c r="M238" s="10" t="inlineStr">
        <is>
          <t>Run overloaded</t>
        </is>
      </c>
      <c r="N238" s="6" t="n">
        <v>16</v>
      </c>
      <c r="O238" s="6" t="n">
        <v>1680</v>
      </c>
      <c r="P238" s="6" t="n">
        <v>1</v>
      </c>
      <c r="Q238" s="6">
        <f>IF(OR(K238="On time",K238="Late",K238="Very late"),1,0)</f>
        <v/>
      </c>
    </row>
    <row r="239">
      <c r="A239" s="10" t="inlineStr">
        <is>
          <t>DN318448</t>
        </is>
      </c>
      <c r="B239" s="10" t="inlineStr">
        <is>
          <t>SO62155</t>
        </is>
      </c>
      <c r="C239" s="10" t="inlineStr">
        <is>
          <t>C12639</t>
        </is>
      </c>
      <c r="D239" s="10">
        <f>INDEX(Customers!$B:$B,MATCH(C239,Customers!$A:$A,0))</f>
        <v/>
      </c>
      <c r="E239" s="10">
        <f>INDEX(Customers!$D:$D,MATCH(C239,Customers!$A:$A,0))</f>
        <v/>
      </c>
      <c r="F239" s="10" t="inlineStr">
        <is>
          <t>Carrier B</t>
        </is>
      </c>
      <c r="G239" s="5" t="n">
        <v>46240</v>
      </c>
      <c r="H239" s="5" t="n">
        <v>46244</v>
      </c>
      <c r="I239" s="5" t="n">
        <v>46244</v>
      </c>
      <c r="J239" s="10" t="inlineStr">
        <is>
          <t>13:20</t>
        </is>
      </c>
      <c r="K239" s="10" t="inlineStr">
        <is>
          <t>On time</t>
        </is>
      </c>
      <c r="L239" s="6" t="n">
        <v>0</v>
      </c>
      <c r="M239" s="10" t="n"/>
      <c r="N239" s="6" t="n">
        <v>31</v>
      </c>
      <c r="O239" s="6" t="n">
        <v>1736</v>
      </c>
      <c r="P239" s="6" t="n">
        <v>1</v>
      </c>
      <c r="Q239" s="6">
        <f>IF(OR(K239="On time",K239="Late",K239="Very late"),1,0)</f>
        <v/>
      </c>
    </row>
    <row r="240">
      <c r="A240" s="10" t="inlineStr">
        <is>
          <t>DN318449</t>
        </is>
      </c>
      <c r="B240" s="10" t="inlineStr">
        <is>
          <t>SO62157</t>
        </is>
      </c>
      <c r="C240" s="10" t="inlineStr">
        <is>
          <t>C12675</t>
        </is>
      </c>
      <c r="D240" s="10">
        <f>INDEX(Customers!$B:$B,MATCH(C240,Customers!$A:$A,0))</f>
        <v/>
      </c>
      <c r="E240" s="10">
        <f>INDEX(Customers!$D:$D,MATCH(C240,Customers!$A:$A,0))</f>
        <v/>
      </c>
      <c r="F240" s="10" t="inlineStr">
        <is>
          <t>Carrier B</t>
        </is>
      </c>
      <c r="G240" s="5" t="n">
        <v>46240</v>
      </c>
      <c r="H240" s="5" t="n">
        <v>46244</v>
      </c>
      <c r="I240" s="5" t="n">
        <v>46244</v>
      </c>
      <c r="J240" s="10" t="inlineStr">
        <is>
          <t>10:10</t>
        </is>
      </c>
      <c r="K240" s="10" t="inlineStr">
        <is>
          <t>On time</t>
        </is>
      </c>
      <c r="L240" s="6" t="n">
        <v>0</v>
      </c>
      <c r="M240" s="10" t="n"/>
      <c r="N240" s="6" t="n">
        <v>15</v>
      </c>
      <c r="O240" s="6" t="n">
        <v>1800</v>
      </c>
      <c r="P240" s="6" t="n">
        <v>1</v>
      </c>
      <c r="Q240" s="6">
        <f>IF(OR(K240="On time",K240="Late",K240="Very late"),1,0)</f>
        <v/>
      </c>
    </row>
    <row r="241">
      <c r="A241" s="10" t="inlineStr">
        <is>
          <t>DN318450</t>
        </is>
      </c>
      <c r="B241" s="10" t="inlineStr">
        <is>
          <t>SO62158</t>
        </is>
      </c>
      <c r="C241" s="10" t="inlineStr">
        <is>
          <t>C10322</t>
        </is>
      </c>
      <c r="D241" s="10">
        <f>INDEX(Customers!$B:$B,MATCH(C241,Customers!$A:$A,0))</f>
        <v/>
      </c>
      <c r="E241" s="10">
        <f>INDEX(Customers!$D:$D,MATCH(C241,Customers!$A:$A,0))</f>
        <v/>
      </c>
      <c r="F241" s="10" t="inlineStr">
        <is>
          <t>Own trucks</t>
        </is>
      </c>
      <c r="G241" s="5" t="n">
        <v>46244</v>
      </c>
      <c r="H241" s="5" t="n">
        <v>46245</v>
      </c>
      <c r="I241" s="5" t="n">
        <v>46245</v>
      </c>
      <c r="J241" s="10" t="inlineStr">
        <is>
          <t>14:30</t>
        </is>
      </c>
      <c r="K241" s="10" t="inlineStr">
        <is>
          <t>On time</t>
        </is>
      </c>
      <c r="L241" s="6" t="n">
        <v>0</v>
      </c>
      <c r="M241" s="10" t="n"/>
      <c r="N241" s="6" t="n">
        <v>8</v>
      </c>
      <c r="O241" s="6" t="n">
        <v>448</v>
      </c>
      <c r="P241" s="6" t="n">
        <v>1</v>
      </c>
      <c r="Q241" s="6">
        <f>IF(OR(K241="On time",K241="Late",K241="Very late"),1,0)</f>
        <v/>
      </c>
    </row>
    <row r="242">
      <c r="A242" s="10" t="inlineStr">
        <is>
          <t>DN318451</t>
        </is>
      </c>
      <c r="B242" s="10" t="inlineStr">
        <is>
          <t>SO62159</t>
        </is>
      </c>
      <c r="C242" s="10" t="inlineStr">
        <is>
          <t>C10343</t>
        </is>
      </c>
      <c r="D242" s="10">
        <f>INDEX(Customers!$B:$B,MATCH(C242,Customers!$A:$A,0))</f>
        <v/>
      </c>
      <c r="E242" s="10">
        <f>INDEX(Customers!$D:$D,MATCH(C242,Customers!$A:$A,0))</f>
        <v/>
      </c>
      <c r="F242" s="10" t="inlineStr">
        <is>
          <t>Own trucks</t>
        </is>
      </c>
      <c r="G242" s="5" t="n">
        <v>46244</v>
      </c>
      <c r="H242" s="5" t="n">
        <v>46245</v>
      </c>
      <c r="I242" s="5" t="n">
        <v>46245</v>
      </c>
      <c r="J242" s="10" t="inlineStr">
        <is>
          <t>13:40</t>
        </is>
      </c>
      <c r="K242" s="10" t="inlineStr">
        <is>
          <t>On time</t>
        </is>
      </c>
      <c r="L242" s="6" t="n">
        <v>0</v>
      </c>
      <c r="M242" s="10" t="n"/>
      <c r="N242" s="6" t="n">
        <v>21</v>
      </c>
      <c r="O242" s="6" t="n">
        <v>1260</v>
      </c>
      <c r="P242" s="6" t="n">
        <v>1</v>
      </c>
      <c r="Q242" s="6">
        <f>IF(OR(K242="On time",K242="Late",K242="Very late"),1,0)</f>
        <v/>
      </c>
    </row>
    <row r="243">
      <c r="A243" s="10" t="inlineStr">
        <is>
          <t>DN318452</t>
        </is>
      </c>
      <c r="B243" s="10" t="inlineStr">
        <is>
          <t>SO62160</t>
        </is>
      </c>
      <c r="C243" s="10" t="inlineStr">
        <is>
          <t>C10413</t>
        </is>
      </c>
      <c r="D243" s="10">
        <f>INDEX(Customers!$B:$B,MATCH(C243,Customers!$A:$A,0))</f>
        <v/>
      </c>
      <c r="E243" s="10">
        <f>INDEX(Customers!$D:$D,MATCH(C243,Customers!$A:$A,0))</f>
        <v/>
      </c>
      <c r="F243" s="10" t="inlineStr">
        <is>
          <t>Same-day courier</t>
        </is>
      </c>
      <c r="G243" s="5" t="n">
        <v>46244</v>
      </c>
      <c r="H243" s="5" t="n">
        <v>46245</v>
      </c>
      <c r="I243" s="5" t="n">
        <v>46245</v>
      </c>
      <c r="J243" s="10" t="inlineStr">
        <is>
          <t>10:10</t>
        </is>
      </c>
      <c r="K243" s="10" t="inlineStr">
        <is>
          <t>On time</t>
        </is>
      </c>
      <c r="L243" s="6" t="n">
        <v>0</v>
      </c>
      <c r="M243" s="10" t="n"/>
      <c r="N243" s="6" t="n">
        <v>28</v>
      </c>
      <c r="O243" s="6" t="n">
        <v>2912</v>
      </c>
      <c r="P243" s="6" t="n">
        <v>1</v>
      </c>
      <c r="Q243" s="6">
        <f>IF(OR(K243="On time",K243="Late",K243="Very late"),1,0)</f>
        <v/>
      </c>
    </row>
    <row r="244">
      <c r="A244" s="10" t="inlineStr">
        <is>
          <t>DN318453</t>
        </is>
      </c>
      <c r="B244" s="10" t="inlineStr">
        <is>
          <t>SO62161</t>
        </is>
      </c>
      <c r="C244" s="10" t="inlineStr">
        <is>
          <t>C10522</t>
        </is>
      </c>
      <c r="D244" s="10">
        <f>INDEX(Customers!$B:$B,MATCH(C244,Customers!$A:$A,0))</f>
        <v/>
      </c>
      <c r="E244" s="10">
        <f>INDEX(Customers!$D:$D,MATCH(C244,Customers!$A:$A,0))</f>
        <v/>
      </c>
      <c r="F244" s="10" t="inlineStr">
        <is>
          <t>Own trucks</t>
        </is>
      </c>
      <c r="G244" s="5" t="n">
        <v>46244</v>
      </c>
      <c r="H244" s="5" t="n">
        <v>46245</v>
      </c>
      <c r="I244" s="5" t="n">
        <v>46245</v>
      </c>
      <c r="J244" s="10" t="inlineStr">
        <is>
          <t>08:30</t>
        </is>
      </c>
      <c r="K244" s="10" t="inlineStr">
        <is>
          <t>On time</t>
        </is>
      </c>
      <c r="L244" s="6" t="n">
        <v>0</v>
      </c>
      <c r="M244" s="10" t="n"/>
      <c r="N244" s="6" t="n">
        <v>21</v>
      </c>
      <c r="O244" s="6" t="n">
        <v>2604</v>
      </c>
      <c r="P244" s="6" t="n">
        <v>1</v>
      </c>
      <c r="Q244" s="6">
        <f>IF(OR(K244="On time",K244="Late",K244="Very late"),1,0)</f>
        <v/>
      </c>
    </row>
    <row r="245">
      <c r="A245" s="10" t="inlineStr">
        <is>
          <t>DN318454</t>
        </is>
      </c>
      <c r="B245" s="10" t="inlineStr">
        <is>
          <t>SO62162</t>
        </is>
      </c>
      <c r="C245" s="10" t="inlineStr">
        <is>
          <t>C10536</t>
        </is>
      </c>
      <c r="D245" s="10">
        <f>INDEX(Customers!$B:$B,MATCH(C245,Customers!$A:$A,0))</f>
        <v/>
      </c>
      <c r="E245" s="10">
        <f>INDEX(Customers!$D:$D,MATCH(C245,Customers!$A:$A,0))</f>
        <v/>
      </c>
      <c r="F245" s="10" t="inlineStr">
        <is>
          <t>Own trucks</t>
        </is>
      </c>
      <c r="G245" s="5" t="n">
        <v>46244</v>
      </c>
      <c r="H245" s="5" t="n">
        <v>46245</v>
      </c>
      <c r="I245" s="5" t="n">
        <v>46245</v>
      </c>
      <c r="J245" s="10" t="inlineStr">
        <is>
          <t>10:40</t>
        </is>
      </c>
      <c r="K245" s="10" t="inlineStr">
        <is>
          <t>On time</t>
        </is>
      </c>
      <c r="L245" s="6" t="n">
        <v>0</v>
      </c>
      <c r="M245" s="10" t="n"/>
      <c r="N245" s="6" t="n">
        <v>29</v>
      </c>
      <c r="O245" s="6" t="n">
        <v>2204</v>
      </c>
      <c r="P245" s="6" t="n">
        <v>1</v>
      </c>
      <c r="Q245" s="6">
        <f>IF(OR(K245="On time",K245="Late",K245="Very late"),1,0)</f>
        <v/>
      </c>
    </row>
    <row r="246">
      <c r="A246" s="10" t="inlineStr">
        <is>
          <t>DN318455</t>
        </is>
      </c>
      <c r="B246" s="10" t="inlineStr">
        <is>
          <t>SO62163</t>
        </is>
      </c>
      <c r="C246" s="10" t="inlineStr">
        <is>
          <t>C10551</t>
        </is>
      </c>
      <c r="D246" s="10">
        <f>INDEX(Customers!$B:$B,MATCH(C246,Customers!$A:$A,0))</f>
        <v/>
      </c>
      <c r="E246" s="10">
        <f>INDEX(Customers!$D:$D,MATCH(C246,Customers!$A:$A,0))</f>
        <v/>
      </c>
      <c r="F246" s="10" t="inlineStr">
        <is>
          <t>Own trucks</t>
        </is>
      </c>
      <c r="G246" s="5" t="n">
        <v>46244</v>
      </c>
      <c r="H246" s="5" t="n">
        <v>46245</v>
      </c>
      <c r="I246" s="5" t="n">
        <v>46245</v>
      </c>
      <c r="J246" s="10" t="inlineStr">
        <is>
          <t>14:30</t>
        </is>
      </c>
      <c r="K246" s="10" t="inlineStr">
        <is>
          <t>On time</t>
        </is>
      </c>
      <c r="L246" s="6" t="n">
        <v>0</v>
      </c>
      <c r="M246" s="10" t="n"/>
      <c r="N246" s="6" t="n">
        <v>38</v>
      </c>
      <c r="O246" s="6" t="n">
        <v>3686</v>
      </c>
      <c r="P246" s="6" t="n">
        <v>1</v>
      </c>
      <c r="Q246" s="6">
        <f>IF(OR(K246="On time",K246="Late",K246="Very late"),1,0)</f>
        <v/>
      </c>
    </row>
    <row r="247">
      <c r="A247" s="10" t="inlineStr">
        <is>
          <t>DN318456</t>
        </is>
      </c>
      <c r="B247" s="10" t="inlineStr">
        <is>
          <t>SO62164</t>
        </is>
      </c>
      <c r="C247" s="10" t="inlineStr">
        <is>
          <t>C10622</t>
        </is>
      </c>
      <c r="D247" s="10">
        <f>INDEX(Customers!$B:$B,MATCH(C247,Customers!$A:$A,0))</f>
        <v/>
      </c>
      <c r="E247" s="10">
        <f>INDEX(Customers!$D:$D,MATCH(C247,Customers!$A:$A,0))</f>
        <v/>
      </c>
      <c r="F247" s="10" t="inlineStr">
        <is>
          <t>Own trucks</t>
        </is>
      </c>
      <c r="G247" s="5" t="n">
        <v>46244</v>
      </c>
      <c r="H247" s="5" t="n">
        <v>46245</v>
      </c>
      <c r="I247" s="5" t="n">
        <v>46245</v>
      </c>
      <c r="J247" s="10" t="inlineStr">
        <is>
          <t>08:00</t>
        </is>
      </c>
      <c r="K247" s="10" t="inlineStr">
        <is>
          <t>On time</t>
        </is>
      </c>
      <c r="L247" s="6" t="n">
        <v>0</v>
      </c>
      <c r="M247" s="10" t="n"/>
      <c r="N247" s="6" t="n">
        <v>3</v>
      </c>
      <c r="O247" s="6" t="n">
        <v>381</v>
      </c>
      <c r="P247" s="6" t="n">
        <v>1</v>
      </c>
      <c r="Q247" s="6">
        <f>IF(OR(K247="On time",K247="Late",K247="Very late"),1,0)</f>
        <v/>
      </c>
    </row>
    <row r="248">
      <c r="A248" s="10" t="inlineStr">
        <is>
          <t>DN318457</t>
        </is>
      </c>
      <c r="B248" s="10" t="inlineStr">
        <is>
          <t>SO62165</t>
        </is>
      </c>
      <c r="C248" s="10" t="inlineStr">
        <is>
          <t>C10676</t>
        </is>
      </c>
      <c r="D248" s="10">
        <f>INDEX(Customers!$B:$B,MATCH(C248,Customers!$A:$A,0))</f>
        <v/>
      </c>
      <c r="E248" s="10">
        <f>INDEX(Customers!$D:$D,MATCH(C248,Customers!$A:$A,0))</f>
        <v/>
      </c>
      <c r="F248" s="10" t="inlineStr">
        <is>
          <t>Own trucks</t>
        </is>
      </c>
      <c r="G248" s="5" t="n">
        <v>46244</v>
      </c>
      <c r="H248" s="5" t="n">
        <v>46245</v>
      </c>
      <c r="I248" s="5" t="n">
        <v>46247</v>
      </c>
      <c r="J248" s="10" t="inlineStr">
        <is>
          <t>09:10</t>
        </is>
      </c>
      <c r="K248" s="10" t="inlineStr">
        <is>
          <t>Late</t>
        </is>
      </c>
      <c r="L248" s="6" t="n">
        <v>1</v>
      </c>
      <c r="M248" s="10" t="inlineStr">
        <is>
          <t>Run overloaded</t>
        </is>
      </c>
      <c r="N248" s="6" t="n">
        <v>2</v>
      </c>
      <c r="O248" s="6" t="n">
        <v>236</v>
      </c>
      <c r="P248" s="6" t="n">
        <v>0</v>
      </c>
      <c r="Q248" s="6">
        <f>IF(OR(K248="On time",K248="Late",K248="Very late"),1,0)</f>
        <v/>
      </c>
    </row>
    <row r="249">
      <c r="A249" s="10" t="inlineStr">
        <is>
          <t>DN318458</t>
        </is>
      </c>
      <c r="B249" s="10" t="inlineStr">
        <is>
          <t>SO62166</t>
        </is>
      </c>
      <c r="C249" s="10" t="inlineStr">
        <is>
          <t>C10684</t>
        </is>
      </c>
      <c r="D249" s="10">
        <f>INDEX(Customers!$B:$B,MATCH(C249,Customers!$A:$A,0))</f>
        <v/>
      </c>
      <c r="E249" s="10">
        <f>INDEX(Customers!$D:$D,MATCH(C249,Customers!$A:$A,0))</f>
        <v/>
      </c>
      <c r="F249" s="10" t="inlineStr">
        <is>
          <t>Own trucks</t>
        </is>
      </c>
      <c r="G249" s="5" t="n">
        <v>46244</v>
      </c>
      <c r="H249" s="5" t="n">
        <v>46245</v>
      </c>
      <c r="I249" s="5" t="n">
        <v>46245</v>
      </c>
      <c r="J249" s="10" t="inlineStr">
        <is>
          <t>13:40</t>
        </is>
      </c>
      <c r="K249" s="10" t="inlineStr">
        <is>
          <t>On time</t>
        </is>
      </c>
      <c r="L249" s="6" t="n">
        <v>0</v>
      </c>
      <c r="M249" s="10" t="n"/>
      <c r="N249" s="6" t="n">
        <v>11</v>
      </c>
      <c r="O249" s="6" t="n">
        <v>1474</v>
      </c>
      <c r="P249" s="6" t="n">
        <v>1</v>
      </c>
      <c r="Q249" s="6">
        <f>IF(OR(K249="On time",K249="Late",K249="Very late"),1,0)</f>
        <v/>
      </c>
    </row>
    <row r="250">
      <c r="A250" s="10" t="inlineStr">
        <is>
          <t>DN318459</t>
        </is>
      </c>
      <c r="B250" s="10" t="inlineStr">
        <is>
          <t>SO62167</t>
        </is>
      </c>
      <c r="C250" s="10" t="inlineStr">
        <is>
          <t>C10689</t>
        </is>
      </c>
      <c r="D250" s="10">
        <f>INDEX(Customers!$B:$B,MATCH(C250,Customers!$A:$A,0))</f>
        <v/>
      </c>
      <c r="E250" s="10">
        <f>INDEX(Customers!$D:$D,MATCH(C250,Customers!$A:$A,0))</f>
        <v/>
      </c>
      <c r="F250" s="10" t="inlineStr">
        <is>
          <t>Own trucks</t>
        </is>
      </c>
      <c r="G250" s="5" t="n">
        <v>46244</v>
      </c>
      <c r="H250" s="5" t="n">
        <v>46245</v>
      </c>
      <c r="I250" s="5" t="n">
        <v>46245</v>
      </c>
      <c r="J250" s="10" t="inlineStr">
        <is>
          <t>15:10</t>
        </is>
      </c>
      <c r="K250" s="10" t="inlineStr">
        <is>
          <t>On time</t>
        </is>
      </c>
      <c r="L250" s="6" t="n">
        <v>0</v>
      </c>
      <c r="M250" s="10" t="n"/>
      <c r="N250" s="6" t="n">
        <v>5</v>
      </c>
      <c r="O250" s="6" t="n">
        <v>515</v>
      </c>
      <c r="P250" s="6" t="n">
        <v>1</v>
      </c>
      <c r="Q250" s="6">
        <f>IF(OR(K250="On time",K250="Late",K250="Very late"),1,0)</f>
        <v/>
      </c>
    </row>
    <row r="251">
      <c r="A251" s="10" t="inlineStr">
        <is>
          <t>DN318460</t>
        </is>
      </c>
      <c r="B251" s="10" t="inlineStr">
        <is>
          <t>SO62168</t>
        </is>
      </c>
      <c r="C251" s="10" t="inlineStr">
        <is>
          <t>C10796</t>
        </is>
      </c>
      <c r="D251" s="10">
        <f>INDEX(Customers!$B:$B,MATCH(C251,Customers!$A:$A,0))</f>
        <v/>
      </c>
      <c r="E251" s="10">
        <f>INDEX(Customers!$D:$D,MATCH(C251,Customers!$A:$A,0))</f>
        <v/>
      </c>
      <c r="F251" s="10" t="inlineStr">
        <is>
          <t>Own trucks</t>
        </is>
      </c>
      <c r="G251" s="5" t="n">
        <v>46244</v>
      </c>
      <c r="H251" s="5" t="n">
        <v>46245</v>
      </c>
      <c r="I251" s="5" t="n">
        <v>46245</v>
      </c>
      <c r="J251" s="10" t="inlineStr">
        <is>
          <t>08:30</t>
        </is>
      </c>
      <c r="K251" s="10" t="inlineStr">
        <is>
          <t>On time</t>
        </is>
      </c>
      <c r="L251" s="6" t="n">
        <v>0</v>
      </c>
      <c r="M251" s="10" t="n"/>
      <c r="N251" s="6" t="n">
        <v>30</v>
      </c>
      <c r="O251" s="6" t="n">
        <v>2670</v>
      </c>
      <c r="P251" s="6" t="n">
        <v>1</v>
      </c>
      <c r="Q251" s="6">
        <f>IF(OR(K251="On time",K251="Late",K251="Very late"),1,0)</f>
        <v/>
      </c>
    </row>
    <row r="252">
      <c r="A252" s="10" t="inlineStr">
        <is>
          <t>DN318461</t>
        </is>
      </c>
      <c r="B252" s="10" t="inlineStr">
        <is>
          <t>SO62169</t>
        </is>
      </c>
      <c r="C252" s="10" t="inlineStr">
        <is>
          <t>C10915</t>
        </is>
      </c>
      <c r="D252" s="10">
        <f>INDEX(Customers!$B:$B,MATCH(C252,Customers!$A:$A,0))</f>
        <v/>
      </c>
      <c r="E252" s="10">
        <f>INDEX(Customers!$D:$D,MATCH(C252,Customers!$A:$A,0))</f>
        <v/>
      </c>
      <c r="F252" s="10" t="inlineStr">
        <is>
          <t>Own trucks</t>
        </is>
      </c>
      <c r="G252" s="5" t="n">
        <v>46244</v>
      </c>
      <c r="H252" s="5" t="n">
        <v>46245</v>
      </c>
      <c r="I252" s="5" t="n">
        <v>46245</v>
      </c>
      <c r="J252" s="10" t="inlineStr">
        <is>
          <t>10:00</t>
        </is>
      </c>
      <c r="K252" s="10" t="inlineStr">
        <is>
          <t>On time</t>
        </is>
      </c>
      <c r="L252" s="6" t="n">
        <v>0</v>
      </c>
      <c r="M252" s="10" t="n"/>
      <c r="N252" s="6" t="n">
        <v>29</v>
      </c>
      <c r="O252" s="6" t="n">
        <v>3335</v>
      </c>
      <c r="P252" s="6" t="n">
        <v>1</v>
      </c>
      <c r="Q252" s="6">
        <f>IF(OR(K252="On time",K252="Late",K252="Very late"),1,0)</f>
        <v/>
      </c>
    </row>
    <row r="253">
      <c r="A253" s="10" t="inlineStr">
        <is>
          <t>DN318462</t>
        </is>
      </c>
      <c r="B253" s="10" t="inlineStr">
        <is>
          <t>SO62170</t>
        </is>
      </c>
      <c r="C253" s="10" t="inlineStr">
        <is>
          <t>C10982</t>
        </is>
      </c>
      <c r="D253" s="10">
        <f>INDEX(Customers!$B:$B,MATCH(C253,Customers!$A:$A,0))</f>
        <v/>
      </c>
      <c r="E253" s="10">
        <f>INDEX(Customers!$D:$D,MATCH(C253,Customers!$A:$A,0))</f>
        <v/>
      </c>
      <c r="F253" s="10" t="inlineStr">
        <is>
          <t>Own trucks</t>
        </is>
      </c>
      <c r="G253" s="5" t="n">
        <v>46244</v>
      </c>
      <c r="H253" s="5" t="n">
        <v>46245</v>
      </c>
      <c r="I253" s="5" t="n">
        <v>46245</v>
      </c>
      <c r="J253" s="10" t="inlineStr">
        <is>
          <t>11:00</t>
        </is>
      </c>
      <c r="K253" s="10" t="inlineStr">
        <is>
          <t>On time</t>
        </is>
      </c>
      <c r="L253" s="6" t="n">
        <v>0</v>
      </c>
      <c r="M253" s="10" t="n"/>
      <c r="N253" s="6" t="n">
        <v>25</v>
      </c>
      <c r="O253" s="6" t="n">
        <v>2050</v>
      </c>
      <c r="P253" s="6" t="n">
        <v>1</v>
      </c>
      <c r="Q253" s="6">
        <f>IF(OR(K253="On time",K253="Late",K253="Very late"),1,0)</f>
        <v/>
      </c>
    </row>
    <row r="254">
      <c r="A254" s="10" t="inlineStr">
        <is>
          <t>DN318463</t>
        </is>
      </c>
      <c r="B254" s="10" t="inlineStr">
        <is>
          <t>SO62171</t>
        </is>
      </c>
      <c r="C254" s="10" t="inlineStr">
        <is>
          <t>C11107</t>
        </is>
      </c>
      <c r="D254" s="10">
        <f>INDEX(Customers!$B:$B,MATCH(C254,Customers!$A:$A,0))</f>
        <v/>
      </c>
      <c r="E254" s="10">
        <f>INDEX(Customers!$D:$D,MATCH(C254,Customers!$A:$A,0))</f>
        <v/>
      </c>
      <c r="F254" s="10" t="inlineStr">
        <is>
          <t>Own trucks</t>
        </is>
      </c>
      <c r="G254" s="5" t="n">
        <v>46244</v>
      </c>
      <c r="H254" s="5" t="n">
        <v>46245</v>
      </c>
      <c r="I254" s="5" t="n">
        <v>46245</v>
      </c>
      <c r="J254" s="10" t="inlineStr">
        <is>
          <t>16:50</t>
        </is>
      </c>
      <c r="K254" s="10" t="inlineStr">
        <is>
          <t>On time</t>
        </is>
      </c>
      <c r="L254" s="6" t="n">
        <v>0</v>
      </c>
      <c r="M254" s="10" t="n"/>
      <c r="N254" s="6" t="n">
        <v>27</v>
      </c>
      <c r="O254" s="6" t="n">
        <v>2997</v>
      </c>
      <c r="P254" s="6" t="n">
        <v>1</v>
      </c>
      <c r="Q254" s="6">
        <f>IF(OR(K254="On time",K254="Late",K254="Very late"),1,0)</f>
        <v/>
      </c>
    </row>
    <row r="255">
      <c r="A255" s="10" t="inlineStr">
        <is>
          <t>DN318464</t>
        </is>
      </c>
      <c r="B255" s="10" t="inlineStr">
        <is>
          <t>SO62173</t>
        </is>
      </c>
      <c r="C255" s="10" t="inlineStr">
        <is>
          <t>C11143</t>
        </is>
      </c>
      <c r="D255" s="10">
        <f>INDEX(Customers!$B:$B,MATCH(C255,Customers!$A:$A,0))</f>
        <v/>
      </c>
      <c r="E255" s="10">
        <f>INDEX(Customers!$D:$D,MATCH(C255,Customers!$A:$A,0))</f>
        <v/>
      </c>
      <c r="F255" s="10" t="inlineStr">
        <is>
          <t>Own trucks</t>
        </is>
      </c>
      <c r="G255" s="5" t="n">
        <v>46244</v>
      </c>
      <c r="H255" s="5" t="n">
        <v>46245</v>
      </c>
      <c r="I255" s="5" t="n">
        <v>46245</v>
      </c>
      <c r="J255" s="10" t="inlineStr">
        <is>
          <t>15:40</t>
        </is>
      </c>
      <c r="K255" s="10" t="inlineStr">
        <is>
          <t>On time</t>
        </is>
      </c>
      <c r="L255" s="6" t="n">
        <v>0</v>
      </c>
      <c r="M255" s="10" t="n"/>
      <c r="N255" s="6" t="n">
        <v>38</v>
      </c>
      <c r="O255" s="6" t="n">
        <v>2242</v>
      </c>
      <c r="P255" s="6" t="n">
        <v>1</v>
      </c>
      <c r="Q255" s="6">
        <f>IF(OR(K255="On time",K255="Late",K255="Very late"),1,0)</f>
        <v/>
      </c>
    </row>
    <row r="256">
      <c r="A256" s="10" t="inlineStr">
        <is>
          <t>DN318465</t>
        </is>
      </c>
      <c r="B256" s="10" t="inlineStr">
        <is>
          <t>SO62174</t>
        </is>
      </c>
      <c r="C256" s="10" t="inlineStr">
        <is>
          <t>C11186</t>
        </is>
      </c>
      <c r="D256" s="10">
        <f>INDEX(Customers!$B:$B,MATCH(C256,Customers!$A:$A,0))</f>
        <v/>
      </c>
      <c r="E256" s="10">
        <f>INDEX(Customers!$D:$D,MATCH(C256,Customers!$A:$A,0))</f>
        <v/>
      </c>
      <c r="F256" s="10" t="inlineStr">
        <is>
          <t>Own trucks</t>
        </is>
      </c>
      <c r="G256" s="5" t="n">
        <v>46244</v>
      </c>
      <c r="H256" s="5" t="n">
        <v>46245</v>
      </c>
      <c r="I256" s="5" t="n">
        <v>46245</v>
      </c>
      <c r="J256" s="10" t="inlineStr">
        <is>
          <t>13:50</t>
        </is>
      </c>
      <c r="K256" s="10" t="inlineStr">
        <is>
          <t>On time</t>
        </is>
      </c>
      <c r="L256" s="6" t="n">
        <v>0</v>
      </c>
      <c r="M256" s="10" t="n"/>
      <c r="N256" s="6" t="n">
        <v>27</v>
      </c>
      <c r="O256" s="6" t="n">
        <v>3240</v>
      </c>
      <c r="P256" s="6" t="n">
        <v>1</v>
      </c>
      <c r="Q256" s="6">
        <f>IF(OR(K256="On time",K256="Late",K256="Very late"),1,0)</f>
        <v/>
      </c>
    </row>
    <row r="257">
      <c r="A257" s="10" t="inlineStr">
        <is>
          <t>DN318466</t>
        </is>
      </c>
      <c r="B257" s="10" t="inlineStr">
        <is>
          <t>SO62175</t>
        </is>
      </c>
      <c r="C257" s="10" t="inlineStr">
        <is>
          <t>C11247</t>
        </is>
      </c>
      <c r="D257" s="10">
        <f>INDEX(Customers!$B:$B,MATCH(C257,Customers!$A:$A,0))</f>
        <v/>
      </c>
      <c r="E257" s="10">
        <f>INDEX(Customers!$D:$D,MATCH(C257,Customers!$A:$A,0))</f>
        <v/>
      </c>
      <c r="F257" s="10" t="inlineStr">
        <is>
          <t>Own trucks</t>
        </is>
      </c>
      <c r="G257" s="5" t="n">
        <v>46244</v>
      </c>
      <c r="H257" s="5" t="n">
        <v>46245</v>
      </c>
      <c r="I257" s="5" t="n">
        <v>46245</v>
      </c>
      <c r="J257" s="10" t="inlineStr">
        <is>
          <t>09:30</t>
        </is>
      </c>
      <c r="K257" s="10" t="inlineStr">
        <is>
          <t>On time</t>
        </is>
      </c>
      <c r="L257" s="6" t="n">
        <v>0</v>
      </c>
      <c r="M257" s="10" t="n"/>
      <c r="N257" s="6" t="n">
        <v>7</v>
      </c>
      <c r="O257" s="6" t="n">
        <v>581</v>
      </c>
      <c r="P257" s="6" t="n">
        <v>1</v>
      </c>
      <c r="Q257" s="6">
        <f>IF(OR(K257="On time",K257="Late",K257="Very late"),1,0)</f>
        <v/>
      </c>
    </row>
    <row r="258">
      <c r="A258" s="10" t="inlineStr">
        <is>
          <t>DN318467</t>
        </is>
      </c>
      <c r="B258" s="10" t="inlineStr">
        <is>
          <t>SO62176</t>
        </is>
      </c>
      <c r="C258" s="10" t="inlineStr">
        <is>
          <t>C11264</t>
        </is>
      </c>
      <c r="D258" s="10">
        <f>INDEX(Customers!$B:$B,MATCH(C258,Customers!$A:$A,0))</f>
        <v/>
      </c>
      <c r="E258" s="10">
        <f>INDEX(Customers!$D:$D,MATCH(C258,Customers!$A:$A,0))</f>
        <v/>
      </c>
      <c r="F258" s="10" t="inlineStr">
        <is>
          <t>Own trucks</t>
        </is>
      </c>
      <c r="G258" s="5" t="n">
        <v>46244</v>
      </c>
      <c r="H258" s="5" t="n">
        <v>46245</v>
      </c>
      <c r="I258" s="5" t="n">
        <v>46245</v>
      </c>
      <c r="J258" s="10" t="inlineStr">
        <is>
          <t>16:20</t>
        </is>
      </c>
      <c r="K258" s="10" t="inlineStr">
        <is>
          <t>On time</t>
        </is>
      </c>
      <c r="L258" s="6" t="n">
        <v>0</v>
      </c>
      <c r="M258" s="10" t="n"/>
      <c r="N258" s="6" t="n">
        <v>33</v>
      </c>
      <c r="O258" s="6" t="n">
        <v>2178</v>
      </c>
      <c r="P258" s="6" t="n">
        <v>1</v>
      </c>
      <c r="Q258" s="6">
        <f>IF(OR(K258="On time",K258="Late",K258="Very late"),1,0)</f>
        <v/>
      </c>
    </row>
    <row r="259">
      <c r="A259" s="10" t="inlineStr">
        <is>
          <t>DN318468</t>
        </is>
      </c>
      <c r="B259" s="10" t="inlineStr">
        <is>
          <t>SO62178</t>
        </is>
      </c>
      <c r="C259" s="10" t="inlineStr">
        <is>
          <t>C11314</t>
        </is>
      </c>
      <c r="D259" s="10">
        <f>INDEX(Customers!$B:$B,MATCH(C259,Customers!$A:$A,0))</f>
        <v/>
      </c>
      <c r="E259" s="10">
        <f>INDEX(Customers!$D:$D,MATCH(C259,Customers!$A:$A,0))</f>
        <v/>
      </c>
      <c r="F259" s="10" t="inlineStr">
        <is>
          <t>Own trucks</t>
        </is>
      </c>
      <c r="G259" s="5" t="n">
        <v>46244</v>
      </c>
      <c r="H259" s="5" t="n">
        <v>46245</v>
      </c>
      <c r="I259" s="5" t="n">
        <v>46245</v>
      </c>
      <c r="J259" s="10" t="inlineStr">
        <is>
          <t>09:50</t>
        </is>
      </c>
      <c r="K259" s="10" t="inlineStr">
        <is>
          <t>On time</t>
        </is>
      </c>
      <c r="L259" s="6" t="n">
        <v>0</v>
      </c>
      <c r="M259" s="10" t="n"/>
      <c r="N259" s="6" t="n">
        <v>25</v>
      </c>
      <c r="O259" s="6" t="n">
        <v>1850</v>
      </c>
      <c r="P259" s="6" t="n">
        <v>1</v>
      </c>
      <c r="Q259" s="6">
        <f>IF(OR(K259="On time",K259="Late",K259="Very late"),1,0)</f>
        <v/>
      </c>
    </row>
    <row r="260">
      <c r="A260" s="10" t="inlineStr">
        <is>
          <t>DN318469</t>
        </is>
      </c>
      <c r="B260" s="10" t="inlineStr">
        <is>
          <t>SO62179</t>
        </is>
      </c>
      <c r="C260" s="10" t="inlineStr">
        <is>
          <t>C11333</t>
        </is>
      </c>
      <c r="D260" s="10">
        <f>INDEX(Customers!$B:$B,MATCH(C260,Customers!$A:$A,0))</f>
        <v/>
      </c>
      <c r="E260" s="10">
        <f>INDEX(Customers!$D:$D,MATCH(C260,Customers!$A:$A,0))</f>
        <v/>
      </c>
      <c r="F260" s="10" t="inlineStr">
        <is>
          <t>Own trucks</t>
        </is>
      </c>
      <c r="G260" s="5" t="n">
        <v>46244</v>
      </c>
      <c r="H260" s="5" t="n">
        <v>46245</v>
      </c>
      <c r="I260" s="5" t="n">
        <v>46245</v>
      </c>
      <c r="J260" s="10" t="inlineStr">
        <is>
          <t>12:30</t>
        </is>
      </c>
      <c r="K260" s="10" t="inlineStr">
        <is>
          <t>On time</t>
        </is>
      </c>
      <c r="L260" s="6" t="n">
        <v>0</v>
      </c>
      <c r="M260" s="10" t="n"/>
      <c r="N260" s="6" t="n">
        <v>22</v>
      </c>
      <c r="O260" s="6" t="n">
        <v>2596</v>
      </c>
      <c r="P260" s="6" t="n">
        <v>1</v>
      </c>
      <c r="Q260" s="6">
        <f>IF(OR(K260="On time",K260="Late",K260="Very late"),1,0)</f>
        <v/>
      </c>
    </row>
    <row r="261">
      <c r="A261" s="10" t="inlineStr">
        <is>
          <t>DN318470</t>
        </is>
      </c>
      <c r="B261" s="10" t="inlineStr">
        <is>
          <t>SO62180</t>
        </is>
      </c>
      <c r="C261" s="10" t="inlineStr">
        <is>
          <t>C11400</t>
        </is>
      </c>
      <c r="D261" s="10">
        <f>INDEX(Customers!$B:$B,MATCH(C261,Customers!$A:$A,0))</f>
        <v/>
      </c>
      <c r="E261" s="10">
        <f>INDEX(Customers!$D:$D,MATCH(C261,Customers!$A:$A,0))</f>
        <v/>
      </c>
      <c r="F261" s="10" t="inlineStr">
        <is>
          <t>Own trucks</t>
        </is>
      </c>
      <c r="G261" s="5" t="n">
        <v>46244</v>
      </c>
      <c r="H261" s="5" t="n">
        <v>46245</v>
      </c>
      <c r="I261" s="5" t="n">
        <v>46245</v>
      </c>
      <c r="J261" s="10" t="inlineStr">
        <is>
          <t>13:10</t>
        </is>
      </c>
      <c r="K261" s="10" t="inlineStr">
        <is>
          <t>On time</t>
        </is>
      </c>
      <c r="L261" s="6" t="n">
        <v>0</v>
      </c>
      <c r="M261" s="10" t="n"/>
      <c r="N261" s="6" t="n">
        <v>20</v>
      </c>
      <c r="O261" s="6" t="n">
        <v>1920</v>
      </c>
      <c r="P261" s="6" t="n">
        <v>1</v>
      </c>
      <c r="Q261" s="6">
        <f>IF(OR(K261="On time",K261="Late",K261="Very late"),1,0)</f>
        <v/>
      </c>
    </row>
    <row r="262">
      <c r="A262" s="10" t="inlineStr">
        <is>
          <t>DN318471</t>
        </is>
      </c>
      <c r="B262" s="10" t="inlineStr">
        <is>
          <t>SO62181</t>
        </is>
      </c>
      <c r="C262" s="10" t="inlineStr">
        <is>
          <t>C11518</t>
        </is>
      </c>
      <c r="D262" s="10">
        <f>INDEX(Customers!$B:$B,MATCH(C262,Customers!$A:$A,0))</f>
        <v/>
      </c>
      <c r="E262" s="10">
        <f>INDEX(Customers!$D:$D,MATCH(C262,Customers!$A:$A,0))</f>
        <v/>
      </c>
      <c r="F262" s="10" t="inlineStr">
        <is>
          <t>Own trucks</t>
        </is>
      </c>
      <c r="G262" s="5" t="n">
        <v>46244</v>
      </c>
      <c r="H262" s="5" t="n">
        <v>46245</v>
      </c>
      <c r="I262" s="5" t="n">
        <v>46245</v>
      </c>
      <c r="J262" s="10" t="inlineStr">
        <is>
          <t>11:20</t>
        </is>
      </c>
      <c r="K262" s="10" t="inlineStr">
        <is>
          <t>On time</t>
        </is>
      </c>
      <c r="L262" s="6" t="n">
        <v>0</v>
      </c>
      <c r="M262" s="10" t="n"/>
      <c r="N262" s="6" t="n">
        <v>2</v>
      </c>
      <c r="O262" s="6" t="n">
        <v>128</v>
      </c>
      <c r="P262" s="6" t="n">
        <v>1</v>
      </c>
      <c r="Q262" s="6">
        <f>IF(OR(K262="On time",K262="Late",K262="Very late"),1,0)</f>
        <v/>
      </c>
    </row>
    <row r="263">
      <c r="A263" s="10" t="inlineStr">
        <is>
          <t>DN318472</t>
        </is>
      </c>
      <c r="B263" s="10" t="inlineStr">
        <is>
          <t>SO62182</t>
        </is>
      </c>
      <c r="C263" s="10" t="inlineStr">
        <is>
          <t>C11579</t>
        </is>
      </c>
      <c r="D263" s="10">
        <f>INDEX(Customers!$B:$B,MATCH(C263,Customers!$A:$A,0))</f>
        <v/>
      </c>
      <c r="E263" s="10">
        <f>INDEX(Customers!$D:$D,MATCH(C263,Customers!$A:$A,0))</f>
        <v/>
      </c>
      <c r="F263" s="10" t="inlineStr">
        <is>
          <t>Own trucks</t>
        </is>
      </c>
      <c r="G263" s="5" t="n">
        <v>46244</v>
      </c>
      <c r="H263" s="5" t="n">
        <v>46245</v>
      </c>
      <c r="I263" s="5" t="n">
        <v>46245</v>
      </c>
      <c r="J263" s="10" t="inlineStr">
        <is>
          <t>11:30</t>
        </is>
      </c>
      <c r="K263" s="10" t="inlineStr">
        <is>
          <t>On time</t>
        </is>
      </c>
      <c r="L263" s="6" t="n">
        <v>0</v>
      </c>
      <c r="M263" s="10" t="n"/>
      <c r="N263" s="6" t="n">
        <v>4</v>
      </c>
      <c r="O263" s="6" t="n">
        <v>512</v>
      </c>
      <c r="P263" s="6" t="n">
        <v>1</v>
      </c>
      <c r="Q263" s="6">
        <f>IF(OR(K263="On time",K263="Late",K263="Very late"),1,0)</f>
        <v/>
      </c>
    </row>
    <row r="264">
      <c r="A264" s="10" t="inlineStr">
        <is>
          <t>DN318473</t>
        </is>
      </c>
      <c r="B264" s="10" t="inlineStr">
        <is>
          <t>SO62183</t>
        </is>
      </c>
      <c r="C264" s="10" t="inlineStr">
        <is>
          <t>C11616</t>
        </is>
      </c>
      <c r="D264" s="10">
        <f>INDEX(Customers!$B:$B,MATCH(C264,Customers!$A:$A,0))</f>
        <v/>
      </c>
      <c r="E264" s="10">
        <f>INDEX(Customers!$D:$D,MATCH(C264,Customers!$A:$A,0))</f>
        <v/>
      </c>
      <c r="F264" s="10" t="inlineStr">
        <is>
          <t>Own trucks</t>
        </is>
      </c>
      <c r="G264" s="5" t="n">
        <v>46244</v>
      </c>
      <c r="H264" s="5" t="n">
        <v>46245</v>
      </c>
      <c r="I264" s="5" t="n">
        <v>46245</v>
      </c>
      <c r="J264" s="10" t="inlineStr">
        <is>
          <t>11:20</t>
        </is>
      </c>
      <c r="K264" s="10" t="inlineStr">
        <is>
          <t>On time</t>
        </is>
      </c>
      <c r="L264" s="6" t="n">
        <v>0</v>
      </c>
      <c r="M264" s="10" t="n"/>
      <c r="N264" s="6" t="n">
        <v>4</v>
      </c>
      <c r="O264" s="6" t="n">
        <v>232</v>
      </c>
      <c r="P264" s="6" t="n">
        <v>1</v>
      </c>
      <c r="Q264" s="6">
        <f>IF(OR(K264="On time",K264="Late",K264="Very late"),1,0)</f>
        <v/>
      </c>
    </row>
    <row r="265">
      <c r="A265" s="10" t="inlineStr">
        <is>
          <t>DN318474</t>
        </is>
      </c>
      <c r="B265" s="10" t="inlineStr">
        <is>
          <t>SO62185</t>
        </is>
      </c>
      <c r="C265" s="10" t="inlineStr">
        <is>
          <t>C11666</t>
        </is>
      </c>
      <c r="D265" s="10">
        <f>INDEX(Customers!$B:$B,MATCH(C265,Customers!$A:$A,0))</f>
        <v/>
      </c>
      <c r="E265" s="10">
        <f>INDEX(Customers!$D:$D,MATCH(C265,Customers!$A:$A,0))</f>
        <v/>
      </c>
      <c r="F265" s="10" t="inlineStr">
        <is>
          <t>Own trucks</t>
        </is>
      </c>
      <c r="G265" s="5" t="n">
        <v>46244</v>
      </c>
      <c r="H265" s="5" t="n">
        <v>46245</v>
      </c>
      <c r="I265" s="5" t="n">
        <v>46245</v>
      </c>
      <c r="J265" s="10" t="inlineStr">
        <is>
          <t>08:20</t>
        </is>
      </c>
      <c r="K265" s="10" t="inlineStr">
        <is>
          <t>On time</t>
        </is>
      </c>
      <c r="L265" s="6" t="n">
        <v>0</v>
      </c>
      <c r="M265" s="10" t="n"/>
      <c r="N265" s="6" t="n">
        <v>36</v>
      </c>
      <c r="O265" s="6" t="n">
        <v>2484</v>
      </c>
      <c r="P265" s="6" t="n">
        <v>1</v>
      </c>
      <c r="Q265" s="6">
        <f>IF(OR(K265="On time",K265="Late",K265="Very late"),1,0)</f>
        <v/>
      </c>
    </row>
    <row r="266">
      <c r="A266" s="10" t="inlineStr">
        <is>
          <t>DN318475</t>
        </is>
      </c>
      <c r="B266" s="10" t="inlineStr">
        <is>
          <t>SO62186</t>
        </is>
      </c>
      <c r="C266" s="10" t="inlineStr">
        <is>
          <t>C11718</t>
        </is>
      </c>
      <c r="D266" s="10">
        <f>INDEX(Customers!$B:$B,MATCH(C266,Customers!$A:$A,0))</f>
        <v/>
      </c>
      <c r="E266" s="10">
        <f>INDEX(Customers!$D:$D,MATCH(C266,Customers!$A:$A,0))</f>
        <v/>
      </c>
      <c r="F266" s="10" t="inlineStr">
        <is>
          <t>Own trucks</t>
        </is>
      </c>
      <c r="G266" s="5" t="n">
        <v>46244</v>
      </c>
      <c r="H266" s="5" t="n">
        <v>46245</v>
      </c>
      <c r="I266" s="5" t="n">
        <v>46245</v>
      </c>
      <c r="J266" s="10" t="inlineStr">
        <is>
          <t>08:20</t>
        </is>
      </c>
      <c r="K266" s="10" t="inlineStr">
        <is>
          <t>On time</t>
        </is>
      </c>
      <c r="L266" s="6" t="n">
        <v>0</v>
      </c>
      <c r="M266" s="10" t="n"/>
      <c r="N266" s="6" t="n">
        <v>29</v>
      </c>
      <c r="O266" s="6" t="n">
        <v>1740</v>
      </c>
      <c r="P266" s="6" t="n">
        <v>1</v>
      </c>
      <c r="Q266" s="6">
        <f>IF(OR(K266="On time",K266="Late",K266="Very late"),1,0)</f>
        <v/>
      </c>
    </row>
    <row r="267">
      <c r="A267" s="10" t="inlineStr">
        <is>
          <t>DN318476</t>
        </is>
      </c>
      <c r="B267" s="10" t="inlineStr">
        <is>
          <t>SO62187</t>
        </is>
      </c>
      <c r="C267" s="10" t="inlineStr">
        <is>
          <t>C11866</t>
        </is>
      </c>
      <c r="D267" s="10">
        <f>INDEX(Customers!$B:$B,MATCH(C267,Customers!$A:$A,0))</f>
        <v/>
      </c>
      <c r="E267" s="10">
        <f>INDEX(Customers!$D:$D,MATCH(C267,Customers!$A:$A,0))</f>
        <v/>
      </c>
      <c r="F267" s="10" t="inlineStr">
        <is>
          <t>Carrier A</t>
        </is>
      </c>
      <c r="G267" s="5" t="n">
        <v>46244</v>
      </c>
      <c r="H267" s="5" t="n">
        <v>46245</v>
      </c>
      <c r="I267" s="5" t="n">
        <v>46245</v>
      </c>
      <c r="J267" s="10" t="inlineStr">
        <is>
          <t>16:20</t>
        </is>
      </c>
      <c r="K267" s="10" t="inlineStr">
        <is>
          <t>On time</t>
        </is>
      </c>
      <c r="L267" s="6" t="n">
        <v>0</v>
      </c>
      <c r="M267" s="10" t="n"/>
      <c r="N267" s="6" t="n">
        <v>28</v>
      </c>
      <c r="O267" s="6" t="n">
        <v>1764</v>
      </c>
      <c r="P267" s="6" t="n">
        <v>1</v>
      </c>
      <c r="Q267" s="6">
        <f>IF(OR(K267="On time",K267="Late",K267="Very late"),1,0)</f>
        <v/>
      </c>
    </row>
    <row r="268">
      <c r="A268" s="10" t="inlineStr">
        <is>
          <t>DN318477</t>
        </is>
      </c>
      <c r="B268" s="10" t="inlineStr">
        <is>
          <t>SO62188</t>
        </is>
      </c>
      <c r="C268" s="10" t="inlineStr">
        <is>
          <t>C11910</t>
        </is>
      </c>
      <c r="D268" s="10">
        <f>INDEX(Customers!$B:$B,MATCH(C268,Customers!$A:$A,0))</f>
        <v/>
      </c>
      <c r="E268" s="10">
        <f>INDEX(Customers!$D:$D,MATCH(C268,Customers!$A:$A,0))</f>
        <v/>
      </c>
      <c r="F268" s="10" t="inlineStr">
        <is>
          <t>Carrier A</t>
        </is>
      </c>
      <c r="G268" s="5" t="n">
        <v>46244</v>
      </c>
      <c r="H268" s="5" t="n">
        <v>46245</v>
      </c>
      <c r="I268" s="5" t="n">
        <v>46247</v>
      </c>
      <c r="J268" s="10" t="inlineStr">
        <is>
          <t>12:50</t>
        </is>
      </c>
      <c r="K268" s="10" t="inlineStr">
        <is>
          <t>Late</t>
        </is>
      </c>
      <c r="L268" s="6" t="n">
        <v>1</v>
      </c>
      <c r="M268" s="10" t="inlineStr">
        <is>
          <t>Wrong address</t>
        </is>
      </c>
      <c r="N268" s="6" t="n">
        <v>20</v>
      </c>
      <c r="O268" s="6" t="n">
        <v>1760</v>
      </c>
      <c r="P268" s="6" t="n">
        <v>1</v>
      </c>
      <c r="Q268" s="6">
        <f>IF(OR(K268="On time",K268="Late",K268="Very late"),1,0)</f>
        <v/>
      </c>
    </row>
    <row r="269">
      <c r="A269" s="10" t="inlineStr">
        <is>
          <t>DN318478</t>
        </is>
      </c>
      <c r="B269" s="10" t="inlineStr">
        <is>
          <t>SO62189</t>
        </is>
      </c>
      <c r="C269" s="10" t="inlineStr">
        <is>
          <t>C11950</t>
        </is>
      </c>
      <c r="D269" s="10">
        <f>INDEX(Customers!$B:$B,MATCH(C269,Customers!$A:$A,0))</f>
        <v/>
      </c>
      <c r="E269" s="10">
        <f>INDEX(Customers!$D:$D,MATCH(C269,Customers!$A:$A,0))</f>
        <v/>
      </c>
      <c r="F269" s="10" t="inlineStr">
        <is>
          <t>Carrier A</t>
        </is>
      </c>
      <c r="G269" s="5" t="n">
        <v>46244</v>
      </c>
      <c r="H269" s="5" t="n">
        <v>46245</v>
      </c>
      <c r="I269" s="5" t="n">
        <v>46245</v>
      </c>
      <c r="J269" s="10" t="inlineStr">
        <is>
          <t>12:30</t>
        </is>
      </c>
      <c r="K269" s="10" t="inlineStr">
        <is>
          <t>On time</t>
        </is>
      </c>
      <c r="L269" s="6" t="n">
        <v>0</v>
      </c>
      <c r="M269" s="10" t="n"/>
      <c r="N269" s="6" t="n">
        <v>24</v>
      </c>
      <c r="O269" s="6" t="n">
        <v>3360</v>
      </c>
      <c r="P269" s="6" t="n">
        <v>1</v>
      </c>
      <c r="Q269" s="6">
        <f>IF(OR(K269="On time",K269="Late",K269="Very late"),1,0)</f>
        <v/>
      </c>
    </row>
    <row r="270">
      <c r="A270" s="10" t="inlineStr">
        <is>
          <t>DN318479</t>
        </is>
      </c>
      <c r="B270" s="10" t="inlineStr">
        <is>
          <t>SO62190</t>
        </is>
      </c>
      <c r="C270" s="10" t="inlineStr">
        <is>
          <t>C11971</t>
        </is>
      </c>
      <c r="D270" s="10">
        <f>INDEX(Customers!$B:$B,MATCH(C270,Customers!$A:$A,0))</f>
        <v/>
      </c>
      <c r="E270" s="10">
        <f>INDEX(Customers!$D:$D,MATCH(C270,Customers!$A:$A,0))</f>
        <v/>
      </c>
      <c r="F270" s="10" t="inlineStr">
        <is>
          <t>Own trucks</t>
        </is>
      </c>
      <c r="G270" s="5" t="n">
        <v>46244</v>
      </c>
      <c r="H270" s="5" t="n">
        <v>46245</v>
      </c>
      <c r="I270" s="5" t="n">
        <v>46245</v>
      </c>
      <c r="J270" s="10" t="inlineStr">
        <is>
          <t>08:00</t>
        </is>
      </c>
      <c r="K270" s="10" t="inlineStr">
        <is>
          <t>On time</t>
        </is>
      </c>
      <c r="L270" s="6" t="n">
        <v>0</v>
      </c>
      <c r="M270" s="10" t="n"/>
      <c r="N270" s="6" t="n">
        <v>12</v>
      </c>
      <c r="O270" s="6" t="n">
        <v>1188</v>
      </c>
      <c r="P270" s="6" t="n">
        <v>1</v>
      </c>
      <c r="Q270" s="6">
        <f>IF(OR(K270="On time",K270="Late",K270="Very late"),1,0)</f>
        <v/>
      </c>
    </row>
    <row r="271">
      <c r="A271" s="10" t="inlineStr">
        <is>
          <t>DN318480</t>
        </is>
      </c>
      <c r="B271" s="10" t="inlineStr">
        <is>
          <t>SO62191</t>
        </is>
      </c>
      <c r="C271" s="10" t="inlineStr">
        <is>
          <t>C12037</t>
        </is>
      </c>
      <c r="D271" s="10">
        <f>INDEX(Customers!$B:$B,MATCH(C271,Customers!$A:$A,0))</f>
        <v/>
      </c>
      <c r="E271" s="10">
        <f>INDEX(Customers!$D:$D,MATCH(C271,Customers!$A:$A,0))</f>
        <v/>
      </c>
      <c r="F271" s="10" t="inlineStr">
        <is>
          <t>Own trucks</t>
        </is>
      </c>
      <c r="G271" s="5" t="n">
        <v>46244</v>
      </c>
      <c r="H271" s="5" t="n">
        <v>46245</v>
      </c>
      <c r="I271" s="5" t="n">
        <v>46245</v>
      </c>
      <c r="J271" s="10" t="inlineStr">
        <is>
          <t>09:50</t>
        </is>
      </c>
      <c r="K271" s="10" t="inlineStr">
        <is>
          <t>On time</t>
        </is>
      </c>
      <c r="L271" s="6" t="n">
        <v>0</v>
      </c>
      <c r="M271" s="10" t="n"/>
      <c r="N271" s="6" t="n">
        <v>6</v>
      </c>
      <c r="O271" s="6" t="n">
        <v>750</v>
      </c>
      <c r="P271" s="6" t="n">
        <v>1</v>
      </c>
      <c r="Q271" s="6">
        <f>IF(OR(K271="On time",K271="Late",K271="Very late"),1,0)</f>
        <v/>
      </c>
    </row>
    <row r="272">
      <c r="A272" s="10" t="inlineStr">
        <is>
          <t>DN318481</t>
        </is>
      </c>
      <c r="B272" s="10" t="inlineStr">
        <is>
          <t>SO62192</t>
        </is>
      </c>
      <c r="C272" s="10" t="inlineStr">
        <is>
          <t>C12103</t>
        </is>
      </c>
      <c r="D272" s="10">
        <f>INDEX(Customers!$B:$B,MATCH(C272,Customers!$A:$A,0))</f>
        <v/>
      </c>
      <c r="E272" s="10">
        <f>INDEX(Customers!$D:$D,MATCH(C272,Customers!$A:$A,0))</f>
        <v/>
      </c>
      <c r="F272" s="10" t="inlineStr">
        <is>
          <t>Own trucks</t>
        </is>
      </c>
      <c r="G272" s="5" t="n">
        <v>46244</v>
      </c>
      <c r="H272" s="5" t="n">
        <v>46245</v>
      </c>
      <c r="I272" s="5" t="n">
        <v>46245</v>
      </c>
      <c r="J272" s="10" t="inlineStr">
        <is>
          <t>07:20</t>
        </is>
      </c>
      <c r="K272" s="10" t="inlineStr">
        <is>
          <t>On time</t>
        </is>
      </c>
      <c r="L272" s="6" t="n">
        <v>0</v>
      </c>
      <c r="M272" s="10" t="n"/>
      <c r="N272" s="6" t="n">
        <v>39</v>
      </c>
      <c r="O272" s="6" t="n">
        <v>5148</v>
      </c>
      <c r="P272" s="6" t="n">
        <v>1</v>
      </c>
      <c r="Q272" s="6">
        <f>IF(OR(K272="On time",K272="Late",K272="Very late"),1,0)</f>
        <v/>
      </c>
    </row>
    <row r="273">
      <c r="A273" s="10" t="inlineStr">
        <is>
          <t>DN318482</t>
        </is>
      </c>
      <c r="B273" s="10" t="inlineStr">
        <is>
          <t>SO62193</t>
        </is>
      </c>
      <c r="C273" s="10" t="inlineStr">
        <is>
          <t>C12213</t>
        </is>
      </c>
      <c r="D273" s="10">
        <f>INDEX(Customers!$B:$B,MATCH(C273,Customers!$A:$A,0))</f>
        <v/>
      </c>
      <c r="E273" s="10">
        <f>INDEX(Customers!$D:$D,MATCH(C273,Customers!$A:$A,0))</f>
        <v/>
      </c>
      <c r="F273" s="10" t="inlineStr">
        <is>
          <t>Carrier B</t>
        </is>
      </c>
      <c r="G273" s="5" t="n">
        <v>46244</v>
      </c>
      <c r="H273" s="5" t="n">
        <v>46245</v>
      </c>
      <c r="I273" s="5" t="n">
        <v>46245</v>
      </c>
      <c r="J273" s="10" t="inlineStr">
        <is>
          <t>10:10</t>
        </is>
      </c>
      <c r="K273" s="10" t="inlineStr">
        <is>
          <t>On time</t>
        </is>
      </c>
      <c r="L273" s="6" t="n">
        <v>0</v>
      </c>
      <c r="M273" s="10" t="n"/>
      <c r="N273" s="6" t="n">
        <v>26</v>
      </c>
      <c r="O273" s="6" t="n">
        <v>3562</v>
      </c>
      <c r="P273" s="6" t="n">
        <v>1</v>
      </c>
      <c r="Q273" s="6">
        <f>IF(OR(K273="On time",K273="Late",K273="Very late"),1,0)</f>
        <v/>
      </c>
    </row>
    <row r="274">
      <c r="A274" s="10" t="inlineStr">
        <is>
          <t>DN318483</t>
        </is>
      </c>
      <c r="B274" s="10" t="inlineStr">
        <is>
          <t>SO62194</t>
        </is>
      </c>
      <c r="C274" s="10" t="inlineStr">
        <is>
          <t>C12239</t>
        </is>
      </c>
      <c r="D274" s="10">
        <f>INDEX(Customers!$B:$B,MATCH(C274,Customers!$A:$A,0))</f>
        <v/>
      </c>
      <c r="E274" s="10">
        <f>INDEX(Customers!$D:$D,MATCH(C274,Customers!$A:$A,0))</f>
        <v/>
      </c>
      <c r="F274" s="10" t="inlineStr">
        <is>
          <t>Carrier B</t>
        </is>
      </c>
      <c r="G274" s="5" t="n">
        <v>46244</v>
      </c>
      <c r="H274" s="5" t="n">
        <v>46245</v>
      </c>
      <c r="I274" s="5" t="n">
        <v>46245</v>
      </c>
      <c r="J274" s="10" t="inlineStr">
        <is>
          <t>08:30</t>
        </is>
      </c>
      <c r="K274" s="10" t="inlineStr">
        <is>
          <t>On time</t>
        </is>
      </c>
      <c r="L274" s="6" t="n">
        <v>0</v>
      </c>
      <c r="M274" s="10" t="n"/>
      <c r="N274" s="6" t="n">
        <v>35</v>
      </c>
      <c r="O274" s="6" t="n">
        <v>3360</v>
      </c>
      <c r="P274" s="6" t="n">
        <v>1</v>
      </c>
      <c r="Q274" s="6">
        <f>IF(OR(K274="On time",K274="Late",K274="Very late"),1,0)</f>
        <v/>
      </c>
    </row>
    <row r="275">
      <c r="A275" s="10" t="inlineStr">
        <is>
          <t>DN318484</t>
        </is>
      </c>
      <c r="B275" s="10" t="inlineStr">
        <is>
          <t>SO62195</t>
        </is>
      </c>
      <c r="C275" s="10" t="inlineStr">
        <is>
          <t>C12262</t>
        </is>
      </c>
      <c r="D275" s="10">
        <f>INDEX(Customers!$B:$B,MATCH(C275,Customers!$A:$A,0))</f>
        <v/>
      </c>
      <c r="E275" s="10">
        <f>INDEX(Customers!$D:$D,MATCH(C275,Customers!$A:$A,0))</f>
        <v/>
      </c>
      <c r="F275" s="10" t="inlineStr">
        <is>
          <t>Carrier B</t>
        </is>
      </c>
      <c r="G275" s="5" t="n">
        <v>46244</v>
      </c>
      <c r="H275" s="5" t="n">
        <v>46245</v>
      </c>
      <c r="I275" s="5" t="n">
        <v>46245</v>
      </c>
      <c r="J275" s="10" t="inlineStr">
        <is>
          <t>11:20</t>
        </is>
      </c>
      <c r="K275" s="10" t="inlineStr">
        <is>
          <t>On time</t>
        </is>
      </c>
      <c r="L275" s="6" t="n">
        <v>0</v>
      </c>
      <c r="M275" s="10" t="n"/>
      <c r="N275" s="6" t="n">
        <v>34</v>
      </c>
      <c r="O275" s="6" t="n">
        <v>1904</v>
      </c>
      <c r="P275" s="6" t="n">
        <v>1</v>
      </c>
      <c r="Q275" s="6">
        <f>IF(OR(K275="On time",K275="Late",K275="Very late"),1,0)</f>
        <v/>
      </c>
    </row>
    <row r="276">
      <c r="A276" s="10" t="inlineStr">
        <is>
          <t>DN318485</t>
        </is>
      </c>
      <c r="B276" s="10" t="inlineStr">
        <is>
          <t>SO62196</t>
        </is>
      </c>
      <c r="C276" s="10" t="inlineStr">
        <is>
          <t>C12305</t>
        </is>
      </c>
      <c r="D276" s="10">
        <f>INDEX(Customers!$B:$B,MATCH(C276,Customers!$A:$A,0))</f>
        <v/>
      </c>
      <c r="E276" s="10">
        <f>INDEX(Customers!$D:$D,MATCH(C276,Customers!$A:$A,0))</f>
        <v/>
      </c>
      <c r="F276" s="10" t="inlineStr">
        <is>
          <t>Carrier B</t>
        </is>
      </c>
      <c r="G276" s="5" t="n">
        <v>46244</v>
      </c>
      <c r="H276" s="5" t="n">
        <v>46245</v>
      </c>
      <c r="I276" s="5" t="n">
        <v>46245</v>
      </c>
      <c r="J276" s="10" t="inlineStr">
        <is>
          <t>07:50</t>
        </is>
      </c>
      <c r="K276" s="10" t="inlineStr">
        <is>
          <t>On time</t>
        </is>
      </c>
      <c r="L276" s="6" t="n">
        <v>0</v>
      </c>
      <c r="M276" s="10" t="n"/>
      <c r="N276" s="6" t="n">
        <v>26</v>
      </c>
      <c r="O276" s="6" t="n">
        <v>2652</v>
      </c>
      <c r="P276" s="6" t="n">
        <v>1</v>
      </c>
      <c r="Q276" s="6">
        <f>IF(OR(K276="On time",K276="Late",K276="Very late"),1,0)</f>
        <v/>
      </c>
    </row>
    <row r="277">
      <c r="A277" s="10" t="inlineStr">
        <is>
          <t>DN318486</t>
        </is>
      </c>
      <c r="B277" s="10" t="inlineStr">
        <is>
          <t>SO62197</t>
        </is>
      </c>
      <c r="C277" s="10" t="inlineStr">
        <is>
          <t>C12420</t>
        </is>
      </c>
      <c r="D277" s="10">
        <f>INDEX(Customers!$B:$B,MATCH(C277,Customers!$A:$A,0))</f>
        <v/>
      </c>
      <c r="E277" s="10">
        <f>INDEX(Customers!$D:$D,MATCH(C277,Customers!$A:$A,0))</f>
        <v/>
      </c>
      <c r="F277" s="10" t="inlineStr">
        <is>
          <t>Carrier A</t>
        </is>
      </c>
      <c r="G277" s="5" t="n">
        <v>46244</v>
      </c>
      <c r="H277" s="5" t="n">
        <v>46245</v>
      </c>
      <c r="I277" s="5" t="n">
        <v>46245</v>
      </c>
      <c r="J277" s="10" t="inlineStr">
        <is>
          <t>11:20</t>
        </is>
      </c>
      <c r="K277" s="10" t="inlineStr">
        <is>
          <t>On time</t>
        </is>
      </c>
      <c r="L277" s="6" t="n">
        <v>0</v>
      </c>
      <c r="M277" s="10" t="n"/>
      <c r="N277" s="6" t="n">
        <v>29</v>
      </c>
      <c r="O277" s="6" t="n">
        <v>1856</v>
      </c>
      <c r="P277" s="6" t="n">
        <v>1</v>
      </c>
      <c r="Q277" s="6">
        <f>IF(OR(K277="On time",K277="Late",K277="Very late"),1,0)</f>
        <v/>
      </c>
    </row>
    <row r="278">
      <c r="A278" s="10" t="inlineStr">
        <is>
          <t>DN318487</t>
        </is>
      </c>
      <c r="B278" s="10" t="inlineStr">
        <is>
          <t>SO62198</t>
        </is>
      </c>
      <c r="C278" s="10" t="inlineStr">
        <is>
          <t>C12543</t>
        </is>
      </c>
      <c r="D278" s="10">
        <f>INDEX(Customers!$B:$B,MATCH(C278,Customers!$A:$A,0))</f>
        <v/>
      </c>
      <c r="E278" s="10">
        <f>INDEX(Customers!$D:$D,MATCH(C278,Customers!$A:$A,0))</f>
        <v/>
      </c>
      <c r="F278" s="10" t="inlineStr">
        <is>
          <t>Carrier B</t>
        </is>
      </c>
      <c r="G278" s="5" t="n">
        <v>46241</v>
      </c>
      <c r="H278" s="5" t="n">
        <v>46245</v>
      </c>
      <c r="I278" s="5" t="n">
        <v>46247</v>
      </c>
      <c r="J278" s="10" t="inlineStr">
        <is>
          <t>12:30</t>
        </is>
      </c>
      <c r="K278" s="10" t="inlineStr">
        <is>
          <t>Late</t>
        </is>
      </c>
      <c r="L278" s="6" t="n">
        <v>1</v>
      </c>
      <c r="M278" s="10" t="inlineStr">
        <is>
          <t>Carrier delay</t>
        </is>
      </c>
      <c r="N278" s="6" t="n">
        <v>25</v>
      </c>
      <c r="O278" s="6" t="n">
        <v>1425</v>
      </c>
      <c r="P278" s="6" t="n">
        <v>1</v>
      </c>
      <c r="Q278" s="6">
        <f>IF(OR(K278="On time",K278="Late",K278="Very late"),1,0)</f>
        <v/>
      </c>
    </row>
    <row r="279">
      <c r="A279" s="10" t="inlineStr">
        <is>
          <t>DN318488</t>
        </is>
      </c>
      <c r="B279" s="10" t="inlineStr">
        <is>
          <t>SO62200</t>
        </is>
      </c>
      <c r="C279" s="10" t="inlineStr">
        <is>
          <t>C12617</t>
        </is>
      </c>
      <c r="D279" s="10">
        <f>INDEX(Customers!$B:$B,MATCH(C279,Customers!$A:$A,0))</f>
        <v/>
      </c>
      <c r="E279" s="10">
        <f>INDEX(Customers!$D:$D,MATCH(C279,Customers!$A:$A,0))</f>
        <v/>
      </c>
      <c r="F279" s="10" t="inlineStr">
        <is>
          <t>Carrier B</t>
        </is>
      </c>
      <c r="G279" s="5" t="n">
        <v>46241</v>
      </c>
      <c r="H279" s="5" t="n">
        <v>46245</v>
      </c>
      <c r="I279" s="5" t="n">
        <v>46245</v>
      </c>
      <c r="J279" s="10" t="inlineStr">
        <is>
          <t>16:40</t>
        </is>
      </c>
      <c r="K279" s="10" t="inlineStr">
        <is>
          <t>On time</t>
        </is>
      </c>
      <c r="L279" s="6" t="n">
        <v>0</v>
      </c>
      <c r="M279" s="10" t="n"/>
      <c r="N279" s="6" t="n">
        <v>9</v>
      </c>
      <c r="O279" s="6" t="n">
        <v>1233</v>
      </c>
      <c r="P279" s="6" t="n">
        <v>1</v>
      </c>
      <c r="Q279" s="6">
        <f>IF(OR(K279="On time",K279="Late",K279="Very late"),1,0)</f>
        <v/>
      </c>
    </row>
    <row r="280">
      <c r="A280" s="10" t="inlineStr">
        <is>
          <t>DN318489</t>
        </is>
      </c>
      <c r="B280" s="10" t="inlineStr">
        <is>
          <t>SO62201</t>
        </is>
      </c>
      <c r="C280" s="10" t="inlineStr">
        <is>
          <t>C12631</t>
        </is>
      </c>
      <c r="D280" s="10">
        <f>INDEX(Customers!$B:$B,MATCH(C280,Customers!$A:$A,0))</f>
        <v/>
      </c>
      <c r="E280" s="10">
        <f>INDEX(Customers!$D:$D,MATCH(C280,Customers!$A:$A,0))</f>
        <v/>
      </c>
      <c r="F280" s="10" t="inlineStr">
        <is>
          <t>Carrier B</t>
        </is>
      </c>
      <c r="G280" s="5" t="n">
        <v>46241</v>
      </c>
      <c r="H280" s="5" t="n">
        <v>46245</v>
      </c>
      <c r="I280" s="5" t="n">
        <v>46245</v>
      </c>
      <c r="J280" s="10" t="inlineStr">
        <is>
          <t>16:00</t>
        </is>
      </c>
      <c r="K280" s="10" t="inlineStr">
        <is>
          <t>On time</t>
        </is>
      </c>
      <c r="L280" s="6" t="n">
        <v>0</v>
      </c>
      <c r="M280" s="10" t="n"/>
      <c r="N280" s="6" t="n">
        <v>19</v>
      </c>
      <c r="O280" s="6" t="n">
        <v>1577</v>
      </c>
      <c r="P280" s="6" t="n">
        <v>1</v>
      </c>
      <c r="Q280" s="6">
        <f>IF(OR(K280="On time",K280="Late",K280="Very late"),1,0)</f>
        <v/>
      </c>
    </row>
    <row r="281">
      <c r="A281" s="10" t="inlineStr">
        <is>
          <t>DN318490</t>
        </is>
      </c>
      <c r="B281" s="10" t="inlineStr">
        <is>
          <t>SO62202</t>
        </is>
      </c>
      <c r="C281" s="10" t="inlineStr">
        <is>
          <t>C12639</t>
        </is>
      </c>
      <c r="D281" s="10">
        <f>INDEX(Customers!$B:$B,MATCH(C281,Customers!$A:$A,0))</f>
        <v/>
      </c>
      <c r="E281" s="10">
        <f>INDEX(Customers!$D:$D,MATCH(C281,Customers!$A:$A,0))</f>
        <v/>
      </c>
      <c r="F281" s="10" t="inlineStr">
        <is>
          <t>Carrier B</t>
        </is>
      </c>
      <c r="G281" s="5" t="n">
        <v>46241</v>
      </c>
      <c r="H281" s="5" t="n">
        <v>46245</v>
      </c>
      <c r="I281" s="5" t="n">
        <v>46245</v>
      </c>
      <c r="J281" s="10" t="inlineStr">
        <is>
          <t>14:30</t>
        </is>
      </c>
      <c r="K281" s="10" t="inlineStr">
        <is>
          <t>On time</t>
        </is>
      </c>
      <c r="L281" s="6" t="n">
        <v>0</v>
      </c>
      <c r="M281" s="10" t="n"/>
      <c r="N281" s="6" t="n">
        <v>14</v>
      </c>
      <c r="O281" s="6" t="n">
        <v>1764</v>
      </c>
      <c r="P281" s="6" t="n">
        <v>1</v>
      </c>
      <c r="Q281" s="6">
        <f>IF(OR(K281="On time",K281="Late",K281="Very late"),1,0)</f>
        <v/>
      </c>
    </row>
    <row r="282">
      <c r="A282" s="10" t="inlineStr">
        <is>
          <t>DN318491</t>
        </is>
      </c>
      <c r="B282" s="10" t="inlineStr">
        <is>
          <t>SO62204</t>
        </is>
      </c>
      <c r="C282" s="10" t="inlineStr">
        <is>
          <t>C12675</t>
        </is>
      </c>
      <c r="D282" s="10">
        <f>INDEX(Customers!$B:$B,MATCH(C282,Customers!$A:$A,0))</f>
        <v/>
      </c>
      <c r="E282" s="10">
        <f>INDEX(Customers!$D:$D,MATCH(C282,Customers!$A:$A,0))</f>
        <v/>
      </c>
      <c r="F282" s="10" t="inlineStr">
        <is>
          <t>Carrier B</t>
        </is>
      </c>
      <c r="G282" s="5" t="n">
        <v>46241</v>
      </c>
      <c r="H282" s="5" t="n">
        <v>46245</v>
      </c>
      <c r="I282" s="5" t="n">
        <v>46245</v>
      </c>
      <c r="J282" s="10" t="inlineStr">
        <is>
          <t>15:00</t>
        </is>
      </c>
      <c r="K282" s="10" t="inlineStr">
        <is>
          <t>On time</t>
        </is>
      </c>
      <c r="L282" s="6" t="n">
        <v>0</v>
      </c>
      <c r="M282" s="10" t="n"/>
      <c r="N282" s="6" t="n">
        <v>21</v>
      </c>
      <c r="O282" s="6" t="n">
        <v>1869</v>
      </c>
      <c r="P282" s="6" t="n">
        <v>1</v>
      </c>
      <c r="Q282" s="6">
        <f>IF(OR(K282="On time",K282="Late",K282="Very late"),1,0)</f>
        <v/>
      </c>
    </row>
    <row r="283">
      <c r="A283" s="10" t="inlineStr">
        <is>
          <t>DN318492</t>
        </is>
      </c>
      <c r="B283" s="10" t="inlineStr">
        <is>
          <t>SO62206</t>
        </is>
      </c>
      <c r="C283" s="10" t="inlineStr">
        <is>
          <t>C10322</t>
        </is>
      </c>
      <c r="D283" s="10">
        <f>INDEX(Customers!$B:$B,MATCH(C283,Customers!$A:$A,0))</f>
        <v/>
      </c>
      <c r="E283" s="10">
        <f>INDEX(Customers!$D:$D,MATCH(C283,Customers!$A:$A,0))</f>
        <v/>
      </c>
      <c r="F283" s="10" t="inlineStr">
        <is>
          <t>Own trucks</t>
        </is>
      </c>
      <c r="G283" s="5" t="n">
        <v>46245</v>
      </c>
      <c r="H283" s="5" t="n">
        <v>46247</v>
      </c>
      <c r="I283" s="5" t="n">
        <v>46247</v>
      </c>
      <c r="J283" s="10" t="inlineStr">
        <is>
          <t>11:00</t>
        </is>
      </c>
      <c r="K283" s="10" t="inlineStr">
        <is>
          <t>On time</t>
        </is>
      </c>
      <c r="L283" s="6" t="n">
        <v>0</v>
      </c>
      <c r="M283" s="10" t="n"/>
      <c r="N283" s="6" t="n">
        <v>29</v>
      </c>
      <c r="O283" s="6" t="n">
        <v>3857</v>
      </c>
      <c r="P283" s="6" t="n">
        <v>1</v>
      </c>
      <c r="Q283" s="6">
        <f>IF(OR(K283="On time",K283="Late",K283="Very late"),1,0)</f>
        <v/>
      </c>
    </row>
    <row r="284">
      <c r="A284" s="10" t="inlineStr">
        <is>
          <t>DN318493</t>
        </is>
      </c>
      <c r="B284" s="10" t="inlineStr">
        <is>
          <t>SO62207</t>
        </is>
      </c>
      <c r="C284" s="10" t="inlineStr">
        <is>
          <t>C10343</t>
        </is>
      </c>
      <c r="D284" s="10">
        <f>INDEX(Customers!$B:$B,MATCH(C284,Customers!$A:$A,0))</f>
        <v/>
      </c>
      <c r="E284" s="10">
        <f>INDEX(Customers!$D:$D,MATCH(C284,Customers!$A:$A,0))</f>
        <v/>
      </c>
      <c r="F284" s="10" t="inlineStr">
        <is>
          <t>Own trucks</t>
        </is>
      </c>
      <c r="G284" s="5" t="n">
        <v>46245</v>
      </c>
      <c r="H284" s="5" t="n">
        <v>46247</v>
      </c>
      <c r="I284" s="5" t="n">
        <v>46247</v>
      </c>
      <c r="J284" s="10" t="inlineStr">
        <is>
          <t>10:40</t>
        </is>
      </c>
      <c r="K284" s="10" t="inlineStr">
        <is>
          <t>On time</t>
        </is>
      </c>
      <c r="L284" s="6" t="n">
        <v>0</v>
      </c>
      <c r="M284" s="10" t="n"/>
      <c r="N284" s="6" t="n">
        <v>25</v>
      </c>
      <c r="O284" s="6" t="n">
        <v>2250</v>
      </c>
      <c r="P284" s="6" t="n">
        <v>1</v>
      </c>
      <c r="Q284" s="6">
        <f>IF(OR(K284="On time",K284="Late",K284="Very late"),1,0)</f>
        <v/>
      </c>
    </row>
    <row r="285">
      <c r="A285" s="10" t="inlineStr">
        <is>
          <t>DN318494</t>
        </is>
      </c>
      <c r="B285" s="10" t="inlineStr">
        <is>
          <t>SO62208</t>
        </is>
      </c>
      <c r="C285" s="10" t="inlineStr">
        <is>
          <t>C10446</t>
        </is>
      </c>
      <c r="D285" s="10">
        <f>INDEX(Customers!$B:$B,MATCH(C285,Customers!$A:$A,0))</f>
        <v/>
      </c>
      <c r="E285" s="10">
        <f>INDEX(Customers!$D:$D,MATCH(C285,Customers!$A:$A,0))</f>
        <v/>
      </c>
      <c r="F285" s="10" t="inlineStr">
        <is>
          <t>Same-day courier</t>
        </is>
      </c>
      <c r="G285" s="5" t="n">
        <v>46245</v>
      </c>
      <c r="H285" s="5" t="n">
        <v>46247</v>
      </c>
      <c r="I285" s="5" t="n">
        <v>46247</v>
      </c>
      <c r="J285" s="10" t="inlineStr">
        <is>
          <t>12:30</t>
        </is>
      </c>
      <c r="K285" s="10" t="inlineStr">
        <is>
          <t>On time</t>
        </is>
      </c>
      <c r="L285" s="6" t="n">
        <v>0</v>
      </c>
      <c r="M285" s="10" t="n"/>
      <c r="N285" s="6" t="n">
        <v>30</v>
      </c>
      <c r="O285" s="6" t="n">
        <v>3690</v>
      </c>
      <c r="P285" s="6" t="n">
        <v>1</v>
      </c>
      <c r="Q285" s="6">
        <f>IF(OR(K285="On time",K285="Late",K285="Very late"),1,0)</f>
        <v/>
      </c>
    </row>
    <row r="286">
      <c r="A286" s="10" t="inlineStr">
        <is>
          <t>DN318495</t>
        </is>
      </c>
      <c r="B286" s="10" t="inlineStr">
        <is>
          <t>SO62210</t>
        </is>
      </c>
      <c r="C286" s="10" t="inlineStr">
        <is>
          <t>C10536</t>
        </is>
      </c>
      <c r="D286" s="10">
        <f>INDEX(Customers!$B:$B,MATCH(C286,Customers!$A:$A,0))</f>
        <v/>
      </c>
      <c r="E286" s="10">
        <f>INDEX(Customers!$D:$D,MATCH(C286,Customers!$A:$A,0))</f>
        <v/>
      </c>
      <c r="F286" s="10" t="inlineStr">
        <is>
          <t>Own trucks</t>
        </is>
      </c>
      <c r="G286" s="5" t="n">
        <v>46245</v>
      </c>
      <c r="H286" s="5" t="n">
        <v>46247</v>
      </c>
      <c r="I286" s="5" t="n">
        <v>46247</v>
      </c>
      <c r="J286" s="10" t="inlineStr">
        <is>
          <t>11:00</t>
        </is>
      </c>
      <c r="K286" s="10" t="inlineStr">
        <is>
          <t>On time</t>
        </is>
      </c>
      <c r="L286" s="6" t="n">
        <v>0</v>
      </c>
      <c r="M286" s="10" t="n"/>
      <c r="N286" s="6" t="n">
        <v>12</v>
      </c>
      <c r="O286" s="6" t="n">
        <v>876</v>
      </c>
      <c r="P286" s="6" t="n">
        <v>1</v>
      </c>
      <c r="Q286" s="6">
        <f>IF(OR(K286="On time",K286="Late",K286="Very late"),1,0)</f>
        <v/>
      </c>
    </row>
    <row r="287">
      <c r="A287" s="10" t="inlineStr">
        <is>
          <t>DN318496</t>
        </is>
      </c>
      <c r="B287" s="10" t="inlineStr">
        <is>
          <t>SO62211</t>
        </is>
      </c>
      <c r="C287" s="10" t="inlineStr">
        <is>
          <t>C10589</t>
        </is>
      </c>
      <c r="D287" s="10">
        <f>INDEX(Customers!$B:$B,MATCH(C287,Customers!$A:$A,0))</f>
        <v/>
      </c>
      <c r="E287" s="10">
        <f>INDEX(Customers!$D:$D,MATCH(C287,Customers!$A:$A,0))</f>
        <v/>
      </c>
      <c r="F287" s="10" t="inlineStr">
        <is>
          <t>Own trucks</t>
        </is>
      </c>
      <c r="G287" s="5" t="n">
        <v>46245</v>
      </c>
      <c r="H287" s="5" t="n">
        <v>46247</v>
      </c>
      <c r="I287" s="5" t="n">
        <v>46247</v>
      </c>
      <c r="J287" s="10" t="inlineStr">
        <is>
          <t>11:40</t>
        </is>
      </c>
      <c r="K287" s="10" t="inlineStr">
        <is>
          <t>On time</t>
        </is>
      </c>
      <c r="L287" s="6" t="n">
        <v>0</v>
      </c>
      <c r="M287" s="10" t="n"/>
      <c r="N287" s="6" t="n">
        <v>23</v>
      </c>
      <c r="O287" s="6" t="n">
        <v>1633</v>
      </c>
      <c r="P287" s="6" t="n">
        <v>1</v>
      </c>
      <c r="Q287" s="6">
        <f>IF(OR(K287="On time",K287="Late",K287="Very late"),1,0)</f>
        <v/>
      </c>
    </row>
    <row r="288">
      <c r="A288" s="10" t="inlineStr">
        <is>
          <t>DN318497</t>
        </is>
      </c>
      <c r="B288" s="10" t="inlineStr">
        <is>
          <t>SO62213</t>
        </is>
      </c>
      <c r="C288" s="10" t="inlineStr">
        <is>
          <t>C10622</t>
        </is>
      </c>
      <c r="D288" s="10">
        <f>INDEX(Customers!$B:$B,MATCH(C288,Customers!$A:$A,0))</f>
        <v/>
      </c>
      <c r="E288" s="10">
        <f>INDEX(Customers!$D:$D,MATCH(C288,Customers!$A:$A,0))</f>
        <v/>
      </c>
      <c r="F288" s="10" t="inlineStr">
        <is>
          <t>Own trucks</t>
        </is>
      </c>
      <c r="G288" s="5" t="n">
        <v>46245</v>
      </c>
      <c r="H288" s="5" t="n">
        <v>46247</v>
      </c>
      <c r="I288" s="5" t="n">
        <v>46247</v>
      </c>
      <c r="J288" s="10" t="inlineStr">
        <is>
          <t>09:50</t>
        </is>
      </c>
      <c r="K288" s="10" t="inlineStr">
        <is>
          <t>On time</t>
        </is>
      </c>
      <c r="L288" s="6" t="n">
        <v>0</v>
      </c>
      <c r="M288" s="10" t="n"/>
      <c r="N288" s="6" t="n">
        <v>25</v>
      </c>
      <c r="O288" s="6" t="n">
        <v>3375</v>
      </c>
      <c r="P288" s="6" t="n">
        <v>1</v>
      </c>
      <c r="Q288" s="6">
        <f>IF(OR(K288="On time",K288="Late",K288="Very late"),1,0)</f>
        <v/>
      </c>
    </row>
    <row r="289">
      <c r="A289" s="10" t="inlineStr">
        <is>
          <t>DN318498</t>
        </is>
      </c>
      <c r="B289" s="10" t="inlineStr">
        <is>
          <t>SO62214</t>
        </is>
      </c>
      <c r="C289" s="10" t="inlineStr">
        <is>
          <t>C10676</t>
        </is>
      </c>
      <c r="D289" s="10">
        <f>INDEX(Customers!$B:$B,MATCH(C289,Customers!$A:$A,0))</f>
        <v/>
      </c>
      <c r="E289" s="10">
        <f>INDEX(Customers!$D:$D,MATCH(C289,Customers!$A:$A,0))</f>
        <v/>
      </c>
      <c r="F289" s="10" t="inlineStr">
        <is>
          <t>Own trucks</t>
        </is>
      </c>
      <c r="G289" s="5" t="n">
        <v>46245</v>
      </c>
      <c r="H289" s="5" t="n">
        <v>46247</v>
      </c>
      <c r="I289" s="5" t="n">
        <v>46247</v>
      </c>
      <c r="J289" s="10" t="inlineStr">
        <is>
          <t>14:30</t>
        </is>
      </c>
      <c r="K289" s="10" t="inlineStr">
        <is>
          <t>On time</t>
        </is>
      </c>
      <c r="L289" s="6" t="n">
        <v>0</v>
      </c>
      <c r="M289" s="10" t="n"/>
      <c r="N289" s="6" t="n">
        <v>35</v>
      </c>
      <c r="O289" s="6" t="n">
        <v>4200</v>
      </c>
      <c r="P289" s="6" t="n">
        <v>1</v>
      </c>
      <c r="Q289" s="6">
        <f>IF(OR(K289="On time",K289="Late",K289="Very late"),1,0)</f>
        <v/>
      </c>
    </row>
    <row r="290">
      <c r="A290" s="10" t="inlineStr">
        <is>
          <t>DN318499</t>
        </is>
      </c>
      <c r="B290" s="10" t="inlineStr">
        <is>
          <t>SO62215</t>
        </is>
      </c>
      <c r="C290" s="10" t="inlineStr">
        <is>
          <t>C10684</t>
        </is>
      </c>
      <c r="D290" s="10">
        <f>INDEX(Customers!$B:$B,MATCH(C290,Customers!$A:$A,0))</f>
        <v/>
      </c>
      <c r="E290" s="10">
        <f>INDEX(Customers!$D:$D,MATCH(C290,Customers!$A:$A,0))</f>
        <v/>
      </c>
      <c r="F290" s="10" t="inlineStr">
        <is>
          <t>Own trucks</t>
        </is>
      </c>
      <c r="G290" s="5" t="n">
        <v>46245</v>
      </c>
      <c r="H290" s="5" t="n">
        <v>46247</v>
      </c>
      <c r="I290" s="5" t="n">
        <v>46247</v>
      </c>
      <c r="J290" s="10" t="inlineStr">
        <is>
          <t>13:50</t>
        </is>
      </c>
      <c r="K290" s="10" t="inlineStr">
        <is>
          <t>On time</t>
        </is>
      </c>
      <c r="L290" s="6" t="n">
        <v>0</v>
      </c>
      <c r="M290" s="10" t="n"/>
      <c r="N290" s="6" t="n">
        <v>9</v>
      </c>
      <c r="O290" s="6" t="n">
        <v>1053</v>
      </c>
      <c r="P290" s="6" t="n">
        <v>1</v>
      </c>
      <c r="Q290" s="6">
        <f>IF(OR(K290="On time",K290="Late",K290="Very late"),1,0)</f>
        <v/>
      </c>
    </row>
    <row r="291">
      <c r="A291" s="10" t="inlineStr">
        <is>
          <t>DN318500</t>
        </is>
      </c>
      <c r="B291" s="10" t="inlineStr">
        <is>
          <t>SO62216</t>
        </is>
      </c>
      <c r="C291" s="10" t="inlineStr">
        <is>
          <t>C10796</t>
        </is>
      </c>
      <c r="D291" s="10">
        <f>INDEX(Customers!$B:$B,MATCH(C291,Customers!$A:$A,0))</f>
        <v/>
      </c>
      <c r="E291" s="10">
        <f>INDEX(Customers!$D:$D,MATCH(C291,Customers!$A:$A,0))</f>
        <v/>
      </c>
      <c r="F291" s="10" t="inlineStr">
        <is>
          <t>Own trucks</t>
        </is>
      </c>
      <c r="G291" s="5" t="n">
        <v>46245</v>
      </c>
      <c r="H291" s="5" t="n">
        <v>46247</v>
      </c>
      <c r="I291" s="5" t="n">
        <v>46247</v>
      </c>
      <c r="J291" s="10" t="inlineStr">
        <is>
          <t>13:30</t>
        </is>
      </c>
      <c r="K291" s="10" t="inlineStr">
        <is>
          <t>On time</t>
        </is>
      </c>
      <c r="L291" s="6" t="n">
        <v>0</v>
      </c>
      <c r="M291" s="10" t="n"/>
      <c r="N291" s="6" t="n">
        <v>2</v>
      </c>
      <c r="O291" s="6" t="n">
        <v>204</v>
      </c>
      <c r="P291" s="6" t="n">
        <v>1</v>
      </c>
      <c r="Q291" s="6">
        <f>IF(OR(K291="On time",K291="Late",K291="Very late"),1,0)</f>
        <v/>
      </c>
    </row>
    <row r="292">
      <c r="A292" s="10" t="inlineStr">
        <is>
          <t>DN318501</t>
        </is>
      </c>
      <c r="B292" s="10" t="inlineStr">
        <is>
          <t>SO62217</t>
        </is>
      </c>
      <c r="C292" s="10" t="inlineStr">
        <is>
          <t>C10847</t>
        </is>
      </c>
      <c r="D292" s="10">
        <f>INDEX(Customers!$B:$B,MATCH(C292,Customers!$A:$A,0))</f>
        <v/>
      </c>
      <c r="E292" s="10">
        <f>INDEX(Customers!$D:$D,MATCH(C292,Customers!$A:$A,0))</f>
        <v/>
      </c>
      <c r="F292" s="10" t="inlineStr">
        <is>
          <t>Own trucks</t>
        </is>
      </c>
      <c r="G292" s="5" t="n">
        <v>46245</v>
      </c>
      <c r="H292" s="5" t="n">
        <v>46247</v>
      </c>
      <c r="I292" s="5" t="n">
        <v>46247</v>
      </c>
      <c r="J292" s="10" t="inlineStr">
        <is>
          <t>10:50</t>
        </is>
      </c>
      <c r="K292" s="10" t="inlineStr">
        <is>
          <t>On time</t>
        </is>
      </c>
      <c r="L292" s="6" t="n">
        <v>0</v>
      </c>
      <c r="M292" s="10" t="n"/>
      <c r="N292" s="6" t="n">
        <v>28</v>
      </c>
      <c r="O292" s="6" t="n">
        <v>3276</v>
      </c>
      <c r="P292" s="6" t="n">
        <v>1</v>
      </c>
      <c r="Q292" s="6">
        <f>IF(OR(K292="On time",K292="Late",K292="Very late"),1,0)</f>
        <v/>
      </c>
    </row>
    <row r="293">
      <c r="A293" s="10" t="inlineStr">
        <is>
          <t>DN318502</t>
        </is>
      </c>
      <c r="B293" s="10" t="inlineStr">
        <is>
          <t>SO62218</t>
        </is>
      </c>
      <c r="C293" s="10" t="inlineStr">
        <is>
          <t>C10915</t>
        </is>
      </c>
      <c r="D293" s="10">
        <f>INDEX(Customers!$B:$B,MATCH(C293,Customers!$A:$A,0))</f>
        <v/>
      </c>
      <c r="E293" s="10">
        <f>INDEX(Customers!$D:$D,MATCH(C293,Customers!$A:$A,0))</f>
        <v/>
      </c>
      <c r="F293" s="10" t="inlineStr">
        <is>
          <t>Own trucks</t>
        </is>
      </c>
      <c r="G293" s="5" t="n">
        <v>46245</v>
      </c>
      <c r="H293" s="5" t="n">
        <v>46247</v>
      </c>
      <c r="I293" s="5" t="n">
        <v>46247</v>
      </c>
      <c r="J293" s="10" t="inlineStr">
        <is>
          <t>12:10</t>
        </is>
      </c>
      <c r="K293" s="10" t="inlineStr">
        <is>
          <t>On time</t>
        </is>
      </c>
      <c r="L293" s="6" t="n">
        <v>0</v>
      </c>
      <c r="M293" s="10" t="n"/>
      <c r="N293" s="6" t="n">
        <v>6</v>
      </c>
      <c r="O293" s="6" t="n">
        <v>630</v>
      </c>
      <c r="P293" s="6" t="n">
        <v>1</v>
      </c>
      <c r="Q293" s="6">
        <f>IF(OR(K293="On time",K293="Late",K293="Very late"),1,0)</f>
        <v/>
      </c>
    </row>
    <row r="294">
      <c r="A294" s="10" t="inlineStr">
        <is>
          <t>DN318503</t>
        </is>
      </c>
      <c r="B294" s="10" t="inlineStr">
        <is>
          <t>SO62220</t>
        </is>
      </c>
      <c r="C294" s="10" t="inlineStr">
        <is>
          <t>C10982</t>
        </is>
      </c>
      <c r="D294" s="10">
        <f>INDEX(Customers!$B:$B,MATCH(C294,Customers!$A:$A,0))</f>
        <v/>
      </c>
      <c r="E294" s="10">
        <f>INDEX(Customers!$D:$D,MATCH(C294,Customers!$A:$A,0))</f>
        <v/>
      </c>
      <c r="F294" s="10" t="inlineStr">
        <is>
          <t>Own trucks</t>
        </is>
      </c>
      <c r="G294" s="5" t="n">
        <v>46245</v>
      </c>
      <c r="H294" s="5" t="n">
        <v>46247</v>
      </c>
      <c r="I294" s="5" t="n">
        <v>46247</v>
      </c>
      <c r="J294" s="10" t="inlineStr">
        <is>
          <t>15:30</t>
        </is>
      </c>
      <c r="K294" s="10" t="inlineStr">
        <is>
          <t>On time</t>
        </is>
      </c>
      <c r="L294" s="6" t="n">
        <v>0</v>
      </c>
      <c r="M294" s="10" t="n"/>
      <c r="N294" s="6" t="n">
        <v>6</v>
      </c>
      <c r="O294" s="6" t="n">
        <v>702</v>
      </c>
      <c r="P294" s="6" t="n">
        <v>1</v>
      </c>
      <c r="Q294" s="6">
        <f>IF(OR(K294="On time",K294="Late",K294="Very late"),1,0)</f>
        <v/>
      </c>
    </row>
    <row r="295">
      <c r="A295" s="10" t="inlineStr">
        <is>
          <t>DN318504</t>
        </is>
      </c>
      <c r="B295" s="10" t="inlineStr">
        <is>
          <t>SO62221</t>
        </is>
      </c>
      <c r="C295" s="10" t="inlineStr">
        <is>
          <t>C11107</t>
        </is>
      </c>
      <c r="D295" s="10">
        <f>INDEX(Customers!$B:$B,MATCH(C295,Customers!$A:$A,0))</f>
        <v/>
      </c>
      <c r="E295" s="10">
        <f>INDEX(Customers!$D:$D,MATCH(C295,Customers!$A:$A,0))</f>
        <v/>
      </c>
      <c r="F295" s="10" t="inlineStr">
        <is>
          <t>Own trucks</t>
        </is>
      </c>
      <c r="G295" s="5" t="n">
        <v>46245</v>
      </c>
      <c r="H295" s="5" t="n">
        <v>46247</v>
      </c>
      <c r="I295" s="5" t="n">
        <v>46247</v>
      </c>
      <c r="J295" s="10" t="inlineStr">
        <is>
          <t>11:00</t>
        </is>
      </c>
      <c r="K295" s="10" t="inlineStr">
        <is>
          <t>On time</t>
        </is>
      </c>
      <c r="L295" s="6" t="n">
        <v>0</v>
      </c>
      <c r="M295" s="10" t="n"/>
      <c r="N295" s="6" t="n">
        <v>14</v>
      </c>
      <c r="O295" s="6" t="n">
        <v>1008</v>
      </c>
      <c r="P295" s="6" t="n">
        <v>0</v>
      </c>
      <c r="Q295" s="6">
        <f>IF(OR(K295="On time",K295="Late",K295="Very late"),1,0)</f>
        <v/>
      </c>
    </row>
    <row r="296">
      <c r="A296" s="10" t="inlineStr">
        <is>
          <t>DN318505</t>
        </is>
      </c>
      <c r="B296" s="10" t="inlineStr">
        <is>
          <t>SO62223</t>
        </is>
      </c>
      <c r="C296" s="10" t="inlineStr">
        <is>
          <t>C11143</t>
        </is>
      </c>
      <c r="D296" s="10">
        <f>INDEX(Customers!$B:$B,MATCH(C296,Customers!$A:$A,0))</f>
        <v/>
      </c>
      <c r="E296" s="10">
        <f>INDEX(Customers!$D:$D,MATCH(C296,Customers!$A:$A,0))</f>
        <v/>
      </c>
      <c r="F296" s="10" t="inlineStr">
        <is>
          <t>Own trucks</t>
        </is>
      </c>
      <c r="G296" s="5" t="n">
        <v>46245</v>
      </c>
      <c r="H296" s="5" t="n">
        <v>46247</v>
      </c>
      <c r="I296" s="5" t="n">
        <v>46247</v>
      </c>
      <c r="J296" s="10" t="inlineStr">
        <is>
          <t>09:40</t>
        </is>
      </c>
      <c r="K296" s="10" t="inlineStr">
        <is>
          <t>On time</t>
        </is>
      </c>
      <c r="L296" s="6" t="n">
        <v>0</v>
      </c>
      <c r="M296" s="10" t="n"/>
      <c r="N296" s="6" t="n">
        <v>5</v>
      </c>
      <c r="O296" s="6" t="n">
        <v>405</v>
      </c>
      <c r="P296" s="6" t="n">
        <v>1</v>
      </c>
      <c r="Q296" s="6">
        <f>IF(OR(K296="On time",K296="Late",K296="Very late"),1,0)</f>
        <v/>
      </c>
    </row>
    <row r="297">
      <c r="A297" s="10" t="inlineStr">
        <is>
          <t>DN318506</t>
        </is>
      </c>
      <c r="B297" s="10" t="inlineStr">
        <is>
          <t>SO62224</t>
        </is>
      </c>
      <c r="C297" s="10" t="inlineStr">
        <is>
          <t>C11186</t>
        </is>
      </c>
      <c r="D297" s="10">
        <f>INDEX(Customers!$B:$B,MATCH(C297,Customers!$A:$A,0))</f>
        <v/>
      </c>
      <c r="E297" s="10">
        <f>INDEX(Customers!$D:$D,MATCH(C297,Customers!$A:$A,0))</f>
        <v/>
      </c>
      <c r="F297" s="10" t="inlineStr">
        <is>
          <t>Own trucks</t>
        </is>
      </c>
      <c r="G297" s="5" t="n">
        <v>46245</v>
      </c>
      <c r="H297" s="5" t="n">
        <v>46247</v>
      </c>
      <c r="I297" s="5" t="n">
        <v>46248</v>
      </c>
      <c r="J297" s="10" t="inlineStr">
        <is>
          <t>14:30</t>
        </is>
      </c>
      <c r="K297" s="10" t="inlineStr">
        <is>
          <t>Late</t>
        </is>
      </c>
      <c r="L297" s="6" t="n">
        <v>1</v>
      </c>
      <c r="M297" s="10" t="inlineStr">
        <is>
          <t>Run overloaded</t>
        </is>
      </c>
      <c r="N297" s="6" t="n">
        <v>34</v>
      </c>
      <c r="O297" s="6" t="n">
        <v>3332</v>
      </c>
      <c r="P297" s="6" t="n">
        <v>1</v>
      </c>
      <c r="Q297" s="6">
        <f>IF(OR(K297="On time",K297="Late",K297="Very late"),1,0)</f>
        <v/>
      </c>
    </row>
    <row r="298">
      <c r="A298" s="10" t="inlineStr">
        <is>
          <t>DN318507</t>
        </is>
      </c>
      <c r="B298" s="10" t="inlineStr">
        <is>
          <t>SO62225</t>
        </is>
      </c>
      <c r="C298" s="10" t="inlineStr">
        <is>
          <t>C11247</t>
        </is>
      </c>
      <c r="D298" s="10">
        <f>INDEX(Customers!$B:$B,MATCH(C298,Customers!$A:$A,0))</f>
        <v/>
      </c>
      <c r="E298" s="10">
        <f>INDEX(Customers!$D:$D,MATCH(C298,Customers!$A:$A,0))</f>
        <v/>
      </c>
      <c r="F298" s="10" t="inlineStr">
        <is>
          <t>Own trucks</t>
        </is>
      </c>
      <c r="G298" s="5" t="n">
        <v>46245</v>
      </c>
      <c r="H298" s="5" t="n">
        <v>46247</v>
      </c>
      <c r="I298" s="5" t="n">
        <v>46247</v>
      </c>
      <c r="J298" s="10" t="inlineStr">
        <is>
          <t>07:00</t>
        </is>
      </c>
      <c r="K298" s="10" t="inlineStr">
        <is>
          <t>On time</t>
        </is>
      </c>
      <c r="L298" s="6" t="n">
        <v>0</v>
      </c>
      <c r="M298" s="10" t="n"/>
      <c r="N298" s="6" t="n">
        <v>26</v>
      </c>
      <c r="O298" s="6" t="n">
        <v>3354</v>
      </c>
      <c r="P298" s="6" t="n">
        <v>1</v>
      </c>
      <c r="Q298" s="6">
        <f>IF(OR(K298="On time",K298="Late",K298="Very late"),1,0)</f>
        <v/>
      </c>
    </row>
    <row r="299">
      <c r="A299" s="10" t="inlineStr">
        <is>
          <t>DN318508</t>
        </is>
      </c>
      <c r="B299" s="10" t="inlineStr">
        <is>
          <t>SO62226</t>
        </is>
      </c>
      <c r="C299" s="10" t="inlineStr">
        <is>
          <t>C11264</t>
        </is>
      </c>
      <c r="D299" s="10">
        <f>INDEX(Customers!$B:$B,MATCH(C299,Customers!$A:$A,0))</f>
        <v/>
      </c>
      <c r="E299" s="10">
        <f>INDEX(Customers!$D:$D,MATCH(C299,Customers!$A:$A,0))</f>
        <v/>
      </c>
      <c r="F299" s="10" t="inlineStr">
        <is>
          <t>Own trucks</t>
        </is>
      </c>
      <c r="G299" s="5" t="n">
        <v>46245</v>
      </c>
      <c r="H299" s="5" t="n">
        <v>46247</v>
      </c>
      <c r="I299" s="5" t="n">
        <v>46247</v>
      </c>
      <c r="J299" s="10" t="inlineStr">
        <is>
          <t>15:10</t>
        </is>
      </c>
      <c r="K299" s="10" t="inlineStr">
        <is>
          <t>On time</t>
        </is>
      </c>
      <c r="L299" s="6" t="n">
        <v>0</v>
      </c>
      <c r="M299" s="10" t="n"/>
      <c r="N299" s="6" t="n">
        <v>10</v>
      </c>
      <c r="O299" s="6" t="n">
        <v>1120</v>
      </c>
      <c r="P299" s="6" t="n">
        <v>1</v>
      </c>
      <c r="Q299" s="6">
        <f>IF(OR(K299="On time",K299="Late",K299="Very late"),1,0)</f>
        <v/>
      </c>
    </row>
    <row r="300">
      <c r="A300" s="10" t="inlineStr">
        <is>
          <t>DN318509</t>
        </is>
      </c>
      <c r="B300" s="10" t="inlineStr">
        <is>
          <t>SO62228</t>
        </is>
      </c>
      <c r="C300" s="10" t="inlineStr">
        <is>
          <t>C11314</t>
        </is>
      </c>
      <c r="D300" s="10">
        <f>INDEX(Customers!$B:$B,MATCH(C300,Customers!$A:$A,0))</f>
        <v/>
      </c>
      <c r="E300" s="10">
        <f>INDEX(Customers!$D:$D,MATCH(C300,Customers!$A:$A,0))</f>
        <v/>
      </c>
      <c r="F300" s="10" t="inlineStr">
        <is>
          <t>Own trucks</t>
        </is>
      </c>
      <c r="G300" s="5" t="n">
        <v>46245</v>
      </c>
      <c r="H300" s="5" t="n">
        <v>46247</v>
      </c>
      <c r="I300" s="5" t="n">
        <v>46247</v>
      </c>
      <c r="J300" s="10" t="inlineStr">
        <is>
          <t>12:00</t>
        </is>
      </c>
      <c r="K300" s="10" t="inlineStr">
        <is>
          <t>On time</t>
        </is>
      </c>
      <c r="L300" s="6" t="n">
        <v>0</v>
      </c>
      <c r="M300" s="10" t="n"/>
      <c r="N300" s="6" t="n">
        <v>19</v>
      </c>
      <c r="O300" s="6" t="n">
        <v>1558</v>
      </c>
      <c r="P300" s="6" t="n">
        <v>1</v>
      </c>
      <c r="Q300" s="6">
        <f>IF(OR(K300="On time",K300="Late",K300="Very late"),1,0)</f>
        <v/>
      </c>
    </row>
    <row r="301">
      <c r="A301" s="10" t="inlineStr">
        <is>
          <t>DN318510</t>
        </is>
      </c>
      <c r="B301" s="10" t="inlineStr">
        <is>
          <t>SO62229</t>
        </is>
      </c>
      <c r="C301" s="10" t="inlineStr">
        <is>
          <t>C11333</t>
        </is>
      </c>
      <c r="D301" s="10">
        <f>INDEX(Customers!$B:$B,MATCH(C301,Customers!$A:$A,0))</f>
        <v/>
      </c>
      <c r="E301" s="10">
        <f>INDEX(Customers!$D:$D,MATCH(C301,Customers!$A:$A,0))</f>
        <v/>
      </c>
      <c r="F301" s="10" t="inlineStr">
        <is>
          <t>Own trucks</t>
        </is>
      </c>
      <c r="G301" s="5" t="n">
        <v>46245</v>
      </c>
      <c r="H301" s="5" t="n">
        <v>46247</v>
      </c>
      <c r="I301" s="5" t="n">
        <v>46247</v>
      </c>
      <c r="J301" s="10" t="inlineStr">
        <is>
          <t>10:30</t>
        </is>
      </c>
      <c r="K301" s="10" t="inlineStr">
        <is>
          <t>On time</t>
        </is>
      </c>
      <c r="L301" s="6" t="n">
        <v>0</v>
      </c>
      <c r="M301" s="10" t="n"/>
      <c r="N301" s="6" t="n">
        <v>34</v>
      </c>
      <c r="O301" s="6" t="n">
        <v>3808</v>
      </c>
      <c r="P301" s="6" t="n">
        <v>1</v>
      </c>
      <c r="Q301" s="6">
        <f>IF(OR(K301="On time",K301="Late",K301="Very late"),1,0)</f>
        <v/>
      </c>
    </row>
    <row r="302">
      <c r="A302" s="10" t="inlineStr">
        <is>
          <t>DN318511</t>
        </is>
      </c>
      <c r="B302" s="10" t="inlineStr">
        <is>
          <t>SO62231</t>
        </is>
      </c>
      <c r="C302" s="10" t="inlineStr">
        <is>
          <t>C11400</t>
        </is>
      </c>
      <c r="D302" s="10">
        <f>INDEX(Customers!$B:$B,MATCH(C302,Customers!$A:$A,0))</f>
        <v/>
      </c>
      <c r="E302" s="10">
        <f>INDEX(Customers!$D:$D,MATCH(C302,Customers!$A:$A,0))</f>
        <v/>
      </c>
      <c r="F302" s="10" t="inlineStr">
        <is>
          <t>Own trucks</t>
        </is>
      </c>
      <c r="G302" s="5" t="n">
        <v>46245</v>
      </c>
      <c r="H302" s="5" t="n">
        <v>46247</v>
      </c>
      <c r="I302" s="5" t="n">
        <v>46247</v>
      </c>
      <c r="J302" s="10" t="inlineStr">
        <is>
          <t>11:30</t>
        </is>
      </c>
      <c r="K302" s="10" t="inlineStr">
        <is>
          <t>On time</t>
        </is>
      </c>
      <c r="L302" s="6" t="n">
        <v>0</v>
      </c>
      <c r="M302" s="10" t="n"/>
      <c r="N302" s="6" t="n">
        <v>6</v>
      </c>
      <c r="O302" s="6" t="n">
        <v>564</v>
      </c>
      <c r="P302" s="6" t="n">
        <v>1</v>
      </c>
      <c r="Q302" s="6">
        <f>IF(OR(K302="On time",K302="Late",K302="Very late"),1,0)</f>
        <v/>
      </c>
    </row>
    <row r="303">
      <c r="A303" s="10" t="inlineStr">
        <is>
          <t>DN318512</t>
        </is>
      </c>
      <c r="B303" s="10" t="inlineStr">
        <is>
          <t>SO62233</t>
        </is>
      </c>
      <c r="C303" s="10" t="inlineStr">
        <is>
          <t>C11463</t>
        </is>
      </c>
      <c r="D303" s="10">
        <f>INDEX(Customers!$B:$B,MATCH(C303,Customers!$A:$A,0))</f>
        <v/>
      </c>
      <c r="E303" s="10">
        <f>INDEX(Customers!$D:$D,MATCH(C303,Customers!$A:$A,0))</f>
        <v/>
      </c>
      <c r="F303" s="10" t="inlineStr">
        <is>
          <t>Own trucks</t>
        </is>
      </c>
      <c r="G303" s="5" t="n">
        <v>46245</v>
      </c>
      <c r="H303" s="5" t="n">
        <v>46247</v>
      </c>
      <c r="I303" s="5" t="n">
        <v>46247</v>
      </c>
      <c r="J303" s="10" t="inlineStr">
        <is>
          <t>09:20</t>
        </is>
      </c>
      <c r="K303" s="10" t="inlineStr">
        <is>
          <t>On time</t>
        </is>
      </c>
      <c r="L303" s="6" t="n">
        <v>0</v>
      </c>
      <c r="M303" s="10" t="n"/>
      <c r="N303" s="6" t="n">
        <v>25</v>
      </c>
      <c r="O303" s="6" t="n">
        <v>1800</v>
      </c>
      <c r="P303" s="6" t="n">
        <v>1</v>
      </c>
      <c r="Q303" s="6">
        <f>IF(OR(K303="On time",K303="Late",K303="Very late"),1,0)</f>
        <v/>
      </c>
    </row>
    <row r="304">
      <c r="A304" s="10" t="inlineStr">
        <is>
          <t>DN318513</t>
        </is>
      </c>
      <c r="B304" s="10" t="inlineStr">
        <is>
          <t>SO62234</t>
        </is>
      </c>
      <c r="C304" s="10" t="inlineStr">
        <is>
          <t>C11666</t>
        </is>
      </c>
      <c r="D304" s="10">
        <f>INDEX(Customers!$B:$B,MATCH(C304,Customers!$A:$A,0))</f>
        <v/>
      </c>
      <c r="E304" s="10">
        <f>INDEX(Customers!$D:$D,MATCH(C304,Customers!$A:$A,0))</f>
        <v/>
      </c>
      <c r="F304" s="10" t="inlineStr">
        <is>
          <t>Own trucks</t>
        </is>
      </c>
      <c r="G304" s="5" t="n">
        <v>46245</v>
      </c>
      <c r="H304" s="5" t="n">
        <v>46247</v>
      </c>
      <c r="I304" s="5" t="n">
        <v>46247</v>
      </c>
      <c r="J304" s="10" t="inlineStr">
        <is>
          <t>09:50</t>
        </is>
      </c>
      <c r="K304" s="10" t="inlineStr">
        <is>
          <t>On time</t>
        </is>
      </c>
      <c r="L304" s="6" t="n">
        <v>0</v>
      </c>
      <c r="M304" s="10" t="n"/>
      <c r="N304" s="6" t="n">
        <v>30</v>
      </c>
      <c r="O304" s="6" t="n">
        <v>2670</v>
      </c>
      <c r="P304" s="6" t="n">
        <v>1</v>
      </c>
      <c r="Q304" s="6">
        <f>IF(OR(K304="On time",K304="Late",K304="Very late"),1,0)</f>
        <v/>
      </c>
    </row>
    <row r="305">
      <c r="A305" s="10" t="inlineStr">
        <is>
          <t>DN318514</t>
        </is>
      </c>
      <c r="B305" s="10" t="inlineStr">
        <is>
          <t>SO62236</t>
        </is>
      </c>
      <c r="C305" s="10" t="inlineStr">
        <is>
          <t>C11745</t>
        </is>
      </c>
      <c r="D305" s="10">
        <f>INDEX(Customers!$B:$B,MATCH(C305,Customers!$A:$A,0))</f>
        <v/>
      </c>
      <c r="E305" s="10">
        <f>INDEX(Customers!$D:$D,MATCH(C305,Customers!$A:$A,0))</f>
        <v/>
      </c>
      <c r="F305" s="10" t="inlineStr">
        <is>
          <t>Own trucks</t>
        </is>
      </c>
      <c r="G305" s="5" t="n">
        <v>46245</v>
      </c>
      <c r="H305" s="5" t="n">
        <v>46247</v>
      </c>
      <c r="I305" s="5" t="n">
        <v>46247</v>
      </c>
      <c r="J305" s="10" t="inlineStr">
        <is>
          <t>07:40</t>
        </is>
      </c>
      <c r="K305" s="10" t="inlineStr">
        <is>
          <t>On time</t>
        </is>
      </c>
      <c r="L305" s="6" t="n">
        <v>0</v>
      </c>
      <c r="M305" s="10" t="n"/>
      <c r="N305" s="6" t="n">
        <v>28</v>
      </c>
      <c r="O305" s="6" t="n">
        <v>2520</v>
      </c>
      <c r="P305" s="6" t="n">
        <v>1</v>
      </c>
      <c r="Q305" s="6">
        <f>IF(OR(K305="On time",K305="Late",K305="Very late"),1,0)</f>
        <v/>
      </c>
    </row>
    <row r="306">
      <c r="A306" s="10" t="inlineStr">
        <is>
          <t>DN318515</t>
        </is>
      </c>
      <c r="B306" s="10" t="inlineStr">
        <is>
          <t>SO62237</t>
        </is>
      </c>
      <c r="C306" s="10" t="inlineStr">
        <is>
          <t>C11790</t>
        </is>
      </c>
      <c r="D306" s="10">
        <f>INDEX(Customers!$B:$B,MATCH(C306,Customers!$A:$A,0))</f>
        <v/>
      </c>
      <c r="E306" s="10">
        <f>INDEX(Customers!$D:$D,MATCH(C306,Customers!$A:$A,0))</f>
        <v/>
      </c>
      <c r="F306" s="10" t="inlineStr">
        <is>
          <t>Carrier A</t>
        </is>
      </c>
      <c r="G306" s="5" t="n">
        <v>46245</v>
      </c>
      <c r="H306" s="5" t="n">
        <v>46247</v>
      </c>
      <c r="I306" s="5" t="n">
        <v>46247</v>
      </c>
      <c r="J306" s="10" t="inlineStr">
        <is>
          <t>10:00</t>
        </is>
      </c>
      <c r="K306" s="10" t="inlineStr">
        <is>
          <t>On time</t>
        </is>
      </c>
      <c r="L306" s="6" t="n">
        <v>0</v>
      </c>
      <c r="M306" s="10" t="n"/>
      <c r="N306" s="6" t="n">
        <v>21</v>
      </c>
      <c r="O306" s="6" t="n">
        <v>1722</v>
      </c>
      <c r="P306" s="6" t="n">
        <v>1</v>
      </c>
      <c r="Q306" s="6">
        <f>IF(OR(K306="On time",K306="Late",K306="Very late"),1,0)</f>
        <v/>
      </c>
    </row>
    <row r="307">
      <c r="A307" s="10" t="inlineStr">
        <is>
          <t>DN318516</t>
        </is>
      </c>
      <c r="B307" s="10" t="inlineStr">
        <is>
          <t>SO62238</t>
        </is>
      </c>
      <c r="C307" s="10" t="inlineStr">
        <is>
          <t>C11798</t>
        </is>
      </c>
      <c r="D307" s="10">
        <f>INDEX(Customers!$B:$B,MATCH(C307,Customers!$A:$A,0))</f>
        <v/>
      </c>
      <c r="E307" s="10">
        <f>INDEX(Customers!$D:$D,MATCH(C307,Customers!$A:$A,0))</f>
        <v/>
      </c>
      <c r="F307" s="10" t="inlineStr">
        <is>
          <t>Carrier A</t>
        </is>
      </c>
      <c r="G307" s="5" t="n">
        <v>46245</v>
      </c>
      <c r="H307" s="5" t="n">
        <v>46247</v>
      </c>
      <c r="I307" s="5" t="n">
        <v>46247</v>
      </c>
      <c r="J307" s="10" t="inlineStr">
        <is>
          <t>15:10</t>
        </is>
      </c>
      <c r="K307" s="10" t="inlineStr">
        <is>
          <t>On time</t>
        </is>
      </c>
      <c r="L307" s="6" t="n">
        <v>0</v>
      </c>
      <c r="M307" s="10" t="n"/>
      <c r="N307" s="6" t="n">
        <v>34</v>
      </c>
      <c r="O307" s="6" t="n">
        <v>2278</v>
      </c>
      <c r="P307" s="6" t="n">
        <v>1</v>
      </c>
      <c r="Q307" s="6">
        <f>IF(OR(K307="On time",K307="Late",K307="Very late"),1,0)</f>
        <v/>
      </c>
    </row>
    <row r="308">
      <c r="A308" s="10" t="inlineStr">
        <is>
          <t>DN318517</t>
        </is>
      </c>
      <c r="B308" s="10" t="inlineStr">
        <is>
          <t>SO62240</t>
        </is>
      </c>
      <c r="C308" s="10" t="inlineStr">
        <is>
          <t>C11950</t>
        </is>
      </c>
      <c r="D308" s="10">
        <f>INDEX(Customers!$B:$B,MATCH(C308,Customers!$A:$A,0))</f>
        <v/>
      </c>
      <c r="E308" s="10">
        <f>INDEX(Customers!$D:$D,MATCH(C308,Customers!$A:$A,0))</f>
        <v/>
      </c>
      <c r="F308" s="10" t="inlineStr">
        <is>
          <t>Carrier A</t>
        </is>
      </c>
      <c r="G308" s="5" t="n">
        <v>46245</v>
      </c>
      <c r="H308" s="5" t="n">
        <v>46247</v>
      </c>
      <c r="I308" s="5" t="n">
        <v>46247</v>
      </c>
      <c r="J308" s="10" t="inlineStr">
        <is>
          <t>11:00</t>
        </is>
      </c>
      <c r="K308" s="10" t="inlineStr">
        <is>
          <t>On time</t>
        </is>
      </c>
      <c r="L308" s="6" t="n">
        <v>0</v>
      </c>
      <c r="M308" s="10" t="n"/>
      <c r="N308" s="6" t="n">
        <v>22</v>
      </c>
      <c r="O308" s="6" t="n">
        <v>2706</v>
      </c>
      <c r="P308" s="6" t="n">
        <v>1</v>
      </c>
      <c r="Q308" s="6">
        <f>IF(OR(K308="On time",K308="Late",K308="Very late"),1,0)</f>
        <v/>
      </c>
    </row>
    <row r="309">
      <c r="A309" s="10" t="inlineStr">
        <is>
          <t>DN318518</t>
        </is>
      </c>
      <c r="B309" s="10" t="inlineStr">
        <is>
          <t>SO62241</t>
        </is>
      </c>
      <c r="C309" s="10" t="inlineStr">
        <is>
          <t>C11971</t>
        </is>
      </c>
      <c r="D309" s="10">
        <f>INDEX(Customers!$B:$B,MATCH(C309,Customers!$A:$A,0))</f>
        <v/>
      </c>
      <c r="E309" s="10">
        <f>INDEX(Customers!$D:$D,MATCH(C309,Customers!$A:$A,0))</f>
        <v/>
      </c>
      <c r="F309" s="10" t="inlineStr">
        <is>
          <t>Own trucks</t>
        </is>
      </c>
      <c r="G309" s="5" t="n">
        <v>46245</v>
      </c>
      <c r="H309" s="5" t="n">
        <v>46247</v>
      </c>
      <c r="I309" s="5" t="n">
        <v>46247</v>
      </c>
      <c r="J309" s="10" t="inlineStr">
        <is>
          <t>08:10</t>
        </is>
      </c>
      <c r="K309" s="10" t="inlineStr">
        <is>
          <t>On time</t>
        </is>
      </c>
      <c r="L309" s="6" t="n">
        <v>0</v>
      </c>
      <c r="M309" s="10" t="n"/>
      <c r="N309" s="6" t="n">
        <v>25</v>
      </c>
      <c r="O309" s="6" t="n">
        <v>1850</v>
      </c>
      <c r="P309" s="6" t="n">
        <v>0</v>
      </c>
      <c r="Q309" s="6">
        <f>IF(OR(K309="On time",K309="Late",K309="Very late"),1,0)</f>
        <v/>
      </c>
    </row>
    <row r="310">
      <c r="A310" s="10" t="inlineStr">
        <is>
          <t>DN318519</t>
        </is>
      </c>
      <c r="B310" s="10" t="inlineStr">
        <is>
          <t>SO62242</t>
        </is>
      </c>
      <c r="C310" s="10" t="inlineStr">
        <is>
          <t>C12037</t>
        </is>
      </c>
      <c r="D310" s="10">
        <f>INDEX(Customers!$B:$B,MATCH(C310,Customers!$A:$A,0))</f>
        <v/>
      </c>
      <c r="E310" s="10">
        <f>INDEX(Customers!$D:$D,MATCH(C310,Customers!$A:$A,0))</f>
        <v/>
      </c>
      <c r="F310" s="10" t="inlineStr">
        <is>
          <t>Own trucks</t>
        </is>
      </c>
      <c r="G310" s="5" t="n">
        <v>46245</v>
      </c>
      <c r="H310" s="5" t="n">
        <v>46247</v>
      </c>
      <c r="I310" s="5" t="n">
        <v>46247</v>
      </c>
      <c r="J310" s="10" t="inlineStr">
        <is>
          <t>12:00</t>
        </is>
      </c>
      <c r="K310" s="10" t="inlineStr">
        <is>
          <t>On time</t>
        </is>
      </c>
      <c r="L310" s="6" t="n">
        <v>0</v>
      </c>
      <c r="M310" s="10" t="n"/>
      <c r="N310" s="6" t="n">
        <v>7</v>
      </c>
      <c r="O310" s="6" t="n">
        <v>728</v>
      </c>
      <c r="P310" s="6" t="n">
        <v>1</v>
      </c>
      <c r="Q310" s="6">
        <f>IF(OR(K310="On time",K310="Late",K310="Very late"),1,0)</f>
        <v/>
      </c>
    </row>
    <row r="311">
      <c r="A311" s="10" t="inlineStr">
        <is>
          <t>DN318520</t>
        </is>
      </c>
      <c r="B311" s="10" t="inlineStr">
        <is>
          <t>SO62243</t>
        </is>
      </c>
      <c r="C311" s="10" t="inlineStr">
        <is>
          <t>C12103</t>
        </is>
      </c>
      <c r="D311" s="10">
        <f>INDEX(Customers!$B:$B,MATCH(C311,Customers!$A:$A,0))</f>
        <v/>
      </c>
      <c r="E311" s="10">
        <f>INDEX(Customers!$D:$D,MATCH(C311,Customers!$A:$A,0))</f>
        <v/>
      </c>
      <c r="F311" s="10" t="inlineStr">
        <is>
          <t>Own trucks</t>
        </is>
      </c>
      <c r="G311" s="5" t="n">
        <v>46245</v>
      </c>
      <c r="H311" s="5" t="n">
        <v>46247</v>
      </c>
      <c r="I311" s="5" t="n">
        <v>46247</v>
      </c>
      <c r="J311" s="10" t="inlineStr">
        <is>
          <t>12:40</t>
        </is>
      </c>
      <c r="K311" s="10" t="inlineStr">
        <is>
          <t>On time</t>
        </is>
      </c>
      <c r="L311" s="6" t="n">
        <v>0</v>
      </c>
      <c r="M311" s="10" t="n"/>
      <c r="N311" s="6" t="n">
        <v>17</v>
      </c>
      <c r="O311" s="6" t="n">
        <v>1700</v>
      </c>
      <c r="P311" s="6" t="n">
        <v>1</v>
      </c>
      <c r="Q311" s="6">
        <f>IF(OR(K311="On time",K311="Late",K311="Very late"),1,0)</f>
        <v/>
      </c>
    </row>
    <row r="312">
      <c r="A312" s="10" t="inlineStr">
        <is>
          <t>DN318521</t>
        </is>
      </c>
      <c r="B312" s="10" t="inlineStr">
        <is>
          <t>SO62245</t>
        </is>
      </c>
      <c r="C312" s="10" t="inlineStr">
        <is>
          <t>C12213</t>
        </is>
      </c>
      <c r="D312" s="10">
        <f>INDEX(Customers!$B:$B,MATCH(C312,Customers!$A:$A,0))</f>
        <v/>
      </c>
      <c r="E312" s="10">
        <f>INDEX(Customers!$D:$D,MATCH(C312,Customers!$A:$A,0))</f>
        <v/>
      </c>
      <c r="F312" s="10" t="inlineStr">
        <is>
          <t>Carrier B</t>
        </is>
      </c>
      <c r="G312" s="5" t="n">
        <v>46245</v>
      </c>
      <c r="H312" s="5" t="n">
        <v>46247</v>
      </c>
      <c r="I312" s="5" t="n">
        <v>46247</v>
      </c>
      <c r="J312" s="10" t="inlineStr">
        <is>
          <t>07:50</t>
        </is>
      </c>
      <c r="K312" s="10" t="inlineStr">
        <is>
          <t>On time</t>
        </is>
      </c>
      <c r="L312" s="6" t="n">
        <v>0</v>
      </c>
      <c r="M312" s="10" t="n"/>
      <c r="N312" s="6" t="n">
        <v>25</v>
      </c>
      <c r="O312" s="6" t="n">
        <v>1825</v>
      </c>
      <c r="P312" s="6" t="n">
        <v>1</v>
      </c>
      <c r="Q312" s="6">
        <f>IF(OR(K312="On time",K312="Late",K312="Very late"),1,0)</f>
        <v/>
      </c>
    </row>
    <row r="313">
      <c r="A313" s="10" t="inlineStr">
        <is>
          <t>DN318522</t>
        </is>
      </c>
      <c r="B313" s="10" t="inlineStr">
        <is>
          <t>SO62246</t>
        </is>
      </c>
      <c r="C313" s="10" t="inlineStr">
        <is>
          <t>C12239</t>
        </is>
      </c>
      <c r="D313" s="10">
        <f>INDEX(Customers!$B:$B,MATCH(C313,Customers!$A:$A,0))</f>
        <v/>
      </c>
      <c r="E313" s="10">
        <f>INDEX(Customers!$D:$D,MATCH(C313,Customers!$A:$A,0))</f>
        <v/>
      </c>
      <c r="F313" s="10" t="inlineStr">
        <is>
          <t>Carrier B</t>
        </is>
      </c>
      <c r="G313" s="5" t="n">
        <v>46245</v>
      </c>
      <c r="H313" s="5" t="n">
        <v>46247</v>
      </c>
      <c r="I313" s="5" t="n">
        <v>46247</v>
      </c>
      <c r="J313" s="10" t="inlineStr">
        <is>
          <t>16:20</t>
        </is>
      </c>
      <c r="K313" s="10" t="inlineStr">
        <is>
          <t>On time</t>
        </is>
      </c>
      <c r="L313" s="6" t="n">
        <v>0</v>
      </c>
      <c r="M313" s="10" t="n"/>
      <c r="N313" s="6" t="n">
        <v>29</v>
      </c>
      <c r="O313" s="6" t="n">
        <v>1653</v>
      </c>
      <c r="P313" s="6" t="n">
        <v>1</v>
      </c>
      <c r="Q313" s="6">
        <f>IF(OR(K313="On time",K313="Late",K313="Very late"),1,0)</f>
        <v/>
      </c>
    </row>
    <row r="314">
      <c r="A314" s="10" t="inlineStr">
        <is>
          <t>DN318523</t>
        </is>
      </c>
      <c r="B314" s="10" t="inlineStr">
        <is>
          <t>SO62248</t>
        </is>
      </c>
      <c r="C314" s="10" t="inlineStr">
        <is>
          <t>C12262</t>
        </is>
      </c>
      <c r="D314" s="10">
        <f>INDEX(Customers!$B:$B,MATCH(C314,Customers!$A:$A,0))</f>
        <v/>
      </c>
      <c r="E314" s="10">
        <f>INDEX(Customers!$D:$D,MATCH(C314,Customers!$A:$A,0))</f>
        <v/>
      </c>
      <c r="F314" s="10" t="inlineStr">
        <is>
          <t>Carrier B</t>
        </is>
      </c>
      <c r="G314" s="5" t="n">
        <v>46245</v>
      </c>
      <c r="H314" s="5" t="n">
        <v>46247</v>
      </c>
      <c r="I314" s="5" t="n">
        <v>46247</v>
      </c>
      <c r="J314" s="10" t="inlineStr">
        <is>
          <t>15:10</t>
        </is>
      </c>
      <c r="K314" s="10" t="inlineStr">
        <is>
          <t>On time</t>
        </is>
      </c>
      <c r="L314" s="6" t="n">
        <v>0</v>
      </c>
      <c r="M314" s="10" t="n"/>
      <c r="N314" s="6" t="n">
        <v>5</v>
      </c>
      <c r="O314" s="6" t="n">
        <v>285</v>
      </c>
      <c r="P314" s="6" t="n">
        <v>1</v>
      </c>
      <c r="Q314" s="6">
        <f>IF(OR(K314="On time",K314="Late",K314="Very late"),1,0)</f>
        <v/>
      </c>
    </row>
    <row r="315">
      <c r="A315" s="10" t="inlineStr">
        <is>
          <t>DN318524</t>
        </is>
      </c>
      <c r="B315" s="10" t="inlineStr">
        <is>
          <t>SO62250</t>
        </is>
      </c>
      <c r="C315" s="10" t="inlineStr">
        <is>
          <t>C12305</t>
        </is>
      </c>
      <c r="D315" s="10">
        <f>INDEX(Customers!$B:$B,MATCH(C315,Customers!$A:$A,0))</f>
        <v/>
      </c>
      <c r="E315" s="10">
        <f>INDEX(Customers!$D:$D,MATCH(C315,Customers!$A:$A,0))</f>
        <v/>
      </c>
      <c r="F315" s="10" t="inlineStr">
        <is>
          <t>Carrier B</t>
        </is>
      </c>
      <c r="G315" s="5" t="n">
        <v>46245</v>
      </c>
      <c r="H315" s="5" t="n">
        <v>46247</v>
      </c>
      <c r="I315" s="5" t="n">
        <v>46247</v>
      </c>
      <c r="J315" s="10" t="inlineStr">
        <is>
          <t>11:30</t>
        </is>
      </c>
      <c r="K315" s="10" t="inlineStr">
        <is>
          <t>On time</t>
        </is>
      </c>
      <c r="L315" s="6" t="n">
        <v>0</v>
      </c>
      <c r="M315" s="10" t="n"/>
      <c r="N315" s="6" t="n">
        <v>22</v>
      </c>
      <c r="O315" s="6" t="n">
        <v>2222</v>
      </c>
      <c r="P315" s="6" t="n">
        <v>1</v>
      </c>
      <c r="Q315" s="6">
        <f>IF(OR(K315="On time",K315="Late",K315="Very late"),1,0)</f>
        <v/>
      </c>
    </row>
    <row r="316">
      <c r="A316" s="10" t="inlineStr">
        <is>
          <t>DN318525</t>
        </is>
      </c>
      <c r="B316" s="10" t="inlineStr">
        <is>
          <t>SO62251</t>
        </is>
      </c>
      <c r="C316" s="10" t="inlineStr">
        <is>
          <t>C12365</t>
        </is>
      </c>
      <c r="D316" s="10">
        <f>INDEX(Customers!$B:$B,MATCH(C316,Customers!$A:$A,0))</f>
        <v/>
      </c>
      <c r="E316" s="10">
        <f>INDEX(Customers!$D:$D,MATCH(C316,Customers!$A:$A,0))</f>
        <v/>
      </c>
      <c r="F316" s="10" t="inlineStr">
        <is>
          <t>Carrier B</t>
        </is>
      </c>
      <c r="G316" s="5" t="n">
        <v>46245</v>
      </c>
      <c r="H316" s="5" t="n">
        <v>46247</v>
      </c>
      <c r="I316" s="5" t="n">
        <v>46247</v>
      </c>
      <c r="J316" s="10" t="inlineStr">
        <is>
          <t>09:10</t>
        </is>
      </c>
      <c r="K316" s="10" t="inlineStr">
        <is>
          <t>On time</t>
        </is>
      </c>
      <c r="L316" s="6" t="n">
        <v>0</v>
      </c>
      <c r="M316" s="10" t="n"/>
      <c r="N316" s="6" t="n">
        <v>19</v>
      </c>
      <c r="O316" s="6" t="n">
        <v>2299</v>
      </c>
      <c r="P316" s="6" t="n">
        <v>1</v>
      </c>
      <c r="Q316" s="6">
        <f>IF(OR(K316="On time",K316="Late",K316="Very late"),1,0)</f>
        <v/>
      </c>
    </row>
    <row r="317">
      <c r="A317" s="10" t="inlineStr">
        <is>
          <t>DN318526</t>
        </is>
      </c>
      <c r="B317" s="10" t="inlineStr">
        <is>
          <t>SO62252</t>
        </is>
      </c>
      <c r="C317" s="10" t="inlineStr">
        <is>
          <t>C12389</t>
        </is>
      </c>
      <c r="D317" s="10">
        <f>INDEX(Customers!$B:$B,MATCH(C317,Customers!$A:$A,0))</f>
        <v/>
      </c>
      <c r="E317" s="10">
        <f>INDEX(Customers!$D:$D,MATCH(C317,Customers!$A:$A,0))</f>
        <v/>
      </c>
      <c r="F317" s="10" t="inlineStr">
        <is>
          <t>Carrier A</t>
        </is>
      </c>
      <c r="G317" s="5" t="n">
        <v>46245</v>
      </c>
      <c r="H317" s="5" t="n">
        <v>46247</v>
      </c>
      <c r="I317" s="5" t="n">
        <v>46247</v>
      </c>
      <c r="J317" s="10" t="inlineStr">
        <is>
          <t>09:30</t>
        </is>
      </c>
      <c r="K317" s="10" t="inlineStr">
        <is>
          <t>On time</t>
        </is>
      </c>
      <c r="L317" s="6" t="n">
        <v>0</v>
      </c>
      <c r="M317" s="10" t="n"/>
      <c r="N317" s="6" t="n">
        <v>23</v>
      </c>
      <c r="O317" s="6" t="n">
        <v>2001</v>
      </c>
      <c r="P317" s="6" t="n">
        <v>1</v>
      </c>
      <c r="Q317" s="6">
        <f>IF(OR(K317="On time",K317="Late",K317="Very late"),1,0)</f>
        <v/>
      </c>
    </row>
    <row r="318">
      <c r="A318" s="10" t="inlineStr">
        <is>
          <t>DN318527</t>
        </is>
      </c>
      <c r="B318" s="10" t="inlineStr">
        <is>
          <t>SO62253</t>
        </is>
      </c>
      <c r="C318" s="10" t="inlineStr">
        <is>
          <t>C12393</t>
        </is>
      </c>
      <c r="D318" s="10">
        <f>INDEX(Customers!$B:$B,MATCH(C318,Customers!$A:$A,0))</f>
        <v/>
      </c>
      <c r="E318" s="10">
        <f>INDEX(Customers!$D:$D,MATCH(C318,Customers!$A:$A,0))</f>
        <v/>
      </c>
      <c r="F318" s="10" t="inlineStr">
        <is>
          <t>Carrier A</t>
        </is>
      </c>
      <c r="G318" s="5" t="n">
        <v>46245</v>
      </c>
      <c r="H318" s="5" t="n">
        <v>46247</v>
      </c>
      <c r="I318" s="5" t="n">
        <v>46247</v>
      </c>
      <c r="J318" s="10" t="inlineStr">
        <is>
          <t>09:10</t>
        </is>
      </c>
      <c r="K318" s="10" t="inlineStr">
        <is>
          <t>On time</t>
        </is>
      </c>
      <c r="L318" s="6" t="n">
        <v>0</v>
      </c>
      <c r="M318" s="10" t="n"/>
      <c r="N318" s="6" t="n">
        <v>17</v>
      </c>
      <c r="O318" s="6" t="n">
        <v>2023</v>
      </c>
      <c r="P318" s="6" t="n">
        <v>1</v>
      </c>
      <c r="Q318" s="6">
        <f>IF(OR(K318="On time",K318="Late",K318="Very late"),1,0)</f>
        <v/>
      </c>
    </row>
    <row r="319">
      <c r="A319" s="10" t="inlineStr">
        <is>
          <t>DN318528</t>
        </is>
      </c>
      <c r="B319" s="10" t="inlineStr">
        <is>
          <t>SO62254</t>
        </is>
      </c>
      <c r="C319" s="10" t="inlineStr">
        <is>
          <t>C12420</t>
        </is>
      </c>
      <c r="D319" s="10">
        <f>INDEX(Customers!$B:$B,MATCH(C319,Customers!$A:$A,0))</f>
        <v/>
      </c>
      <c r="E319" s="10">
        <f>INDEX(Customers!$D:$D,MATCH(C319,Customers!$A:$A,0))</f>
        <v/>
      </c>
      <c r="F319" s="10" t="inlineStr">
        <is>
          <t>Carrier A</t>
        </is>
      </c>
      <c r="G319" s="5" t="n">
        <v>46245</v>
      </c>
      <c r="H319" s="5" t="n">
        <v>46247</v>
      </c>
      <c r="I319" s="5" t="n">
        <v>46247</v>
      </c>
      <c r="J319" s="10" t="inlineStr">
        <is>
          <t>12:40</t>
        </is>
      </c>
      <c r="K319" s="10" t="inlineStr">
        <is>
          <t>On time</t>
        </is>
      </c>
      <c r="L319" s="6" t="n">
        <v>0</v>
      </c>
      <c r="M319" s="10" t="n"/>
      <c r="N319" s="6" t="n">
        <v>2</v>
      </c>
      <c r="O319" s="6" t="n">
        <v>218</v>
      </c>
      <c r="P319" s="6" t="n">
        <v>1</v>
      </c>
      <c r="Q319" s="6">
        <f>IF(OR(K319="On time",K319="Late",K319="Very late"),1,0)</f>
        <v/>
      </c>
    </row>
    <row r="320">
      <c r="A320" s="10" t="inlineStr">
        <is>
          <t>DN318529</t>
        </is>
      </c>
      <c r="B320" s="10" t="inlineStr">
        <is>
          <t>SO62255</t>
        </is>
      </c>
      <c r="C320" s="10" t="inlineStr">
        <is>
          <t>C12527</t>
        </is>
      </c>
      <c r="D320" s="10">
        <f>INDEX(Customers!$B:$B,MATCH(C320,Customers!$A:$A,0))</f>
        <v/>
      </c>
      <c r="E320" s="10">
        <f>INDEX(Customers!$D:$D,MATCH(C320,Customers!$A:$A,0))</f>
        <v/>
      </c>
      <c r="F320" s="10" t="inlineStr">
        <is>
          <t>Carrier A</t>
        </is>
      </c>
      <c r="G320" s="5" t="n">
        <v>46245</v>
      </c>
      <c r="H320" s="5" t="n">
        <v>46247</v>
      </c>
      <c r="I320" s="5" t="n">
        <v>46247</v>
      </c>
      <c r="J320" s="10" t="inlineStr">
        <is>
          <t>12:10</t>
        </is>
      </c>
      <c r="K320" s="10" t="inlineStr">
        <is>
          <t>On time</t>
        </is>
      </c>
      <c r="L320" s="6" t="n">
        <v>0</v>
      </c>
      <c r="M320" s="10" t="n"/>
      <c r="N320" s="6" t="n">
        <v>23</v>
      </c>
      <c r="O320" s="6" t="n">
        <v>2162</v>
      </c>
      <c r="P320" s="6" t="n">
        <v>1</v>
      </c>
      <c r="Q320" s="6">
        <f>IF(OR(K320="On time",K320="Late",K320="Very late"),1,0)</f>
        <v/>
      </c>
    </row>
    <row r="321">
      <c r="A321" s="10" t="inlineStr">
        <is>
          <t>DN318530</t>
        </is>
      </c>
      <c r="B321" s="10" t="inlineStr">
        <is>
          <t>SO62256</t>
        </is>
      </c>
      <c r="C321" s="10" t="inlineStr">
        <is>
          <t>C12543</t>
        </is>
      </c>
      <c r="D321" s="10">
        <f>INDEX(Customers!$B:$B,MATCH(C321,Customers!$A:$A,0))</f>
        <v/>
      </c>
      <c r="E321" s="10">
        <f>INDEX(Customers!$D:$D,MATCH(C321,Customers!$A:$A,0))</f>
        <v/>
      </c>
      <c r="F321" s="10" t="inlineStr">
        <is>
          <t>Carrier B</t>
        </is>
      </c>
      <c r="G321" s="5" t="n">
        <v>46244</v>
      </c>
      <c r="H321" s="5" t="n">
        <v>46247</v>
      </c>
      <c r="I321" s="5" t="n">
        <v>46247</v>
      </c>
      <c r="J321" s="10" t="inlineStr">
        <is>
          <t>14:20</t>
        </is>
      </c>
      <c r="K321" s="10" t="inlineStr">
        <is>
          <t>On time</t>
        </is>
      </c>
      <c r="L321" s="6" t="n">
        <v>0</v>
      </c>
      <c r="M321" s="10" t="n"/>
      <c r="N321" s="6" t="n">
        <v>21</v>
      </c>
      <c r="O321" s="6" t="n">
        <v>2919</v>
      </c>
      <c r="P321" s="6" t="n">
        <v>1</v>
      </c>
      <c r="Q321" s="6">
        <f>IF(OR(K321="On time",K321="Late",K321="Very late"),1,0)</f>
        <v/>
      </c>
    </row>
    <row r="322">
      <c r="A322" s="10" t="inlineStr">
        <is>
          <t>DN318531</t>
        </is>
      </c>
      <c r="B322" s="10" t="inlineStr">
        <is>
          <t>SO62257</t>
        </is>
      </c>
      <c r="C322" s="10" t="inlineStr">
        <is>
          <t>C12617</t>
        </is>
      </c>
      <c r="D322" s="10">
        <f>INDEX(Customers!$B:$B,MATCH(C322,Customers!$A:$A,0))</f>
        <v/>
      </c>
      <c r="E322" s="10">
        <f>INDEX(Customers!$D:$D,MATCH(C322,Customers!$A:$A,0))</f>
        <v/>
      </c>
      <c r="F322" s="10" t="inlineStr">
        <is>
          <t>Carrier B</t>
        </is>
      </c>
      <c r="G322" s="5" t="n">
        <v>46244</v>
      </c>
      <c r="H322" s="5" t="n">
        <v>46247</v>
      </c>
      <c r="I322" s="5" t="n">
        <v>46247</v>
      </c>
      <c r="J322" s="10" t="inlineStr">
        <is>
          <t>12:40</t>
        </is>
      </c>
      <c r="K322" s="10" t="inlineStr">
        <is>
          <t>On time</t>
        </is>
      </c>
      <c r="L322" s="6" t="n">
        <v>0</v>
      </c>
      <c r="M322" s="10" t="n"/>
      <c r="N322" s="6" t="n">
        <v>14</v>
      </c>
      <c r="O322" s="6" t="n">
        <v>1848</v>
      </c>
      <c r="P322" s="6" t="n">
        <v>1</v>
      </c>
      <c r="Q322" s="6">
        <f>IF(OR(K322="On time",K322="Late",K322="Very late"),1,0)</f>
        <v/>
      </c>
    </row>
    <row r="323">
      <c r="A323" s="10" t="inlineStr">
        <is>
          <t>DN318532</t>
        </is>
      </c>
      <c r="B323" s="10" t="inlineStr">
        <is>
          <t>SO62259</t>
        </is>
      </c>
      <c r="C323" s="10" t="inlineStr">
        <is>
          <t>C12639</t>
        </is>
      </c>
      <c r="D323" s="10">
        <f>INDEX(Customers!$B:$B,MATCH(C323,Customers!$A:$A,0))</f>
        <v/>
      </c>
      <c r="E323" s="10">
        <f>INDEX(Customers!$D:$D,MATCH(C323,Customers!$A:$A,0))</f>
        <v/>
      </c>
      <c r="F323" s="10" t="inlineStr">
        <is>
          <t>Carrier B</t>
        </is>
      </c>
      <c r="G323" s="5" t="n">
        <v>46244</v>
      </c>
      <c r="H323" s="5" t="n">
        <v>46247</v>
      </c>
      <c r="I323" s="5" t="n">
        <v>46247</v>
      </c>
      <c r="J323" s="10" t="inlineStr">
        <is>
          <t>14:00</t>
        </is>
      </c>
      <c r="K323" s="10" t="inlineStr">
        <is>
          <t>On time</t>
        </is>
      </c>
      <c r="L323" s="6" t="n">
        <v>0</v>
      </c>
      <c r="M323" s="10" t="n"/>
      <c r="N323" s="6" t="n">
        <v>14</v>
      </c>
      <c r="O323" s="6" t="n">
        <v>1498</v>
      </c>
      <c r="P323" s="6" t="n">
        <v>1</v>
      </c>
      <c r="Q323" s="6">
        <f>IF(OR(K323="On time",K323="Late",K323="Very late"),1,0)</f>
        <v/>
      </c>
    </row>
    <row r="324">
      <c r="A324" s="10" t="inlineStr">
        <is>
          <t>DN318533</t>
        </is>
      </c>
      <c r="B324" s="10" t="inlineStr">
        <is>
          <t>SO62260</t>
        </is>
      </c>
      <c r="C324" s="10" t="inlineStr">
        <is>
          <t>C12675</t>
        </is>
      </c>
      <c r="D324" s="10">
        <f>INDEX(Customers!$B:$B,MATCH(C324,Customers!$A:$A,0))</f>
        <v/>
      </c>
      <c r="E324" s="10">
        <f>INDEX(Customers!$D:$D,MATCH(C324,Customers!$A:$A,0))</f>
        <v/>
      </c>
      <c r="F324" s="10" t="inlineStr">
        <is>
          <t>Carrier B</t>
        </is>
      </c>
      <c r="G324" s="5" t="n">
        <v>46244</v>
      </c>
      <c r="H324" s="5" t="n">
        <v>46247</v>
      </c>
      <c r="I324" s="5" t="n">
        <v>46247</v>
      </c>
      <c r="J324" s="10" t="inlineStr">
        <is>
          <t>10:00</t>
        </is>
      </c>
      <c r="K324" s="10" t="inlineStr">
        <is>
          <t>On time</t>
        </is>
      </c>
      <c r="L324" s="6" t="n">
        <v>0</v>
      </c>
      <c r="M324" s="10" t="n"/>
      <c r="N324" s="6" t="n">
        <v>17</v>
      </c>
      <c r="O324" s="6" t="n">
        <v>1904</v>
      </c>
      <c r="P324" s="6" t="n">
        <v>1</v>
      </c>
      <c r="Q324" s="6">
        <f>IF(OR(K324="On time",K324="Late",K324="Very late"),1,0)</f>
        <v/>
      </c>
    </row>
    <row r="325">
      <c r="A325" s="10" t="inlineStr">
        <is>
          <t>DN318534</t>
        </is>
      </c>
      <c r="B325" s="10" t="inlineStr">
        <is>
          <t>SO62261</t>
        </is>
      </c>
      <c r="C325" s="10" t="inlineStr">
        <is>
          <t>C10322</t>
        </is>
      </c>
      <c r="D325" s="10">
        <f>INDEX(Customers!$B:$B,MATCH(C325,Customers!$A:$A,0))</f>
        <v/>
      </c>
      <c r="E325" s="10">
        <f>INDEX(Customers!$D:$D,MATCH(C325,Customers!$A:$A,0))</f>
        <v/>
      </c>
      <c r="F325" s="10" t="inlineStr">
        <is>
          <t>Same-day courier</t>
        </is>
      </c>
      <c r="G325" s="5" t="n">
        <v>46247</v>
      </c>
      <c r="H325" s="5" t="n">
        <v>46248</v>
      </c>
      <c r="I325" s="5" t="n">
        <v>46248</v>
      </c>
      <c r="J325" s="10" t="inlineStr">
        <is>
          <t>13:00</t>
        </is>
      </c>
      <c r="K325" s="10" t="inlineStr">
        <is>
          <t>On time</t>
        </is>
      </c>
      <c r="L325" s="6" t="n">
        <v>0</v>
      </c>
      <c r="M325" s="10" t="n"/>
      <c r="N325" s="6" t="n">
        <v>22</v>
      </c>
      <c r="O325" s="6" t="n">
        <v>1518</v>
      </c>
      <c r="P325" s="6" t="n">
        <v>1</v>
      </c>
      <c r="Q325" s="6">
        <f>IF(OR(K325="On time",K325="Late",K325="Very late"),1,0)</f>
        <v/>
      </c>
    </row>
    <row r="326">
      <c r="A326" s="10" t="inlineStr">
        <is>
          <t>DN318535</t>
        </is>
      </c>
      <c r="B326" s="10" t="inlineStr">
        <is>
          <t>SO62262</t>
        </is>
      </c>
      <c r="C326" s="10" t="inlineStr">
        <is>
          <t>C10343</t>
        </is>
      </c>
      <c r="D326" s="10">
        <f>INDEX(Customers!$B:$B,MATCH(C326,Customers!$A:$A,0))</f>
        <v/>
      </c>
      <c r="E326" s="10">
        <f>INDEX(Customers!$D:$D,MATCH(C326,Customers!$A:$A,0))</f>
        <v/>
      </c>
      <c r="F326" s="10" t="inlineStr">
        <is>
          <t>Own trucks</t>
        </is>
      </c>
      <c r="G326" s="5" t="n">
        <v>46247</v>
      </c>
      <c r="H326" s="5" t="n">
        <v>46248</v>
      </c>
      <c r="I326" s="5" t="n">
        <v>46248</v>
      </c>
      <c r="J326" s="10" t="inlineStr">
        <is>
          <t>14:30</t>
        </is>
      </c>
      <c r="K326" s="10" t="inlineStr">
        <is>
          <t>On time</t>
        </is>
      </c>
      <c r="L326" s="6" t="n">
        <v>0</v>
      </c>
      <c r="M326" s="10" t="n"/>
      <c r="N326" s="6" t="n">
        <v>9</v>
      </c>
      <c r="O326" s="6" t="n">
        <v>657</v>
      </c>
      <c r="P326" s="6" t="n">
        <v>1</v>
      </c>
      <c r="Q326" s="6">
        <f>IF(OR(K326="On time",K326="Late",K326="Very late"),1,0)</f>
        <v/>
      </c>
    </row>
    <row r="327">
      <c r="A327" s="10" t="inlineStr">
        <is>
          <t>DN318536</t>
        </is>
      </c>
      <c r="B327" s="10" t="inlineStr">
        <is>
          <t>SO62263</t>
        </is>
      </c>
      <c r="C327" s="10" t="inlineStr">
        <is>
          <t>C10413</t>
        </is>
      </c>
      <c r="D327" s="10">
        <f>INDEX(Customers!$B:$B,MATCH(C327,Customers!$A:$A,0))</f>
        <v/>
      </c>
      <c r="E327" s="10">
        <f>INDEX(Customers!$D:$D,MATCH(C327,Customers!$A:$A,0))</f>
        <v/>
      </c>
      <c r="F327" s="10" t="inlineStr">
        <is>
          <t>Own trucks</t>
        </is>
      </c>
      <c r="G327" s="5" t="n">
        <v>46247</v>
      </c>
      <c r="H327" s="5" t="n">
        <v>46248</v>
      </c>
      <c r="I327" s="5" t="n">
        <v>46248</v>
      </c>
      <c r="J327" s="10" t="inlineStr">
        <is>
          <t>09:20</t>
        </is>
      </c>
      <c r="K327" s="10" t="inlineStr">
        <is>
          <t>On time</t>
        </is>
      </c>
      <c r="L327" s="6" t="n">
        <v>0</v>
      </c>
      <c r="M327" s="10" t="n"/>
      <c r="N327" s="6" t="n">
        <v>32</v>
      </c>
      <c r="O327" s="6" t="n">
        <v>3072</v>
      </c>
      <c r="P327" s="6" t="n">
        <v>1</v>
      </c>
      <c r="Q327" s="6">
        <f>IF(OR(K327="On time",K327="Late",K327="Very late"),1,0)</f>
        <v/>
      </c>
    </row>
    <row r="328">
      <c r="A328" s="10" t="inlineStr">
        <is>
          <t>DN318537</t>
        </is>
      </c>
      <c r="B328" s="10" t="inlineStr">
        <is>
          <t>SO62264</t>
        </is>
      </c>
      <c r="C328" s="10" t="inlineStr">
        <is>
          <t>C10446</t>
        </is>
      </c>
      <c r="D328" s="10">
        <f>INDEX(Customers!$B:$B,MATCH(C328,Customers!$A:$A,0))</f>
        <v/>
      </c>
      <c r="E328" s="10">
        <f>INDEX(Customers!$D:$D,MATCH(C328,Customers!$A:$A,0))</f>
        <v/>
      </c>
      <c r="F328" s="10" t="inlineStr">
        <is>
          <t>Own trucks</t>
        </is>
      </c>
      <c r="G328" s="5" t="n">
        <v>46247</v>
      </c>
      <c r="H328" s="5" t="n">
        <v>46248</v>
      </c>
      <c r="I328" s="5" t="n">
        <v>46248</v>
      </c>
      <c r="J328" s="10" t="inlineStr">
        <is>
          <t>07:40</t>
        </is>
      </c>
      <c r="K328" s="10" t="inlineStr">
        <is>
          <t>On time</t>
        </is>
      </c>
      <c r="L328" s="6" t="n">
        <v>0</v>
      </c>
      <c r="M328" s="10" t="n"/>
      <c r="N328" s="6" t="n">
        <v>2</v>
      </c>
      <c r="O328" s="6" t="n">
        <v>254</v>
      </c>
      <c r="P328" s="6" t="n">
        <v>1</v>
      </c>
      <c r="Q328" s="6">
        <f>IF(OR(K328="On time",K328="Late",K328="Very late"),1,0)</f>
        <v/>
      </c>
    </row>
    <row r="329">
      <c r="A329" s="10" t="inlineStr">
        <is>
          <t>DN318538</t>
        </is>
      </c>
      <c r="B329" s="10" t="inlineStr">
        <is>
          <t>SO62265</t>
        </is>
      </c>
      <c r="C329" s="10" t="inlineStr">
        <is>
          <t>C10515</t>
        </is>
      </c>
      <c r="D329" s="10">
        <f>INDEX(Customers!$B:$B,MATCH(C329,Customers!$A:$A,0))</f>
        <v/>
      </c>
      <c r="E329" s="10">
        <f>INDEX(Customers!$D:$D,MATCH(C329,Customers!$A:$A,0))</f>
        <v/>
      </c>
      <c r="F329" s="10" t="inlineStr">
        <is>
          <t>Own trucks</t>
        </is>
      </c>
      <c r="G329" s="5" t="n">
        <v>46247</v>
      </c>
      <c r="H329" s="5" t="n">
        <v>46248</v>
      </c>
      <c r="I329" s="5" t="n">
        <v>46248</v>
      </c>
      <c r="J329" s="10" t="inlineStr">
        <is>
          <t>09:30</t>
        </is>
      </c>
      <c r="K329" s="10" t="inlineStr">
        <is>
          <t>On time</t>
        </is>
      </c>
      <c r="L329" s="6" t="n">
        <v>0</v>
      </c>
      <c r="M329" s="10" t="n"/>
      <c r="N329" s="6" t="n">
        <v>19</v>
      </c>
      <c r="O329" s="6" t="n">
        <v>1710</v>
      </c>
      <c r="P329" s="6" t="n">
        <v>1</v>
      </c>
      <c r="Q329" s="6">
        <f>IF(OR(K329="On time",K329="Late",K329="Very late"),1,0)</f>
        <v/>
      </c>
    </row>
    <row r="330">
      <c r="A330" s="10" t="inlineStr">
        <is>
          <t>DN318539</t>
        </is>
      </c>
      <c r="B330" s="10" t="inlineStr">
        <is>
          <t>SO62267</t>
        </is>
      </c>
      <c r="C330" s="10" t="inlineStr">
        <is>
          <t>C10522</t>
        </is>
      </c>
      <c r="D330" s="10">
        <f>INDEX(Customers!$B:$B,MATCH(C330,Customers!$A:$A,0))</f>
        <v/>
      </c>
      <c r="E330" s="10">
        <f>INDEX(Customers!$D:$D,MATCH(C330,Customers!$A:$A,0))</f>
        <v/>
      </c>
      <c r="F330" s="10" t="inlineStr">
        <is>
          <t>Own trucks</t>
        </is>
      </c>
      <c r="G330" s="5" t="n">
        <v>46247</v>
      </c>
      <c r="H330" s="5" t="n">
        <v>46248</v>
      </c>
      <c r="I330" s="5" t="n">
        <v>46248</v>
      </c>
      <c r="J330" s="10" t="inlineStr">
        <is>
          <t>15:00</t>
        </is>
      </c>
      <c r="K330" s="10" t="inlineStr">
        <is>
          <t>On time</t>
        </is>
      </c>
      <c r="L330" s="6" t="n">
        <v>0</v>
      </c>
      <c r="M330" s="10" t="n"/>
      <c r="N330" s="6" t="n">
        <v>19</v>
      </c>
      <c r="O330" s="6" t="n">
        <v>1539</v>
      </c>
      <c r="P330" s="6" t="n">
        <v>1</v>
      </c>
      <c r="Q330" s="6">
        <f>IF(OR(K330="On time",K330="Late",K330="Very late"),1,0)</f>
        <v/>
      </c>
    </row>
    <row r="331">
      <c r="A331" s="10" t="inlineStr">
        <is>
          <t>DN318540</t>
        </is>
      </c>
      <c r="B331" s="10" t="inlineStr">
        <is>
          <t>SO62268</t>
        </is>
      </c>
      <c r="C331" s="10" t="inlineStr">
        <is>
          <t>C10536</t>
        </is>
      </c>
      <c r="D331" s="10">
        <f>INDEX(Customers!$B:$B,MATCH(C331,Customers!$A:$A,0))</f>
        <v/>
      </c>
      <c r="E331" s="10">
        <f>INDEX(Customers!$D:$D,MATCH(C331,Customers!$A:$A,0))</f>
        <v/>
      </c>
      <c r="F331" s="10" t="inlineStr">
        <is>
          <t>Own trucks</t>
        </is>
      </c>
      <c r="G331" s="5" t="n">
        <v>46247</v>
      </c>
      <c r="H331" s="5" t="n">
        <v>46248</v>
      </c>
      <c r="I331" s="5" t="n">
        <v>46248</v>
      </c>
      <c r="J331" s="10" t="inlineStr">
        <is>
          <t>14:10</t>
        </is>
      </c>
      <c r="K331" s="10" t="inlineStr">
        <is>
          <t>On time</t>
        </is>
      </c>
      <c r="L331" s="6" t="n">
        <v>0</v>
      </c>
      <c r="M331" s="10" t="n"/>
      <c r="N331" s="6" t="n">
        <v>27</v>
      </c>
      <c r="O331" s="6" t="n">
        <v>1782</v>
      </c>
      <c r="P331" s="6" t="n">
        <v>1</v>
      </c>
      <c r="Q331" s="6">
        <f>IF(OR(K331="On time",K331="Late",K331="Very late"),1,0)</f>
        <v/>
      </c>
    </row>
    <row r="332">
      <c r="A332" s="10" t="inlineStr">
        <is>
          <t>DN318541</t>
        </is>
      </c>
      <c r="B332" s="10" t="inlineStr">
        <is>
          <t>SO62269</t>
        </is>
      </c>
      <c r="C332" s="10" t="inlineStr">
        <is>
          <t>C10589</t>
        </is>
      </c>
      <c r="D332" s="10">
        <f>INDEX(Customers!$B:$B,MATCH(C332,Customers!$A:$A,0))</f>
        <v/>
      </c>
      <c r="E332" s="10">
        <f>INDEX(Customers!$D:$D,MATCH(C332,Customers!$A:$A,0))</f>
        <v/>
      </c>
      <c r="F332" s="10" t="inlineStr">
        <is>
          <t>Own trucks</t>
        </is>
      </c>
      <c r="G332" s="5" t="n">
        <v>46247</v>
      </c>
      <c r="H332" s="5" t="n">
        <v>46248</v>
      </c>
      <c r="I332" s="5" t="n">
        <v>46248</v>
      </c>
      <c r="J332" s="10" t="inlineStr">
        <is>
          <t>08:20</t>
        </is>
      </c>
      <c r="K332" s="10" t="inlineStr">
        <is>
          <t>On time</t>
        </is>
      </c>
      <c r="L332" s="6" t="n">
        <v>0</v>
      </c>
      <c r="M332" s="10" t="n"/>
      <c r="N332" s="6" t="n">
        <v>11</v>
      </c>
      <c r="O332" s="6" t="n">
        <v>704</v>
      </c>
      <c r="P332" s="6" t="n">
        <v>1</v>
      </c>
      <c r="Q332" s="6">
        <f>IF(OR(K332="On time",K332="Late",K332="Very late"),1,0)</f>
        <v/>
      </c>
    </row>
    <row r="333">
      <c r="A333" s="10" t="inlineStr">
        <is>
          <t>DN318542</t>
        </is>
      </c>
      <c r="B333" s="10" t="inlineStr">
        <is>
          <t>SO62271</t>
        </is>
      </c>
      <c r="C333" s="10" t="inlineStr">
        <is>
          <t>C10622</t>
        </is>
      </c>
      <c r="D333" s="10">
        <f>INDEX(Customers!$B:$B,MATCH(C333,Customers!$A:$A,0))</f>
        <v/>
      </c>
      <c r="E333" s="10">
        <f>INDEX(Customers!$D:$D,MATCH(C333,Customers!$A:$A,0))</f>
        <v/>
      </c>
      <c r="F333" s="10" t="inlineStr">
        <is>
          <t>Own trucks</t>
        </is>
      </c>
      <c r="G333" s="5" t="n">
        <v>46247</v>
      </c>
      <c r="H333" s="5" t="n">
        <v>46248</v>
      </c>
      <c r="I333" s="5" t="n">
        <v>46248</v>
      </c>
      <c r="J333" s="10" t="inlineStr">
        <is>
          <t>14:50</t>
        </is>
      </c>
      <c r="K333" s="10" t="inlineStr">
        <is>
          <t>On time</t>
        </is>
      </c>
      <c r="L333" s="6" t="n">
        <v>0</v>
      </c>
      <c r="M333" s="10" t="n"/>
      <c r="N333" s="6" t="n">
        <v>24</v>
      </c>
      <c r="O333" s="6" t="n">
        <v>3336</v>
      </c>
      <c r="P333" s="6" t="n">
        <v>1</v>
      </c>
      <c r="Q333" s="6">
        <f>IF(OR(K333="On time",K333="Late",K333="Very late"),1,0)</f>
        <v/>
      </c>
    </row>
    <row r="334">
      <c r="A334" s="10" t="inlineStr">
        <is>
          <t>DN318543</t>
        </is>
      </c>
      <c r="B334" s="10" t="inlineStr">
        <is>
          <t>SO62272</t>
        </is>
      </c>
      <c r="C334" s="10" t="inlineStr">
        <is>
          <t>C10648</t>
        </is>
      </c>
      <c r="D334" s="10">
        <f>INDEX(Customers!$B:$B,MATCH(C334,Customers!$A:$A,0))</f>
        <v/>
      </c>
      <c r="E334" s="10">
        <f>INDEX(Customers!$D:$D,MATCH(C334,Customers!$A:$A,0))</f>
        <v/>
      </c>
      <c r="F334" s="10" t="inlineStr">
        <is>
          <t>Own trucks</t>
        </is>
      </c>
      <c r="G334" s="5" t="n">
        <v>46247</v>
      </c>
      <c r="H334" s="5" t="n">
        <v>46248</v>
      </c>
      <c r="I334" s="5" t="n">
        <v>46248</v>
      </c>
      <c r="J334" s="10" t="inlineStr">
        <is>
          <t>12:40</t>
        </is>
      </c>
      <c r="K334" s="10" t="inlineStr">
        <is>
          <t>On time</t>
        </is>
      </c>
      <c r="L334" s="6" t="n">
        <v>0</v>
      </c>
      <c r="M334" s="10" t="n"/>
      <c r="N334" s="6" t="n">
        <v>7</v>
      </c>
      <c r="O334" s="6" t="n">
        <v>854</v>
      </c>
      <c r="P334" s="6" t="n">
        <v>1</v>
      </c>
      <c r="Q334" s="6">
        <f>IF(OR(K334="On time",K334="Late",K334="Very late"),1,0)</f>
        <v/>
      </c>
    </row>
    <row r="335">
      <c r="A335" s="10" t="inlineStr">
        <is>
          <t>DN318544</t>
        </is>
      </c>
      <c r="B335" s="10" t="inlineStr">
        <is>
          <t>SO62273</t>
        </is>
      </c>
      <c r="C335" s="10" t="inlineStr">
        <is>
          <t>C10676</t>
        </is>
      </c>
      <c r="D335" s="10">
        <f>INDEX(Customers!$B:$B,MATCH(C335,Customers!$A:$A,0))</f>
        <v/>
      </c>
      <c r="E335" s="10">
        <f>INDEX(Customers!$D:$D,MATCH(C335,Customers!$A:$A,0))</f>
        <v/>
      </c>
      <c r="F335" s="10" t="inlineStr">
        <is>
          <t>Own trucks</t>
        </is>
      </c>
      <c r="G335" s="5" t="n">
        <v>46247</v>
      </c>
      <c r="H335" s="5" t="n">
        <v>46248</v>
      </c>
      <c r="I335" s="5" t="n">
        <v>46248</v>
      </c>
      <c r="J335" s="10" t="inlineStr">
        <is>
          <t>16:10</t>
        </is>
      </c>
      <c r="K335" s="10" t="inlineStr">
        <is>
          <t>On time</t>
        </is>
      </c>
      <c r="L335" s="6" t="n">
        <v>0</v>
      </c>
      <c r="M335" s="10" t="n"/>
      <c r="N335" s="6" t="n">
        <v>35</v>
      </c>
      <c r="O335" s="6" t="n">
        <v>2905</v>
      </c>
      <c r="P335" s="6" t="n">
        <v>1</v>
      </c>
      <c r="Q335" s="6">
        <f>IF(OR(K335="On time",K335="Late",K335="Very late"),1,0)</f>
        <v/>
      </c>
    </row>
    <row r="336">
      <c r="A336" s="10" t="inlineStr">
        <is>
          <t>DN318545</t>
        </is>
      </c>
      <c r="B336" s="10" t="inlineStr">
        <is>
          <t>SO62274</t>
        </is>
      </c>
      <c r="C336" s="10" t="inlineStr">
        <is>
          <t>C10796</t>
        </is>
      </c>
      <c r="D336" s="10">
        <f>INDEX(Customers!$B:$B,MATCH(C336,Customers!$A:$A,0))</f>
        <v/>
      </c>
      <c r="E336" s="10">
        <f>INDEX(Customers!$D:$D,MATCH(C336,Customers!$A:$A,0))</f>
        <v/>
      </c>
      <c r="F336" s="10" t="inlineStr">
        <is>
          <t>Own trucks</t>
        </is>
      </c>
      <c r="G336" s="5" t="n">
        <v>46247</v>
      </c>
      <c r="H336" s="5" t="n">
        <v>46248</v>
      </c>
      <c r="I336" s="5" t="n">
        <v>46251</v>
      </c>
      <c r="J336" s="10" t="inlineStr">
        <is>
          <t>14:20</t>
        </is>
      </c>
      <c r="K336" s="10" t="inlineStr">
        <is>
          <t>Late</t>
        </is>
      </c>
      <c r="L336" s="6" t="n">
        <v>1</v>
      </c>
      <c r="M336" s="10" t="inlineStr">
        <is>
          <t>Wrong address</t>
        </is>
      </c>
      <c r="N336" s="6" t="n">
        <v>33</v>
      </c>
      <c r="O336" s="6" t="n">
        <v>1914</v>
      </c>
      <c r="P336" s="6" t="n">
        <v>1</v>
      </c>
      <c r="Q336" s="6">
        <f>IF(OR(K336="On time",K336="Late",K336="Very late"),1,0)</f>
        <v/>
      </c>
    </row>
    <row r="337">
      <c r="A337" s="10" t="inlineStr">
        <is>
          <t>DN318546</t>
        </is>
      </c>
      <c r="B337" s="10" t="inlineStr">
        <is>
          <t>SO62275</t>
        </is>
      </c>
      <c r="C337" s="10" t="inlineStr">
        <is>
          <t>C10915</t>
        </is>
      </c>
      <c r="D337" s="10">
        <f>INDEX(Customers!$B:$B,MATCH(C337,Customers!$A:$A,0))</f>
        <v/>
      </c>
      <c r="E337" s="10">
        <f>INDEX(Customers!$D:$D,MATCH(C337,Customers!$A:$A,0))</f>
        <v/>
      </c>
      <c r="F337" s="10" t="inlineStr">
        <is>
          <t>Own trucks</t>
        </is>
      </c>
      <c r="G337" s="5" t="n">
        <v>46247</v>
      </c>
      <c r="H337" s="5" t="n">
        <v>46248</v>
      </c>
      <c r="I337" s="5" t="n">
        <v>46248</v>
      </c>
      <c r="J337" s="10" t="inlineStr">
        <is>
          <t>13:30</t>
        </is>
      </c>
      <c r="K337" s="10" t="inlineStr">
        <is>
          <t>On time</t>
        </is>
      </c>
      <c r="L337" s="6" t="n">
        <v>0</v>
      </c>
      <c r="M337" s="10" t="n"/>
      <c r="N337" s="6" t="n">
        <v>26</v>
      </c>
      <c r="O337" s="6" t="n">
        <v>2418</v>
      </c>
      <c r="P337" s="6" t="n">
        <v>1</v>
      </c>
      <c r="Q337" s="6">
        <f>IF(OR(K337="On time",K337="Late",K337="Very late"),1,0)</f>
        <v/>
      </c>
    </row>
    <row r="338">
      <c r="A338" s="10" t="inlineStr">
        <is>
          <t>DN318547</t>
        </is>
      </c>
      <c r="B338" s="10" t="inlineStr">
        <is>
          <t>SO62276</t>
        </is>
      </c>
      <c r="C338" s="10" t="inlineStr">
        <is>
          <t>C10982</t>
        </is>
      </c>
      <c r="D338" s="10">
        <f>INDEX(Customers!$B:$B,MATCH(C338,Customers!$A:$A,0))</f>
        <v/>
      </c>
      <c r="E338" s="10">
        <f>INDEX(Customers!$D:$D,MATCH(C338,Customers!$A:$A,0))</f>
        <v/>
      </c>
      <c r="F338" s="10" t="inlineStr">
        <is>
          <t>Own trucks</t>
        </is>
      </c>
      <c r="G338" s="5" t="n">
        <v>46247</v>
      </c>
      <c r="H338" s="5" t="n">
        <v>46248</v>
      </c>
      <c r="I338" s="5" t="n">
        <v>46248</v>
      </c>
      <c r="J338" s="10" t="inlineStr">
        <is>
          <t>15:10</t>
        </is>
      </c>
      <c r="K338" s="10" t="inlineStr">
        <is>
          <t>On time</t>
        </is>
      </c>
      <c r="L338" s="6" t="n">
        <v>0</v>
      </c>
      <c r="M338" s="10" t="n"/>
      <c r="N338" s="6" t="n">
        <v>33</v>
      </c>
      <c r="O338" s="6" t="n">
        <v>3630</v>
      </c>
      <c r="P338" s="6" t="n">
        <v>1</v>
      </c>
      <c r="Q338" s="6">
        <f>IF(OR(K338="On time",K338="Late",K338="Very late"),1,0)</f>
        <v/>
      </c>
    </row>
    <row r="339">
      <c r="A339" s="10" t="inlineStr">
        <is>
          <t>DN318548</t>
        </is>
      </c>
      <c r="B339" s="10" t="inlineStr">
        <is>
          <t>SO62277</t>
        </is>
      </c>
      <c r="C339" s="10" t="inlineStr">
        <is>
          <t>C11107</t>
        </is>
      </c>
      <c r="D339" s="10">
        <f>INDEX(Customers!$B:$B,MATCH(C339,Customers!$A:$A,0))</f>
        <v/>
      </c>
      <c r="E339" s="10">
        <f>INDEX(Customers!$D:$D,MATCH(C339,Customers!$A:$A,0))</f>
        <v/>
      </c>
      <c r="F339" s="10" t="inlineStr">
        <is>
          <t>Own trucks</t>
        </is>
      </c>
      <c r="G339" s="5" t="n">
        <v>46247</v>
      </c>
      <c r="H339" s="5" t="n">
        <v>46248</v>
      </c>
      <c r="I339" s="5" t="n">
        <v>46248</v>
      </c>
      <c r="J339" s="10" t="inlineStr">
        <is>
          <t>14:50</t>
        </is>
      </c>
      <c r="K339" s="10" t="inlineStr">
        <is>
          <t>On time</t>
        </is>
      </c>
      <c r="L339" s="6" t="n">
        <v>0</v>
      </c>
      <c r="M339" s="10" t="n"/>
      <c r="N339" s="6" t="n">
        <v>29</v>
      </c>
      <c r="O339" s="6" t="n">
        <v>1798</v>
      </c>
      <c r="P339" s="6" t="n">
        <v>1</v>
      </c>
      <c r="Q339" s="6">
        <f>IF(OR(K339="On time",K339="Late",K339="Very late"),1,0)</f>
        <v/>
      </c>
    </row>
    <row r="340">
      <c r="A340" s="10" t="inlineStr">
        <is>
          <t>DN318549</t>
        </is>
      </c>
      <c r="B340" s="10" t="inlineStr">
        <is>
          <t>SO62278</t>
        </is>
      </c>
      <c r="C340" s="10" t="inlineStr">
        <is>
          <t>C11143</t>
        </is>
      </c>
      <c r="D340" s="10">
        <f>INDEX(Customers!$B:$B,MATCH(C340,Customers!$A:$A,0))</f>
        <v/>
      </c>
      <c r="E340" s="10">
        <f>INDEX(Customers!$D:$D,MATCH(C340,Customers!$A:$A,0))</f>
        <v/>
      </c>
      <c r="F340" s="10" t="inlineStr">
        <is>
          <t>Own trucks</t>
        </is>
      </c>
      <c r="G340" s="5" t="n">
        <v>46247</v>
      </c>
      <c r="H340" s="5" t="n">
        <v>46248</v>
      </c>
      <c r="I340" s="5" t="n">
        <v>46248</v>
      </c>
      <c r="J340" s="10" t="inlineStr">
        <is>
          <t>13:20</t>
        </is>
      </c>
      <c r="K340" s="10" t="inlineStr">
        <is>
          <t>On time</t>
        </is>
      </c>
      <c r="L340" s="6" t="n">
        <v>0</v>
      </c>
      <c r="M340" s="10" t="n"/>
      <c r="N340" s="6" t="n">
        <v>38</v>
      </c>
      <c r="O340" s="6" t="n">
        <v>4104</v>
      </c>
      <c r="P340" s="6" t="n">
        <v>1</v>
      </c>
      <c r="Q340" s="6">
        <f>IF(OR(K340="On time",K340="Late",K340="Very late"),1,0)</f>
        <v/>
      </c>
    </row>
    <row r="341">
      <c r="A341" s="10" t="inlineStr">
        <is>
          <t>DN318550</t>
        </is>
      </c>
      <c r="B341" s="10" t="inlineStr">
        <is>
          <t>SO62279</t>
        </is>
      </c>
      <c r="C341" s="10" t="inlineStr">
        <is>
          <t>C11186</t>
        </is>
      </c>
      <c r="D341" s="10">
        <f>INDEX(Customers!$B:$B,MATCH(C341,Customers!$A:$A,0))</f>
        <v/>
      </c>
      <c r="E341" s="10">
        <f>INDEX(Customers!$D:$D,MATCH(C341,Customers!$A:$A,0))</f>
        <v/>
      </c>
      <c r="F341" s="10" t="inlineStr">
        <is>
          <t>Own trucks</t>
        </is>
      </c>
      <c r="G341" s="5" t="n">
        <v>46247</v>
      </c>
      <c r="H341" s="5" t="n">
        <v>46248</v>
      </c>
      <c r="I341" s="5" t="n">
        <v>46248</v>
      </c>
      <c r="J341" s="10" t="inlineStr">
        <is>
          <t>15:10</t>
        </is>
      </c>
      <c r="K341" s="10" t="inlineStr">
        <is>
          <t>On time</t>
        </is>
      </c>
      <c r="L341" s="6" t="n">
        <v>0</v>
      </c>
      <c r="M341" s="10" t="n"/>
      <c r="N341" s="6" t="n">
        <v>30</v>
      </c>
      <c r="O341" s="6" t="n">
        <v>2910</v>
      </c>
      <c r="P341" s="6" t="n">
        <v>1</v>
      </c>
      <c r="Q341" s="6">
        <f>IF(OR(K341="On time",K341="Late",K341="Very late"),1,0)</f>
        <v/>
      </c>
    </row>
    <row r="342">
      <c r="A342" s="10" t="inlineStr">
        <is>
          <t>DN318551</t>
        </is>
      </c>
      <c r="B342" s="10" t="inlineStr">
        <is>
          <t>SO62280</t>
        </is>
      </c>
      <c r="C342" s="10" t="inlineStr">
        <is>
          <t>C11247</t>
        </is>
      </c>
      <c r="D342" s="10">
        <f>INDEX(Customers!$B:$B,MATCH(C342,Customers!$A:$A,0))</f>
        <v/>
      </c>
      <c r="E342" s="10">
        <f>INDEX(Customers!$D:$D,MATCH(C342,Customers!$A:$A,0))</f>
        <v/>
      </c>
      <c r="F342" s="10" t="inlineStr">
        <is>
          <t>Own trucks</t>
        </is>
      </c>
      <c r="G342" s="5" t="n">
        <v>46247</v>
      </c>
      <c r="H342" s="5" t="n">
        <v>46248</v>
      </c>
      <c r="I342" s="5" t="n">
        <v>46248</v>
      </c>
      <c r="J342" s="10" t="inlineStr">
        <is>
          <t>11:30</t>
        </is>
      </c>
      <c r="K342" s="10" t="inlineStr">
        <is>
          <t>On time</t>
        </is>
      </c>
      <c r="L342" s="6" t="n">
        <v>0</v>
      </c>
      <c r="M342" s="10" t="n"/>
      <c r="N342" s="6" t="n">
        <v>32</v>
      </c>
      <c r="O342" s="6" t="n">
        <v>4480</v>
      </c>
      <c r="P342" s="6" t="n">
        <v>1</v>
      </c>
      <c r="Q342" s="6">
        <f>IF(OR(K342="On time",K342="Late",K342="Very late"),1,0)</f>
        <v/>
      </c>
    </row>
    <row r="343">
      <c r="A343" s="10" t="inlineStr">
        <is>
          <t>DN318553</t>
        </is>
      </c>
      <c r="B343" s="10" t="inlineStr">
        <is>
          <t>SO62282</t>
        </is>
      </c>
      <c r="C343" s="10" t="inlineStr">
        <is>
          <t>C11264</t>
        </is>
      </c>
      <c r="D343" s="10">
        <f>INDEX(Customers!$B:$B,MATCH(C343,Customers!$A:$A,0))</f>
        <v/>
      </c>
      <c r="E343" s="10">
        <f>INDEX(Customers!$D:$D,MATCH(C343,Customers!$A:$A,0))</f>
        <v/>
      </c>
      <c r="F343" s="10" t="inlineStr">
        <is>
          <t>Own trucks</t>
        </is>
      </c>
      <c r="G343" s="5" t="n">
        <v>46247</v>
      </c>
      <c r="H343" s="5" t="n">
        <v>46248</v>
      </c>
      <c r="I343" s="5" t="n">
        <v>46248</v>
      </c>
      <c r="J343" s="10" t="inlineStr">
        <is>
          <t>10:30</t>
        </is>
      </c>
      <c r="K343" s="10" t="inlineStr">
        <is>
          <t>On time</t>
        </is>
      </c>
      <c r="L343" s="6" t="n">
        <v>0</v>
      </c>
      <c r="M343" s="10" t="n"/>
      <c r="N343" s="6" t="n">
        <v>26</v>
      </c>
      <c r="O343" s="6" t="n">
        <v>2054</v>
      </c>
      <c r="P343" s="6" t="n">
        <v>0</v>
      </c>
      <c r="Q343" s="6">
        <f>IF(OR(K343="On time",K343="Late",K343="Very late"),1,0)</f>
        <v/>
      </c>
    </row>
    <row r="344">
      <c r="A344" s="10" t="inlineStr">
        <is>
          <t>DN318554</t>
        </is>
      </c>
      <c r="B344" s="10" t="inlineStr">
        <is>
          <t>SO62283</t>
        </is>
      </c>
      <c r="C344" s="10" t="inlineStr">
        <is>
          <t>C11314</t>
        </is>
      </c>
      <c r="D344" s="10">
        <f>INDEX(Customers!$B:$B,MATCH(C344,Customers!$A:$A,0))</f>
        <v/>
      </c>
      <c r="E344" s="10">
        <f>INDEX(Customers!$D:$D,MATCH(C344,Customers!$A:$A,0))</f>
        <v/>
      </c>
      <c r="F344" s="10" t="inlineStr">
        <is>
          <t>Own trucks</t>
        </is>
      </c>
      <c r="G344" s="5" t="n">
        <v>46247</v>
      </c>
      <c r="H344" s="5" t="n">
        <v>46248</v>
      </c>
      <c r="I344" s="5" t="n">
        <v>46248</v>
      </c>
      <c r="J344" s="10" t="inlineStr">
        <is>
          <t>13:00</t>
        </is>
      </c>
      <c r="K344" s="10" t="inlineStr">
        <is>
          <t>On time</t>
        </is>
      </c>
      <c r="L344" s="6" t="n">
        <v>0</v>
      </c>
      <c r="M344" s="10" t="n"/>
      <c r="N344" s="6" t="n">
        <v>37</v>
      </c>
      <c r="O344" s="6" t="n">
        <v>2442</v>
      </c>
      <c r="P344" s="6" t="n">
        <v>1</v>
      </c>
      <c r="Q344" s="6">
        <f>IF(OR(K344="On time",K344="Late",K344="Very late"),1,0)</f>
        <v/>
      </c>
    </row>
    <row r="345">
      <c r="A345" s="10" t="inlineStr">
        <is>
          <t>DN318555</t>
        </is>
      </c>
      <c r="B345" s="10" t="inlineStr">
        <is>
          <t>SO62285</t>
        </is>
      </c>
      <c r="C345" s="10" t="inlineStr">
        <is>
          <t>C11333</t>
        </is>
      </c>
      <c r="D345" s="10">
        <f>INDEX(Customers!$B:$B,MATCH(C345,Customers!$A:$A,0))</f>
        <v/>
      </c>
      <c r="E345" s="10">
        <f>INDEX(Customers!$D:$D,MATCH(C345,Customers!$A:$A,0))</f>
        <v/>
      </c>
      <c r="F345" s="10" t="inlineStr">
        <is>
          <t>Own trucks</t>
        </is>
      </c>
      <c r="G345" s="5" t="n">
        <v>46247</v>
      </c>
      <c r="H345" s="5" t="n">
        <v>46248</v>
      </c>
      <c r="I345" s="5" t="n">
        <v>46248</v>
      </c>
      <c r="J345" s="10" t="inlineStr">
        <is>
          <t>10:00</t>
        </is>
      </c>
      <c r="K345" s="10" t="inlineStr">
        <is>
          <t>On time</t>
        </is>
      </c>
      <c r="L345" s="6" t="n">
        <v>0</v>
      </c>
      <c r="M345" s="10" t="n"/>
      <c r="N345" s="6" t="n">
        <v>32</v>
      </c>
      <c r="O345" s="6" t="n">
        <v>3936</v>
      </c>
      <c r="P345" s="6" t="n">
        <v>1</v>
      </c>
      <c r="Q345" s="6">
        <f>IF(OR(K345="On time",K345="Late",K345="Very late"),1,0)</f>
        <v/>
      </c>
    </row>
    <row r="346">
      <c r="A346" s="10" t="inlineStr">
        <is>
          <t>DN318556</t>
        </is>
      </c>
      <c r="B346" s="10" t="inlineStr">
        <is>
          <t>SO62286</t>
        </is>
      </c>
      <c r="C346" s="10" t="inlineStr">
        <is>
          <t>C11400</t>
        </is>
      </c>
      <c r="D346" s="10">
        <f>INDEX(Customers!$B:$B,MATCH(C346,Customers!$A:$A,0))</f>
        <v/>
      </c>
      <c r="E346" s="10">
        <f>INDEX(Customers!$D:$D,MATCH(C346,Customers!$A:$A,0))</f>
        <v/>
      </c>
      <c r="F346" s="10" t="inlineStr">
        <is>
          <t>Own trucks</t>
        </is>
      </c>
      <c r="G346" s="5" t="n">
        <v>46247</v>
      </c>
      <c r="H346" s="5" t="n">
        <v>46248</v>
      </c>
      <c r="I346" s="5" t="n">
        <v>46248</v>
      </c>
      <c r="J346" s="10" t="inlineStr">
        <is>
          <t>11:40</t>
        </is>
      </c>
      <c r="K346" s="10" t="inlineStr">
        <is>
          <t>On time</t>
        </is>
      </c>
      <c r="L346" s="6" t="n">
        <v>0</v>
      </c>
      <c r="M346" s="10" t="n"/>
      <c r="N346" s="6" t="n">
        <v>9</v>
      </c>
      <c r="O346" s="6" t="n">
        <v>918</v>
      </c>
      <c r="P346" s="6" t="n">
        <v>1</v>
      </c>
      <c r="Q346" s="6">
        <f>IF(OR(K346="On time",K346="Late",K346="Very late"),1,0)</f>
        <v/>
      </c>
    </row>
    <row r="347">
      <c r="A347" s="10" t="inlineStr">
        <is>
          <t>DN318557</t>
        </is>
      </c>
      <c r="B347" s="10" t="inlineStr">
        <is>
          <t>SO62288</t>
        </is>
      </c>
      <c r="C347" s="10" t="inlineStr">
        <is>
          <t>C11463</t>
        </is>
      </c>
      <c r="D347" s="10">
        <f>INDEX(Customers!$B:$B,MATCH(C347,Customers!$A:$A,0))</f>
        <v/>
      </c>
      <c r="E347" s="10">
        <f>INDEX(Customers!$D:$D,MATCH(C347,Customers!$A:$A,0))</f>
        <v/>
      </c>
      <c r="F347" s="10" t="inlineStr">
        <is>
          <t>Own trucks</t>
        </is>
      </c>
      <c r="G347" s="5" t="n">
        <v>46247</v>
      </c>
      <c r="H347" s="5" t="n">
        <v>46248</v>
      </c>
      <c r="I347" s="5" t="n">
        <v>46248</v>
      </c>
      <c r="J347" s="10" t="inlineStr">
        <is>
          <t>14:00</t>
        </is>
      </c>
      <c r="K347" s="10" t="inlineStr">
        <is>
          <t>On time</t>
        </is>
      </c>
      <c r="L347" s="6" t="n">
        <v>0</v>
      </c>
      <c r="M347" s="10" t="n"/>
      <c r="N347" s="6" t="n">
        <v>31</v>
      </c>
      <c r="O347" s="6" t="n">
        <v>3689</v>
      </c>
      <c r="P347" s="6" t="n">
        <v>1</v>
      </c>
      <c r="Q347" s="6">
        <f>IF(OR(K347="On time",K347="Late",K347="Very late"),1,0)</f>
        <v/>
      </c>
    </row>
    <row r="348">
      <c r="A348" s="10" t="inlineStr">
        <is>
          <t>DN318558</t>
        </is>
      </c>
      <c r="B348" s="10" t="inlineStr">
        <is>
          <t>SO62289</t>
        </is>
      </c>
      <c r="C348" s="10" t="inlineStr">
        <is>
          <t>C11518</t>
        </is>
      </c>
      <c r="D348" s="10">
        <f>INDEX(Customers!$B:$B,MATCH(C348,Customers!$A:$A,0))</f>
        <v/>
      </c>
      <c r="E348" s="10">
        <f>INDEX(Customers!$D:$D,MATCH(C348,Customers!$A:$A,0))</f>
        <v/>
      </c>
      <c r="F348" s="10" t="inlineStr">
        <is>
          <t>Own trucks</t>
        </is>
      </c>
      <c r="G348" s="5" t="n">
        <v>46247</v>
      </c>
      <c r="H348" s="5" t="n">
        <v>46248</v>
      </c>
      <c r="I348" s="5" t="n">
        <v>46248</v>
      </c>
      <c r="J348" s="10" t="inlineStr">
        <is>
          <t>10:50</t>
        </is>
      </c>
      <c r="K348" s="10" t="inlineStr">
        <is>
          <t>On time</t>
        </is>
      </c>
      <c r="L348" s="6" t="n">
        <v>0</v>
      </c>
      <c r="M348" s="10" t="n"/>
      <c r="N348" s="6" t="n">
        <v>7</v>
      </c>
      <c r="O348" s="6" t="n">
        <v>791</v>
      </c>
      <c r="P348" s="6" t="n">
        <v>1</v>
      </c>
      <c r="Q348" s="6">
        <f>IF(OR(K348="On time",K348="Late",K348="Very late"),1,0)</f>
        <v/>
      </c>
    </row>
    <row r="349">
      <c r="A349" s="10" t="inlineStr">
        <is>
          <t>DN318559</t>
        </is>
      </c>
      <c r="B349" s="10" t="inlineStr">
        <is>
          <t>SO62290</t>
        </is>
      </c>
      <c r="C349" s="10" t="inlineStr">
        <is>
          <t>C11579</t>
        </is>
      </c>
      <c r="D349" s="10">
        <f>INDEX(Customers!$B:$B,MATCH(C349,Customers!$A:$A,0))</f>
        <v/>
      </c>
      <c r="E349" s="10">
        <f>INDEX(Customers!$D:$D,MATCH(C349,Customers!$A:$A,0))</f>
        <v/>
      </c>
      <c r="F349" s="10" t="inlineStr">
        <is>
          <t>Own trucks</t>
        </is>
      </c>
      <c r="G349" s="5" t="n">
        <v>46247</v>
      </c>
      <c r="H349" s="5" t="n">
        <v>46248</v>
      </c>
      <c r="I349" s="5" t="n">
        <v>46248</v>
      </c>
      <c r="J349" s="10" t="inlineStr">
        <is>
          <t>09:30</t>
        </is>
      </c>
      <c r="K349" s="10" t="inlineStr">
        <is>
          <t>On time</t>
        </is>
      </c>
      <c r="L349" s="6" t="n">
        <v>0</v>
      </c>
      <c r="M349" s="10" t="n"/>
      <c r="N349" s="6" t="n">
        <v>12</v>
      </c>
      <c r="O349" s="6" t="n">
        <v>1224</v>
      </c>
      <c r="P349" s="6" t="n">
        <v>1</v>
      </c>
      <c r="Q349" s="6">
        <f>IF(OR(K349="On time",K349="Late",K349="Very late"),1,0)</f>
        <v/>
      </c>
    </row>
    <row r="350">
      <c r="A350" s="10" t="inlineStr">
        <is>
          <t>DN318560</t>
        </is>
      </c>
      <c r="B350" s="10" t="inlineStr">
        <is>
          <t>SO62291</t>
        </is>
      </c>
      <c r="C350" s="10" t="inlineStr">
        <is>
          <t>C11616</t>
        </is>
      </c>
      <c r="D350" s="10">
        <f>INDEX(Customers!$B:$B,MATCH(C350,Customers!$A:$A,0))</f>
        <v/>
      </c>
      <c r="E350" s="10">
        <f>INDEX(Customers!$D:$D,MATCH(C350,Customers!$A:$A,0))</f>
        <v/>
      </c>
      <c r="F350" s="10" t="inlineStr">
        <is>
          <t>Own trucks</t>
        </is>
      </c>
      <c r="G350" s="5" t="n">
        <v>46247</v>
      </c>
      <c r="H350" s="5" t="n">
        <v>46248</v>
      </c>
      <c r="I350" s="5" t="n">
        <v>46248</v>
      </c>
      <c r="J350" s="10" t="inlineStr">
        <is>
          <t>13:20</t>
        </is>
      </c>
      <c r="K350" s="10" t="inlineStr">
        <is>
          <t>On time</t>
        </is>
      </c>
      <c r="L350" s="6" t="n">
        <v>0</v>
      </c>
      <c r="M350" s="10" t="n"/>
      <c r="N350" s="6" t="n">
        <v>9</v>
      </c>
      <c r="O350" s="6" t="n">
        <v>999</v>
      </c>
      <c r="P350" s="6" t="n">
        <v>1</v>
      </c>
      <c r="Q350" s="6">
        <f>IF(OR(K350="On time",K350="Late",K350="Very late"),1,0)</f>
        <v/>
      </c>
    </row>
    <row r="351">
      <c r="A351" s="10" t="inlineStr">
        <is>
          <t>DN318561</t>
        </is>
      </c>
      <c r="B351" s="10" t="inlineStr">
        <is>
          <t>SO62292</t>
        </is>
      </c>
      <c r="C351" s="10" t="inlineStr">
        <is>
          <t>C11666</t>
        </is>
      </c>
      <c r="D351" s="10">
        <f>INDEX(Customers!$B:$B,MATCH(C351,Customers!$A:$A,0))</f>
        <v/>
      </c>
      <c r="E351" s="10">
        <f>INDEX(Customers!$D:$D,MATCH(C351,Customers!$A:$A,0))</f>
        <v/>
      </c>
      <c r="F351" s="10" t="inlineStr">
        <is>
          <t>Own trucks</t>
        </is>
      </c>
      <c r="G351" s="5" t="n">
        <v>46247</v>
      </c>
      <c r="H351" s="5" t="n">
        <v>46248</v>
      </c>
      <c r="I351" s="5" t="n">
        <v>46248</v>
      </c>
      <c r="J351" s="10" t="inlineStr">
        <is>
          <t>07:00</t>
        </is>
      </c>
      <c r="K351" s="10" t="inlineStr">
        <is>
          <t>On time</t>
        </is>
      </c>
      <c r="L351" s="6" t="n">
        <v>0</v>
      </c>
      <c r="M351" s="10" t="n"/>
      <c r="N351" s="6" t="n">
        <v>7</v>
      </c>
      <c r="O351" s="6" t="n">
        <v>504</v>
      </c>
      <c r="P351" s="6" t="n">
        <v>1</v>
      </c>
      <c r="Q351" s="6">
        <f>IF(OR(K351="On time",K351="Late",K351="Very late"),1,0)</f>
        <v/>
      </c>
    </row>
    <row r="352">
      <c r="A352" s="10" t="inlineStr">
        <is>
          <t>DN318562</t>
        </is>
      </c>
      <c r="B352" s="10" t="inlineStr">
        <is>
          <t>SO62293</t>
        </is>
      </c>
      <c r="C352" s="10" t="inlineStr">
        <is>
          <t>C11745</t>
        </is>
      </c>
      <c r="D352" s="10">
        <f>INDEX(Customers!$B:$B,MATCH(C352,Customers!$A:$A,0))</f>
        <v/>
      </c>
      <c r="E352" s="10">
        <f>INDEX(Customers!$D:$D,MATCH(C352,Customers!$A:$A,0))</f>
        <v/>
      </c>
      <c r="F352" s="10" t="inlineStr">
        <is>
          <t>Own trucks</t>
        </is>
      </c>
      <c r="G352" s="5" t="n">
        <v>46247</v>
      </c>
      <c r="H352" s="5" t="n">
        <v>46248</v>
      </c>
      <c r="I352" s="5" t="n">
        <v>46248</v>
      </c>
      <c r="J352" s="10" t="inlineStr">
        <is>
          <t>14:40</t>
        </is>
      </c>
      <c r="K352" s="10" t="inlineStr">
        <is>
          <t>On time</t>
        </is>
      </c>
      <c r="L352" s="6" t="n">
        <v>0</v>
      </c>
      <c r="M352" s="10" t="n"/>
      <c r="N352" s="6" t="n">
        <v>31</v>
      </c>
      <c r="O352" s="6" t="n">
        <v>2511</v>
      </c>
      <c r="P352" s="6" t="n">
        <v>1</v>
      </c>
      <c r="Q352" s="6">
        <f>IF(OR(K352="On time",K352="Late",K352="Very late"),1,0)</f>
        <v/>
      </c>
    </row>
    <row r="353">
      <c r="A353" s="10" t="inlineStr">
        <is>
          <t>DN318563</t>
        </is>
      </c>
      <c r="B353" s="10" t="inlineStr">
        <is>
          <t>SO62294</t>
        </is>
      </c>
      <c r="C353" s="10" t="inlineStr">
        <is>
          <t>C11798</t>
        </is>
      </c>
      <c r="D353" s="10">
        <f>INDEX(Customers!$B:$B,MATCH(C353,Customers!$A:$A,0))</f>
        <v/>
      </c>
      <c r="E353" s="10">
        <f>INDEX(Customers!$D:$D,MATCH(C353,Customers!$A:$A,0))</f>
        <v/>
      </c>
      <c r="F353" s="10" t="inlineStr">
        <is>
          <t>Carrier A</t>
        </is>
      </c>
      <c r="G353" s="5" t="n">
        <v>46247</v>
      </c>
      <c r="H353" s="5" t="n">
        <v>46248</v>
      </c>
      <c r="I353" s="5" t="n">
        <v>46248</v>
      </c>
      <c r="J353" s="10" t="inlineStr">
        <is>
          <t>14:00</t>
        </is>
      </c>
      <c r="K353" s="10" t="inlineStr">
        <is>
          <t>On time</t>
        </is>
      </c>
      <c r="L353" s="6" t="n">
        <v>0</v>
      </c>
      <c r="M353" s="10" t="n"/>
      <c r="N353" s="6" t="n">
        <v>26</v>
      </c>
      <c r="O353" s="6" t="n">
        <v>3380</v>
      </c>
      <c r="P353" s="6" t="n">
        <v>1</v>
      </c>
      <c r="Q353" s="6">
        <f>IF(OR(K353="On time",K353="Late",K353="Very late"),1,0)</f>
        <v/>
      </c>
    </row>
    <row r="354">
      <c r="A354" s="10" t="inlineStr">
        <is>
          <t>DN318564</t>
        </is>
      </c>
      <c r="B354" s="10" t="inlineStr">
        <is>
          <t>SO62295</t>
        </is>
      </c>
      <c r="C354" s="10" t="inlineStr">
        <is>
          <t>C11866</t>
        </is>
      </c>
      <c r="D354" s="10">
        <f>INDEX(Customers!$B:$B,MATCH(C354,Customers!$A:$A,0))</f>
        <v/>
      </c>
      <c r="E354" s="10">
        <f>INDEX(Customers!$D:$D,MATCH(C354,Customers!$A:$A,0))</f>
        <v/>
      </c>
      <c r="F354" s="10" t="inlineStr">
        <is>
          <t>Carrier A</t>
        </is>
      </c>
      <c r="G354" s="5" t="n">
        <v>46247</v>
      </c>
      <c r="H354" s="5" t="n">
        <v>46248</v>
      </c>
      <c r="I354" s="5" t="n">
        <v>46248</v>
      </c>
      <c r="J354" s="10" t="inlineStr">
        <is>
          <t>16:00</t>
        </is>
      </c>
      <c r="K354" s="10" t="inlineStr">
        <is>
          <t>On time</t>
        </is>
      </c>
      <c r="L354" s="6" t="n">
        <v>0</v>
      </c>
      <c r="M354" s="10" t="n"/>
      <c r="N354" s="6" t="n">
        <v>38</v>
      </c>
      <c r="O354" s="6" t="n">
        <v>4560</v>
      </c>
      <c r="P354" s="6" t="n">
        <v>1</v>
      </c>
      <c r="Q354" s="6">
        <f>IF(OR(K354="On time",K354="Late",K354="Very late"),1,0)</f>
        <v/>
      </c>
    </row>
    <row r="355">
      <c r="A355" s="10" t="inlineStr">
        <is>
          <t>DN318565</t>
        </is>
      </c>
      <c r="B355" s="10" t="inlineStr">
        <is>
          <t>SO62297</t>
        </is>
      </c>
      <c r="C355" s="10" t="inlineStr">
        <is>
          <t>C11950</t>
        </is>
      </c>
      <c r="D355" s="10">
        <f>INDEX(Customers!$B:$B,MATCH(C355,Customers!$A:$A,0))</f>
        <v/>
      </c>
      <c r="E355" s="10">
        <f>INDEX(Customers!$D:$D,MATCH(C355,Customers!$A:$A,0))</f>
        <v/>
      </c>
      <c r="F355" s="10" t="inlineStr">
        <is>
          <t>Carrier A</t>
        </is>
      </c>
      <c r="G355" s="5" t="n">
        <v>46247</v>
      </c>
      <c r="H355" s="5" t="n">
        <v>46248</v>
      </c>
      <c r="I355" s="5" t="n">
        <v>46248</v>
      </c>
      <c r="J355" s="10" t="inlineStr">
        <is>
          <t>10:50</t>
        </is>
      </c>
      <c r="K355" s="10" t="inlineStr">
        <is>
          <t>On time</t>
        </is>
      </c>
      <c r="L355" s="6" t="n">
        <v>0</v>
      </c>
      <c r="M355" s="10" t="n"/>
      <c r="N355" s="6" t="n">
        <v>32</v>
      </c>
      <c r="O355" s="6" t="n">
        <v>4064</v>
      </c>
      <c r="P355" s="6" t="n">
        <v>1</v>
      </c>
      <c r="Q355" s="6">
        <f>IF(OR(K355="On time",K355="Late",K355="Very late"),1,0)</f>
        <v/>
      </c>
    </row>
    <row r="356">
      <c r="A356" s="10" t="inlineStr">
        <is>
          <t>DN318566</t>
        </is>
      </c>
      <c r="B356" s="10" t="inlineStr">
        <is>
          <t>SO62298</t>
        </is>
      </c>
      <c r="C356" s="10" t="inlineStr">
        <is>
          <t>C11971</t>
        </is>
      </c>
      <c r="D356" s="10">
        <f>INDEX(Customers!$B:$B,MATCH(C356,Customers!$A:$A,0))</f>
        <v/>
      </c>
      <c r="E356" s="10">
        <f>INDEX(Customers!$D:$D,MATCH(C356,Customers!$A:$A,0))</f>
        <v/>
      </c>
      <c r="F356" s="10" t="inlineStr">
        <is>
          <t>Own trucks</t>
        </is>
      </c>
      <c r="G356" s="5" t="n">
        <v>46247</v>
      </c>
      <c r="H356" s="5" t="n">
        <v>46248</v>
      </c>
      <c r="I356" s="5" t="n">
        <v>46248</v>
      </c>
      <c r="J356" s="10" t="inlineStr">
        <is>
          <t>16:30</t>
        </is>
      </c>
      <c r="K356" s="10" t="inlineStr">
        <is>
          <t>On time</t>
        </is>
      </c>
      <c r="L356" s="6" t="n">
        <v>0</v>
      </c>
      <c r="M356" s="10" t="n"/>
      <c r="N356" s="6" t="n">
        <v>12</v>
      </c>
      <c r="O356" s="6" t="n">
        <v>864</v>
      </c>
      <c r="P356" s="6" t="n">
        <v>1</v>
      </c>
      <c r="Q356" s="6">
        <f>IF(OR(K356="On time",K356="Late",K356="Very late"),1,0)</f>
        <v/>
      </c>
    </row>
    <row r="357">
      <c r="A357" s="10" t="inlineStr">
        <is>
          <t>DN318567</t>
        </is>
      </c>
      <c r="B357" s="10" t="inlineStr">
        <is>
          <t>SO62300</t>
        </is>
      </c>
      <c r="C357" s="10" t="inlineStr">
        <is>
          <t>C12103</t>
        </is>
      </c>
      <c r="D357" s="10">
        <f>INDEX(Customers!$B:$B,MATCH(C357,Customers!$A:$A,0))</f>
        <v/>
      </c>
      <c r="E357" s="10">
        <f>INDEX(Customers!$D:$D,MATCH(C357,Customers!$A:$A,0))</f>
        <v/>
      </c>
      <c r="F357" s="10" t="inlineStr">
        <is>
          <t>Own trucks</t>
        </is>
      </c>
      <c r="G357" s="5" t="n">
        <v>46247</v>
      </c>
      <c r="H357" s="5" t="n">
        <v>46248</v>
      </c>
      <c r="I357" s="5" t="n">
        <v>46248</v>
      </c>
      <c r="J357" s="10" t="inlineStr">
        <is>
          <t>15:20</t>
        </is>
      </c>
      <c r="K357" s="10" t="inlineStr">
        <is>
          <t>On time</t>
        </is>
      </c>
      <c r="L357" s="6" t="n">
        <v>0</v>
      </c>
      <c r="M357" s="10" t="n"/>
      <c r="N357" s="6" t="n">
        <v>37</v>
      </c>
      <c r="O357" s="6" t="n">
        <v>2146</v>
      </c>
      <c r="P357" s="6" t="n">
        <v>1</v>
      </c>
      <c r="Q357" s="6">
        <f>IF(OR(K357="On time",K357="Late",K357="Very late"),1,0)</f>
        <v/>
      </c>
    </row>
    <row r="358">
      <c r="A358" s="10" t="inlineStr">
        <is>
          <t>DN318568</t>
        </is>
      </c>
      <c r="B358" s="10" t="inlineStr">
        <is>
          <t>SO62302</t>
        </is>
      </c>
      <c r="C358" s="10" t="inlineStr">
        <is>
          <t>C12239</t>
        </is>
      </c>
      <c r="D358" s="10">
        <f>INDEX(Customers!$B:$B,MATCH(C358,Customers!$A:$A,0))</f>
        <v/>
      </c>
      <c r="E358" s="10">
        <f>INDEX(Customers!$D:$D,MATCH(C358,Customers!$A:$A,0))</f>
        <v/>
      </c>
      <c r="F358" s="10" t="inlineStr">
        <is>
          <t>Carrier B</t>
        </is>
      </c>
      <c r="G358" s="5" t="n">
        <v>46247</v>
      </c>
      <c r="H358" s="5" t="n">
        <v>46248</v>
      </c>
      <c r="I358" s="5" t="n">
        <v>46248</v>
      </c>
      <c r="J358" s="10" t="inlineStr">
        <is>
          <t>07:20</t>
        </is>
      </c>
      <c r="K358" s="10" t="inlineStr">
        <is>
          <t>On time</t>
        </is>
      </c>
      <c r="L358" s="6" t="n">
        <v>0</v>
      </c>
      <c r="M358" s="10" t="n"/>
      <c r="N358" s="6" t="n">
        <v>15</v>
      </c>
      <c r="O358" s="6" t="n">
        <v>1965</v>
      </c>
      <c r="P358" s="6" t="n">
        <v>1</v>
      </c>
      <c r="Q358" s="6">
        <f>IF(OR(K358="On time",K358="Late",K358="Very late"),1,0)</f>
        <v/>
      </c>
    </row>
    <row r="359">
      <c r="A359" s="10" t="inlineStr">
        <is>
          <t>DN318569</t>
        </is>
      </c>
      <c r="B359" s="10" t="inlineStr">
        <is>
          <t>SO62303</t>
        </is>
      </c>
      <c r="C359" s="10" t="inlineStr">
        <is>
          <t>C12262</t>
        </is>
      </c>
      <c r="D359" s="10">
        <f>INDEX(Customers!$B:$B,MATCH(C359,Customers!$A:$A,0))</f>
        <v/>
      </c>
      <c r="E359" s="10">
        <f>INDEX(Customers!$D:$D,MATCH(C359,Customers!$A:$A,0))</f>
        <v/>
      </c>
      <c r="F359" s="10" t="inlineStr">
        <is>
          <t>Carrier B</t>
        </is>
      </c>
      <c r="G359" s="5" t="n">
        <v>46247</v>
      </c>
      <c r="H359" s="5" t="n">
        <v>46248</v>
      </c>
      <c r="I359" s="5" t="n">
        <v>46248</v>
      </c>
      <c r="J359" s="10" t="inlineStr">
        <is>
          <t>11:20</t>
        </is>
      </c>
      <c r="K359" s="10" t="inlineStr">
        <is>
          <t>On time</t>
        </is>
      </c>
      <c r="L359" s="6" t="n">
        <v>0</v>
      </c>
      <c r="M359" s="10" t="n"/>
      <c r="N359" s="6" t="n">
        <v>2</v>
      </c>
      <c r="O359" s="6" t="n">
        <v>148</v>
      </c>
      <c r="P359" s="6" t="n">
        <v>1</v>
      </c>
      <c r="Q359" s="6">
        <f>IF(OR(K359="On time",K359="Late",K359="Very late"),1,0)</f>
        <v/>
      </c>
    </row>
    <row r="360">
      <c r="A360" s="10" t="inlineStr">
        <is>
          <t>DN318570</t>
        </is>
      </c>
      <c r="B360" s="10" t="inlineStr">
        <is>
          <t>SO62304</t>
        </is>
      </c>
      <c r="C360" s="10" t="inlineStr">
        <is>
          <t>C12305</t>
        </is>
      </c>
      <c r="D360" s="10">
        <f>INDEX(Customers!$B:$B,MATCH(C360,Customers!$A:$A,0))</f>
        <v/>
      </c>
      <c r="E360" s="10">
        <f>INDEX(Customers!$D:$D,MATCH(C360,Customers!$A:$A,0))</f>
        <v/>
      </c>
      <c r="F360" s="10" t="inlineStr">
        <is>
          <t>Carrier B</t>
        </is>
      </c>
      <c r="G360" s="5" t="n">
        <v>46247</v>
      </c>
      <c r="H360" s="5" t="n">
        <v>46248</v>
      </c>
      <c r="I360" s="5" t="n">
        <v>46248</v>
      </c>
      <c r="J360" s="10" t="inlineStr">
        <is>
          <t>14:30</t>
        </is>
      </c>
      <c r="K360" s="10" t="inlineStr">
        <is>
          <t>On time</t>
        </is>
      </c>
      <c r="L360" s="6" t="n">
        <v>0</v>
      </c>
      <c r="M360" s="10" t="n"/>
      <c r="N360" s="6" t="n">
        <v>17</v>
      </c>
      <c r="O360" s="6" t="n">
        <v>2091</v>
      </c>
      <c r="P360" s="6" t="n">
        <v>1</v>
      </c>
      <c r="Q360" s="6">
        <f>IF(OR(K360="On time",K360="Late",K360="Very late"),1,0)</f>
        <v/>
      </c>
    </row>
    <row r="361">
      <c r="A361" s="10" t="inlineStr">
        <is>
          <t>DN318571</t>
        </is>
      </c>
      <c r="B361" s="10" t="inlineStr">
        <is>
          <t>SO62305</t>
        </is>
      </c>
      <c r="C361" s="10" t="inlineStr">
        <is>
          <t>C12365</t>
        </is>
      </c>
      <c r="D361" s="10">
        <f>INDEX(Customers!$B:$B,MATCH(C361,Customers!$A:$A,0))</f>
        <v/>
      </c>
      <c r="E361" s="10">
        <f>INDEX(Customers!$D:$D,MATCH(C361,Customers!$A:$A,0))</f>
        <v/>
      </c>
      <c r="F361" s="10" t="inlineStr">
        <is>
          <t>Carrier B</t>
        </is>
      </c>
      <c r="G361" s="5" t="n">
        <v>46247</v>
      </c>
      <c r="H361" s="5" t="n">
        <v>46248</v>
      </c>
      <c r="I361" s="5" t="n">
        <v>46248</v>
      </c>
      <c r="J361" s="10" t="inlineStr">
        <is>
          <t>16:00</t>
        </is>
      </c>
      <c r="K361" s="10" t="inlineStr">
        <is>
          <t>On time</t>
        </is>
      </c>
      <c r="L361" s="6" t="n">
        <v>0</v>
      </c>
      <c r="M361" s="10" t="n"/>
      <c r="N361" s="6" t="n">
        <v>20</v>
      </c>
      <c r="O361" s="6" t="n">
        <v>2300</v>
      </c>
      <c r="P361" s="6" t="n">
        <v>1</v>
      </c>
      <c r="Q361" s="6">
        <f>IF(OR(K361="On time",K361="Late",K361="Very late"),1,0)</f>
        <v/>
      </c>
    </row>
    <row r="362">
      <c r="A362" s="10" t="inlineStr">
        <is>
          <t>DN318572</t>
        </is>
      </c>
      <c r="B362" s="10" t="inlineStr">
        <is>
          <t>SO62307</t>
        </is>
      </c>
      <c r="C362" s="10" t="inlineStr">
        <is>
          <t>C12420</t>
        </is>
      </c>
      <c r="D362" s="10">
        <f>INDEX(Customers!$B:$B,MATCH(C362,Customers!$A:$A,0))</f>
        <v/>
      </c>
      <c r="E362" s="10">
        <f>INDEX(Customers!$D:$D,MATCH(C362,Customers!$A:$A,0))</f>
        <v/>
      </c>
      <c r="F362" s="10" t="inlineStr">
        <is>
          <t>Carrier A</t>
        </is>
      </c>
      <c r="G362" s="5" t="n">
        <v>46247</v>
      </c>
      <c r="H362" s="5" t="n">
        <v>46248</v>
      </c>
      <c r="I362" s="5" t="n">
        <v>46248</v>
      </c>
      <c r="J362" s="10" t="inlineStr">
        <is>
          <t>12:00</t>
        </is>
      </c>
      <c r="K362" s="10" t="inlineStr">
        <is>
          <t>On time</t>
        </is>
      </c>
      <c r="L362" s="6" t="n">
        <v>0</v>
      </c>
      <c r="M362" s="10" t="n"/>
      <c r="N362" s="6" t="n">
        <v>18</v>
      </c>
      <c r="O362" s="6" t="n">
        <v>2358</v>
      </c>
      <c r="P362" s="6" t="n">
        <v>1</v>
      </c>
      <c r="Q362" s="6">
        <f>IF(OR(K362="On time",K362="Late",K362="Very late"),1,0)</f>
        <v/>
      </c>
    </row>
    <row r="363">
      <c r="A363" s="10" t="inlineStr">
        <is>
          <t>DN318573</t>
        </is>
      </c>
      <c r="B363" s="10" t="inlineStr">
        <is>
          <t>SO62309</t>
        </is>
      </c>
      <c r="C363" s="10" t="inlineStr">
        <is>
          <t>C12490</t>
        </is>
      </c>
      <c r="D363" s="10">
        <f>INDEX(Customers!$B:$B,MATCH(C363,Customers!$A:$A,0))</f>
        <v/>
      </c>
      <c r="E363" s="10">
        <f>INDEX(Customers!$D:$D,MATCH(C363,Customers!$A:$A,0))</f>
        <v/>
      </c>
      <c r="F363" s="10" t="inlineStr">
        <is>
          <t>Carrier A</t>
        </is>
      </c>
      <c r="G363" s="5" t="n">
        <v>46247</v>
      </c>
      <c r="H363" s="5" t="n">
        <v>46248</v>
      </c>
      <c r="I363" s="5" t="n">
        <v>46248</v>
      </c>
      <c r="J363" s="10" t="inlineStr">
        <is>
          <t>08:30</t>
        </is>
      </c>
      <c r="K363" s="10" t="inlineStr">
        <is>
          <t>On time</t>
        </is>
      </c>
      <c r="L363" s="6" t="n">
        <v>0</v>
      </c>
      <c r="M363" s="10" t="n"/>
      <c r="N363" s="6" t="n">
        <v>12</v>
      </c>
      <c r="O363" s="6" t="n">
        <v>1668</v>
      </c>
      <c r="P363" s="6" t="n">
        <v>1</v>
      </c>
      <c r="Q363" s="6">
        <f>IF(OR(K363="On time",K363="Late",K363="Very late"),1,0)</f>
        <v/>
      </c>
    </row>
    <row r="364">
      <c r="A364" s="10" t="inlineStr">
        <is>
          <t>DN318574</t>
        </is>
      </c>
      <c r="B364" s="10" t="inlineStr">
        <is>
          <t>SO62310</t>
        </is>
      </c>
      <c r="C364" s="10" t="inlineStr">
        <is>
          <t>C12527</t>
        </is>
      </c>
      <c r="D364" s="10">
        <f>INDEX(Customers!$B:$B,MATCH(C364,Customers!$A:$A,0))</f>
        <v/>
      </c>
      <c r="E364" s="10">
        <f>INDEX(Customers!$D:$D,MATCH(C364,Customers!$A:$A,0))</f>
        <v/>
      </c>
      <c r="F364" s="10" t="inlineStr">
        <is>
          <t>Carrier A</t>
        </is>
      </c>
      <c r="G364" s="5" t="n">
        <v>46247</v>
      </c>
      <c r="H364" s="5" t="n">
        <v>46248</v>
      </c>
      <c r="I364" s="5" t="n">
        <v>46248</v>
      </c>
      <c r="J364" s="10" t="inlineStr">
        <is>
          <t>16:10</t>
        </is>
      </c>
      <c r="K364" s="10" t="inlineStr">
        <is>
          <t>On time</t>
        </is>
      </c>
      <c r="L364" s="6" t="n">
        <v>0</v>
      </c>
      <c r="M364" s="10" t="n"/>
      <c r="N364" s="6" t="n">
        <v>9</v>
      </c>
      <c r="O364" s="6" t="n">
        <v>1251</v>
      </c>
      <c r="P364" s="6" t="n">
        <v>1</v>
      </c>
      <c r="Q364" s="6">
        <f>IF(OR(K364="On time",K364="Late",K364="Very late"),1,0)</f>
        <v/>
      </c>
    </row>
    <row r="365">
      <c r="A365" s="10" t="inlineStr">
        <is>
          <t>DN318575</t>
        </is>
      </c>
      <c r="B365" s="10" t="inlineStr">
        <is>
          <t>SO62311</t>
        </is>
      </c>
      <c r="C365" s="10" t="inlineStr">
        <is>
          <t>C12543</t>
        </is>
      </c>
      <c r="D365" s="10">
        <f>INDEX(Customers!$B:$B,MATCH(C365,Customers!$A:$A,0))</f>
        <v/>
      </c>
      <c r="E365" s="10">
        <f>INDEX(Customers!$D:$D,MATCH(C365,Customers!$A:$A,0))</f>
        <v/>
      </c>
      <c r="F365" s="10" t="inlineStr">
        <is>
          <t>Carrier B</t>
        </is>
      </c>
      <c r="G365" s="5" t="n">
        <v>46245</v>
      </c>
      <c r="H365" s="5" t="n">
        <v>46248</v>
      </c>
      <c r="I365" s="5" t="n">
        <v>46248</v>
      </c>
      <c r="J365" s="10" t="inlineStr">
        <is>
          <t>15:50</t>
        </is>
      </c>
      <c r="K365" s="10" t="inlineStr">
        <is>
          <t>On time</t>
        </is>
      </c>
      <c r="L365" s="6" t="n">
        <v>0</v>
      </c>
      <c r="M365" s="10" t="n"/>
      <c r="N365" s="6" t="n">
        <v>33</v>
      </c>
      <c r="O365" s="6" t="n">
        <v>3069</v>
      </c>
      <c r="P365" s="6" t="n">
        <v>1</v>
      </c>
      <c r="Q365" s="6">
        <f>IF(OR(K365="On time",K365="Late",K365="Very late"),1,0)</f>
        <v/>
      </c>
    </row>
    <row r="366">
      <c r="A366" s="10" t="inlineStr">
        <is>
          <t>DN318576</t>
        </is>
      </c>
      <c r="B366" s="10" t="inlineStr">
        <is>
          <t>SO62312</t>
        </is>
      </c>
      <c r="C366" s="10" t="inlineStr">
        <is>
          <t>C12617</t>
        </is>
      </c>
      <c r="D366" s="10">
        <f>INDEX(Customers!$B:$B,MATCH(C366,Customers!$A:$A,0))</f>
        <v/>
      </c>
      <c r="E366" s="10">
        <f>INDEX(Customers!$D:$D,MATCH(C366,Customers!$A:$A,0))</f>
        <v/>
      </c>
      <c r="F366" s="10" t="inlineStr">
        <is>
          <t>Carrier B</t>
        </is>
      </c>
      <c r="G366" s="5" t="n">
        <v>46245</v>
      </c>
      <c r="H366" s="5" t="n">
        <v>46248</v>
      </c>
      <c r="I366" s="5" t="n">
        <v>46248</v>
      </c>
      <c r="J366" s="10" t="inlineStr">
        <is>
          <t>11:50</t>
        </is>
      </c>
      <c r="K366" s="10" t="inlineStr">
        <is>
          <t>On time</t>
        </is>
      </c>
      <c r="L366" s="6" t="n">
        <v>0</v>
      </c>
      <c r="M366" s="10" t="n"/>
      <c r="N366" s="6" t="n">
        <v>22</v>
      </c>
      <c r="O366" s="6" t="n">
        <v>1562</v>
      </c>
      <c r="P366" s="6" t="n">
        <v>1</v>
      </c>
      <c r="Q366" s="6">
        <f>IF(OR(K366="On time",K366="Late",K366="Very late"),1,0)</f>
        <v/>
      </c>
    </row>
    <row r="367">
      <c r="A367" s="10" t="inlineStr">
        <is>
          <t>DN318577</t>
        </is>
      </c>
      <c r="B367" s="10" t="inlineStr">
        <is>
          <t>SO62313</t>
        </is>
      </c>
      <c r="C367" s="10" t="inlineStr">
        <is>
          <t>C12639</t>
        </is>
      </c>
      <c r="D367" s="10">
        <f>INDEX(Customers!$B:$B,MATCH(C367,Customers!$A:$A,0))</f>
        <v/>
      </c>
      <c r="E367" s="10">
        <f>INDEX(Customers!$D:$D,MATCH(C367,Customers!$A:$A,0))</f>
        <v/>
      </c>
      <c r="F367" s="10" t="inlineStr">
        <is>
          <t>Carrier B</t>
        </is>
      </c>
      <c r="G367" s="5" t="n">
        <v>46245</v>
      </c>
      <c r="H367" s="5" t="n">
        <v>46248</v>
      </c>
      <c r="I367" s="5" t="n">
        <v>46251</v>
      </c>
      <c r="J367" s="10" t="inlineStr">
        <is>
          <t>12:00</t>
        </is>
      </c>
      <c r="K367" s="10" t="inlineStr">
        <is>
          <t>Late</t>
        </is>
      </c>
      <c r="L367" s="6" t="n">
        <v>1</v>
      </c>
      <c r="M367" s="10" t="inlineStr">
        <is>
          <t>Carrier delay</t>
        </is>
      </c>
      <c r="N367" s="6" t="n">
        <v>38</v>
      </c>
      <c r="O367" s="6" t="n">
        <v>4218</v>
      </c>
      <c r="P367" s="6" t="n">
        <v>1</v>
      </c>
      <c r="Q367" s="6">
        <f>IF(OR(K367="On time",K367="Late",K367="Very late"),1,0)</f>
        <v/>
      </c>
    </row>
    <row r="368">
      <c r="A368" s="10" t="inlineStr">
        <is>
          <t>DN318578</t>
        </is>
      </c>
      <c r="B368" s="10" t="inlineStr">
        <is>
          <t>SO62314</t>
        </is>
      </c>
      <c r="C368" s="10" t="inlineStr">
        <is>
          <t>C12675</t>
        </is>
      </c>
      <c r="D368" s="10">
        <f>INDEX(Customers!$B:$B,MATCH(C368,Customers!$A:$A,0))</f>
        <v/>
      </c>
      <c r="E368" s="10">
        <f>INDEX(Customers!$D:$D,MATCH(C368,Customers!$A:$A,0))</f>
        <v/>
      </c>
      <c r="F368" s="10" t="inlineStr">
        <is>
          <t>Carrier B</t>
        </is>
      </c>
      <c r="G368" s="5" t="n">
        <v>46245</v>
      </c>
      <c r="H368" s="5" t="n">
        <v>46248</v>
      </c>
      <c r="I368" s="5" t="n">
        <v>46248</v>
      </c>
      <c r="J368" s="10" t="inlineStr">
        <is>
          <t>10:40</t>
        </is>
      </c>
      <c r="K368" s="10" t="inlineStr">
        <is>
          <t>On time</t>
        </is>
      </c>
      <c r="L368" s="6" t="n">
        <v>0</v>
      </c>
      <c r="M368" s="10" t="n"/>
      <c r="N368" s="6" t="n">
        <v>7</v>
      </c>
      <c r="O368" s="6" t="n">
        <v>777</v>
      </c>
      <c r="P368" s="6" t="n">
        <v>1</v>
      </c>
      <c r="Q368" s="6">
        <f>IF(OR(K368="On time",K368="Late",K368="Very late"),1,0)</f>
        <v/>
      </c>
    </row>
    <row r="369">
      <c r="A369" s="10" t="inlineStr">
        <is>
          <t>DN318579</t>
        </is>
      </c>
      <c r="B369" s="10" t="inlineStr">
        <is>
          <t>SO62315</t>
        </is>
      </c>
      <c r="C369" s="10" t="inlineStr">
        <is>
          <t>C10268</t>
        </is>
      </c>
      <c r="D369" s="10">
        <f>INDEX(Customers!$B:$B,MATCH(C369,Customers!$A:$A,0))</f>
        <v/>
      </c>
      <c r="E369" s="10">
        <f>INDEX(Customers!$D:$D,MATCH(C369,Customers!$A:$A,0))</f>
        <v/>
      </c>
      <c r="F369" s="10" t="inlineStr">
        <is>
          <t>Own trucks</t>
        </is>
      </c>
      <c r="G369" s="5" t="n">
        <v>46248</v>
      </c>
      <c r="H369" s="5" t="n">
        <v>46251</v>
      </c>
      <c r="I369" s="5" t="n">
        <v>46251</v>
      </c>
      <c r="J369" s="10" t="inlineStr">
        <is>
          <t>16:20</t>
        </is>
      </c>
      <c r="K369" s="10" t="inlineStr">
        <is>
          <t>On time</t>
        </is>
      </c>
      <c r="L369" s="6" t="n">
        <v>0</v>
      </c>
      <c r="M369" s="10" t="n"/>
      <c r="N369" s="6" t="n">
        <v>26</v>
      </c>
      <c r="O369" s="6" t="n">
        <v>3120</v>
      </c>
      <c r="P369" s="6" t="n">
        <v>1</v>
      </c>
      <c r="Q369" s="6">
        <f>IF(OR(K369="On time",K369="Late",K369="Very late"),1,0)</f>
        <v/>
      </c>
    </row>
    <row r="370">
      <c r="A370" s="10" t="inlineStr">
        <is>
          <t>DN318580</t>
        </is>
      </c>
      <c r="B370" s="10" t="inlineStr">
        <is>
          <t>SO62316</t>
        </is>
      </c>
      <c r="C370" s="10" t="inlineStr">
        <is>
          <t>C10322</t>
        </is>
      </c>
      <c r="D370" s="10">
        <f>INDEX(Customers!$B:$B,MATCH(C370,Customers!$A:$A,0))</f>
        <v/>
      </c>
      <c r="E370" s="10">
        <f>INDEX(Customers!$D:$D,MATCH(C370,Customers!$A:$A,0))</f>
        <v/>
      </c>
      <c r="F370" s="10" t="inlineStr">
        <is>
          <t>Own trucks</t>
        </is>
      </c>
      <c r="G370" s="5" t="n">
        <v>46248</v>
      </c>
      <c r="H370" s="5" t="n">
        <v>46251</v>
      </c>
      <c r="I370" s="5" t="n">
        <v>46251</v>
      </c>
      <c r="J370" s="10" t="inlineStr">
        <is>
          <t>09:00</t>
        </is>
      </c>
      <c r="K370" s="10" t="inlineStr">
        <is>
          <t>On time</t>
        </is>
      </c>
      <c r="L370" s="6" t="n">
        <v>0</v>
      </c>
      <c r="M370" s="10" t="n"/>
      <c r="N370" s="6" t="n">
        <v>3</v>
      </c>
      <c r="O370" s="6" t="n">
        <v>264</v>
      </c>
      <c r="P370" s="6" t="n">
        <v>1</v>
      </c>
      <c r="Q370" s="6">
        <f>IF(OR(K370="On time",K370="Late",K370="Very late"),1,0)</f>
        <v/>
      </c>
    </row>
    <row r="371">
      <c r="A371" s="10" t="inlineStr">
        <is>
          <t>DN318581</t>
        </is>
      </c>
      <c r="B371" s="10" t="inlineStr">
        <is>
          <t>SO62317</t>
        </is>
      </c>
      <c r="C371" s="10" t="inlineStr">
        <is>
          <t>C10343</t>
        </is>
      </c>
      <c r="D371" s="10">
        <f>INDEX(Customers!$B:$B,MATCH(C371,Customers!$A:$A,0))</f>
        <v/>
      </c>
      <c r="E371" s="10">
        <f>INDEX(Customers!$D:$D,MATCH(C371,Customers!$A:$A,0))</f>
        <v/>
      </c>
      <c r="F371" s="10" t="inlineStr">
        <is>
          <t>Own trucks</t>
        </is>
      </c>
      <c r="G371" s="5" t="n">
        <v>46248</v>
      </c>
      <c r="H371" s="5" t="n">
        <v>46251</v>
      </c>
      <c r="I371" s="5" t="n">
        <v>46251</v>
      </c>
      <c r="J371" s="10" t="inlineStr">
        <is>
          <t>11:30</t>
        </is>
      </c>
      <c r="K371" s="10" t="inlineStr">
        <is>
          <t>On time</t>
        </is>
      </c>
      <c r="L371" s="6" t="n">
        <v>0</v>
      </c>
      <c r="M371" s="10" t="n"/>
      <c r="N371" s="6" t="n">
        <v>34</v>
      </c>
      <c r="O371" s="6" t="n">
        <v>3808</v>
      </c>
      <c r="P371" s="6" t="n">
        <v>1</v>
      </c>
      <c r="Q371" s="6">
        <f>IF(OR(K371="On time",K371="Late",K371="Very late"),1,0)</f>
        <v/>
      </c>
    </row>
    <row r="372">
      <c r="A372" s="10" t="inlineStr">
        <is>
          <t>DN318582</t>
        </is>
      </c>
      <c r="B372" s="10" t="inlineStr">
        <is>
          <t>SO62318</t>
        </is>
      </c>
      <c r="C372" s="10" t="inlineStr">
        <is>
          <t>C10413</t>
        </is>
      </c>
      <c r="D372" s="10">
        <f>INDEX(Customers!$B:$B,MATCH(C372,Customers!$A:$A,0))</f>
        <v/>
      </c>
      <c r="E372" s="10">
        <f>INDEX(Customers!$D:$D,MATCH(C372,Customers!$A:$A,0))</f>
        <v/>
      </c>
      <c r="F372" s="10" t="inlineStr">
        <is>
          <t>Own trucks</t>
        </is>
      </c>
      <c r="G372" s="5" t="n">
        <v>46248</v>
      </c>
      <c r="H372" s="5" t="n">
        <v>46251</v>
      </c>
      <c r="I372" s="5" t="n">
        <v>46251</v>
      </c>
      <c r="J372" s="10" t="inlineStr">
        <is>
          <t>16:30</t>
        </is>
      </c>
      <c r="K372" s="10" t="inlineStr">
        <is>
          <t>On time</t>
        </is>
      </c>
      <c r="L372" s="6" t="n">
        <v>0</v>
      </c>
      <c r="M372" s="10" t="n"/>
      <c r="N372" s="6" t="n">
        <v>31</v>
      </c>
      <c r="O372" s="6" t="n">
        <v>3162</v>
      </c>
      <c r="P372" s="6" t="n">
        <v>1</v>
      </c>
      <c r="Q372" s="6">
        <f>IF(OR(K372="On time",K372="Late",K372="Very late"),1,0)</f>
        <v/>
      </c>
    </row>
    <row r="373">
      <c r="A373" s="10" t="inlineStr">
        <is>
          <t>DN318583</t>
        </is>
      </c>
      <c r="B373" s="10" t="inlineStr">
        <is>
          <t>SO62319</t>
        </is>
      </c>
      <c r="C373" s="10" t="inlineStr">
        <is>
          <t>C10446</t>
        </is>
      </c>
      <c r="D373" s="10">
        <f>INDEX(Customers!$B:$B,MATCH(C373,Customers!$A:$A,0))</f>
        <v/>
      </c>
      <c r="E373" s="10">
        <f>INDEX(Customers!$D:$D,MATCH(C373,Customers!$A:$A,0))</f>
        <v/>
      </c>
      <c r="F373" s="10" t="inlineStr">
        <is>
          <t>Own trucks</t>
        </is>
      </c>
      <c r="G373" s="5" t="n">
        <v>46248</v>
      </c>
      <c r="H373" s="5" t="n">
        <v>46251</v>
      </c>
      <c r="I373" s="5" t="n">
        <v>46252</v>
      </c>
      <c r="J373" s="10" t="inlineStr">
        <is>
          <t>08:00</t>
        </is>
      </c>
      <c r="K373" s="10" t="inlineStr">
        <is>
          <t>Late</t>
        </is>
      </c>
      <c r="L373" s="6" t="n">
        <v>1</v>
      </c>
      <c r="M373" s="10" t="inlineStr">
        <is>
          <t>Carrier delay</t>
        </is>
      </c>
      <c r="N373" s="6" t="n">
        <v>10</v>
      </c>
      <c r="O373" s="6" t="n">
        <v>800</v>
      </c>
      <c r="P373" s="6" t="n">
        <v>1</v>
      </c>
      <c r="Q373" s="6">
        <f>IF(OR(K373="On time",K373="Late",K373="Very late"),1,0)</f>
        <v/>
      </c>
    </row>
    <row r="374">
      <c r="A374" s="10" t="inlineStr">
        <is>
          <t>DN318584</t>
        </is>
      </c>
      <c r="B374" s="10" t="inlineStr">
        <is>
          <t>SO62320</t>
        </is>
      </c>
      <c r="C374" s="10" t="inlineStr">
        <is>
          <t>C10522</t>
        </is>
      </c>
      <c r="D374" s="10">
        <f>INDEX(Customers!$B:$B,MATCH(C374,Customers!$A:$A,0))</f>
        <v/>
      </c>
      <c r="E374" s="10">
        <f>INDEX(Customers!$D:$D,MATCH(C374,Customers!$A:$A,0))</f>
        <v/>
      </c>
      <c r="F374" s="10" t="inlineStr">
        <is>
          <t>Same-day courier</t>
        </is>
      </c>
      <c r="G374" s="5" t="n">
        <v>46248</v>
      </c>
      <c r="H374" s="5" t="n">
        <v>46251</v>
      </c>
      <c r="I374" s="5" t="n">
        <v>46251</v>
      </c>
      <c r="J374" s="10" t="inlineStr">
        <is>
          <t>11:30</t>
        </is>
      </c>
      <c r="K374" s="10" t="inlineStr">
        <is>
          <t>On time</t>
        </is>
      </c>
      <c r="L374" s="6" t="n">
        <v>0</v>
      </c>
      <c r="M374" s="10" t="n"/>
      <c r="N374" s="6" t="n">
        <v>33</v>
      </c>
      <c r="O374" s="6" t="n">
        <v>2145</v>
      </c>
      <c r="P374" s="6" t="n">
        <v>1</v>
      </c>
      <c r="Q374" s="6">
        <f>IF(OR(K374="On time",K374="Late",K374="Very late"),1,0)</f>
        <v/>
      </c>
    </row>
    <row r="375">
      <c r="A375" s="10" t="inlineStr">
        <is>
          <t>DN318585</t>
        </is>
      </c>
      <c r="B375" s="10" t="inlineStr">
        <is>
          <t>SO62321</t>
        </is>
      </c>
      <c r="C375" s="10" t="inlineStr">
        <is>
          <t>C10536</t>
        </is>
      </c>
      <c r="D375" s="10">
        <f>INDEX(Customers!$B:$B,MATCH(C375,Customers!$A:$A,0))</f>
        <v/>
      </c>
      <c r="E375" s="10">
        <f>INDEX(Customers!$D:$D,MATCH(C375,Customers!$A:$A,0))</f>
        <v/>
      </c>
      <c r="F375" s="10" t="inlineStr">
        <is>
          <t>Own trucks</t>
        </is>
      </c>
      <c r="G375" s="5" t="n">
        <v>46248</v>
      </c>
      <c r="H375" s="5" t="n">
        <v>46251</v>
      </c>
      <c r="I375" s="5" t="n">
        <v>46251</v>
      </c>
      <c r="J375" s="10" t="inlineStr">
        <is>
          <t>09:40</t>
        </is>
      </c>
      <c r="K375" s="10" t="inlineStr">
        <is>
          <t>On time</t>
        </is>
      </c>
      <c r="L375" s="6" t="n">
        <v>0</v>
      </c>
      <c r="M375" s="10" t="n"/>
      <c r="N375" s="6" t="n">
        <v>33</v>
      </c>
      <c r="O375" s="6" t="n">
        <v>4521</v>
      </c>
      <c r="P375" s="6" t="n">
        <v>1</v>
      </c>
      <c r="Q375" s="6">
        <f>IF(OR(K375="On time",K375="Late",K375="Very late"),1,0)</f>
        <v/>
      </c>
    </row>
    <row r="376">
      <c r="A376" s="10" t="inlineStr">
        <is>
          <t>DN318586</t>
        </is>
      </c>
      <c r="B376" s="10" t="inlineStr">
        <is>
          <t>SO62322</t>
        </is>
      </c>
      <c r="C376" s="10" t="inlineStr">
        <is>
          <t>C10551</t>
        </is>
      </c>
      <c r="D376" s="10">
        <f>INDEX(Customers!$B:$B,MATCH(C376,Customers!$A:$A,0))</f>
        <v/>
      </c>
      <c r="E376" s="10">
        <f>INDEX(Customers!$D:$D,MATCH(C376,Customers!$A:$A,0))</f>
        <v/>
      </c>
      <c r="F376" s="10" t="inlineStr">
        <is>
          <t>Own trucks</t>
        </is>
      </c>
      <c r="G376" s="5" t="n">
        <v>46248</v>
      </c>
      <c r="H376" s="5" t="n">
        <v>46251</v>
      </c>
      <c r="I376" s="5" t="n">
        <v>46251</v>
      </c>
      <c r="J376" s="10" t="inlineStr">
        <is>
          <t>12:10</t>
        </is>
      </c>
      <c r="K376" s="10" t="inlineStr">
        <is>
          <t>On time</t>
        </is>
      </c>
      <c r="L376" s="6" t="n">
        <v>0</v>
      </c>
      <c r="M376" s="10" t="n"/>
      <c r="N376" s="6" t="n">
        <v>14</v>
      </c>
      <c r="O376" s="6" t="n">
        <v>882</v>
      </c>
      <c r="P376" s="6" t="n">
        <v>1</v>
      </c>
      <c r="Q376" s="6">
        <f>IF(OR(K376="On time",K376="Late",K376="Very late"),1,0)</f>
        <v/>
      </c>
    </row>
    <row r="377">
      <c r="A377" s="10" t="inlineStr">
        <is>
          <t>DN318587</t>
        </is>
      </c>
      <c r="B377" s="10" t="inlineStr">
        <is>
          <t>SO62323</t>
        </is>
      </c>
      <c r="C377" s="10" t="inlineStr">
        <is>
          <t>C10589</t>
        </is>
      </c>
      <c r="D377" s="10">
        <f>INDEX(Customers!$B:$B,MATCH(C377,Customers!$A:$A,0))</f>
        <v/>
      </c>
      <c r="E377" s="10">
        <f>INDEX(Customers!$D:$D,MATCH(C377,Customers!$A:$A,0))</f>
        <v/>
      </c>
      <c r="F377" s="10" t="inlineStr">
        <is>
          <t>Own trucks</t>
        </is>
      </c>
      <c r="G377" s="5" t="n">
        <v>46248</v>
      </c>
      <c r="H377" s="5" t="n">
        <v>46251</v>
      </c>
      <c r="I377" s="5" t="n">
        <v>46251</v>
      </c>
      <c r="J377" s="10" t="inlineStr">
        <is>
          <t>11:10</t>
        </is>
      </c>
      <c r="K377" s="10" t="inlineStr">
        <is>
          <t>On time</t>
        </is>
      </c>
      <c r="L377" s="6" t="n">
        <v>0</v>
      </c>
      <c r="M377" s="10" t="n"/>
      <c r="N377" s="6" t="n">
        <v>14</v>
      </c>
      <c r="O377" s="6" t="n">
        <v>1554</v>
      </c>
      <c r="P377" s="6" t="n">
        <v>1</v>
      </c>
      <c r="Q377" s="6">
        <f>IF(OR(K377="On time",K377="Late",K377="Very late"),1,0)</f>
        <v/>
      </c>
    </row>
    <row r="378">
      <c r="A378" s="10" t="inlineStr">
        <is>
          <t>DN318588</t>
        </is>
      </c>
      <c r="B378" s="10" t="inlineStr">
        <is>
          <t>SO62324</t>
        </is>
      </c>
      <c r="C378" s="10" t="inlineStr">
        <is>
          <t>C10648</t>
        </is>
      </c>
      <c r="D378" s="10">
        <f>INDEX(Customers!$B:$B,MATCH(C378,Customers!$A:$A,0))</f>
        <v/>
      </c>
      <c r="E378" s="10">
        <f>INDEX(Customers!$D:$D,MATCH(C378,Customers!$A:$A,0))</f>
        <v/>
      </c>
      <c r="F378" s="10" t="inlineStr">
        <is>
          <t>Own trucks</t>
        </is>
      </c>
      <c r="G378" s="5" t="n">
        <v>46248</v>
      </c>
      <c r="H378" s="5" t="n">
        <v>46251</v>
      </c>
      <c r="I378" s="5" t="n">
        <v>46251</v>
      </c>
      <c r="J378" s="10" t="inlineStr">
        <is>
          <t>09:00</t>
        </is>
      </c>
      <c r="K378" s="10" t="inlineStr">
        <is>
          <t>On time</t>
        </is>
      </c>
      <c r="L378" s="6" t="n">
        <v>0</v>
      </c>
      <c r="M378" s="10" t="n"/>
      <c r="N378" s="6" t="n">
        <v>13</v>
      </c>
      <c r="O378" s="6" t="n">
        <v>1755</v>
      </c>
      <c r="P378" s="6" t="n">
        <v>1</v>
      </c>
      <c r="Q378" s="6">
        <f>IF(OR(K378="On time",K378="Late",K378="Very late"),1,0)</f>
        <v/>
      </c>
    </row>
    <row r="379">
      <c r="A379" s="10" t="inlineStr">
        <is>
          <t>DN318589</t>
        </is>
      </c>
      <c r="B379" s="10" t="inlineStr">
        <is>
          <t>SO62326</t>
        </is>
      </c>
      <c r="C379" s="10" t="inlineStr">
        <is>
          <t>C10676</t>
        </is>
      </c>
      <c r="D379" s="10">
        <f>INDEX(Customers!$B:$B,MATCH(C379,Customers!$A:$A,0))</f>
        <v/>
      </c>
      <c r="E379" s="10">
        <f>INDEX(Customers!$D:$D,MATCH(C379,Customers!$A:$A,0))</f>
        <v/>
      </c>
      <c r="F379" s="10" t="inlineStr">
        <is>
          <t>Own trucks</t>
        </is>
      </c>
      <c r="G379" s="5" t="n">
        <v>46248</v>
      </c>
      <c r="H379" s="5" t="n">
        <v>46251</v>
      </c>
      <c r="I379" s="5" t="n">
        <v>46251</v>
      </c>
      <c r="J379" s="10" t="inlineStr">
        <is>
          <t>08:10</t>
        </is>
      </c>
      <c r="K379" s="10" t="inlineStr">
        <is>
          <t>On time</t>
        </is>
      </c>
      <c r="L379" s="6" t="n">
        <v>0</v>
      </c>
      <c r="M379" s="10" t="n"/>
      <c r="N379" s="6" t="n">
        <v>2</v>
      </c>
      <c r="O379" s="6" t="n">
        <v>274</v>
      </c>
      <c r="P379" s="6" t="n">
        <v>1</v>
      </c>
      <c r="Q379" s="6">
        <f>IF(OR(K379="On time",K379="Late",K379="Very late"),1,0)</f>
        <v/>
      </c>
    </row>
    <row r="380">
      <c r="A380" s="10" t="inlineStr">
        <is>
          <t>DN318590</t>
        </is>
      </c>
      <c r="B380" s="10" t="inlineStr">
        <is>
          <t>SO62328</t>
        </is>
      </c>
      <c r="C380" s="10" t="inlineStr">
        <is>
          <t>C10684</t>
        </is>
      </c>
      <c r="D380" s="10">
        <f>INDEX(Customers!$B:$B,MATCH(C380,Customers!$A:$A,0))</f>
        <v/>
      </c>
      <c r="E380" s="10">
        <f>INDEX(Customers!$D:$D,MATCH(C380,Customers!$A:$A,0))</f>
        <v/>
      </c>
      <c r="F380" s="10" t="inlineStr">
        <is>
          <t>Own trucks</t>
        </is>
      </c>
      <c r="G380" s="5" t="n">
        <v>46248</v>
      </c>
      <c r="H380" s="5" t="n">
        <v>46251</v>
      </c>
      <c r="I380" s="5" t="n">
        <v>46251</v>
      </c>
      <c r="J380" s="10" t="inlineStr">
        <is>
          <t>10:50</t>
        </is>
      </c>
      <c r="K380" s="10" t="inlineStr">
        <is>
          <t>On time</t>
        </is>
      </c>
      <c r="L380" s="6" t="n">
        <v>0</v>
      </c>
      <c r="M380" s="10" t="n"/>
      <c r="N380" s="6" t="n">
        <v>11</v>
      </c>
      <c r="O380" s="6" t="n">
        <v>1375</v>
      </c>
      <c r="P380" s="6" t="n">
        <v>1</v>
      </c>
      <c r="Q380" s="6">
        <f>IF(OR(K380="On time",K380="Late",K380="Very late"),1,0)</f>
        <v/>
      </c>
    </row>
    <row r="381">
      <c r="A381" s="10" t="inlineStr">
        <is>
          <t>DN318591</t>
        </is>
      </c>
      <c r="B381" s="10" t="inlineStr">
        <is>
          <t>SO62329</t>
        </is>
      </c>
      <c r="C381" s="10" t="inlineStr">
        <is>
          <t>C10746</t>
        </is>
      </c>
      <c r="D381" s="10">
        <f>INDEX(Customers!$B:$B,MATCH(C381,Customers!$A:$A,0))</f>
        <v/>
      </c>
      <c r="E381" s="10">
        <f>INDEX(Customers!$D:$D,MATCH(C381,Customers!$A:$A,0))</f>
        <v/>
      </c>
      <c r="F381" s="10" t="inlineStr">
        <is>
          <t>Own trucks</t>
        </is>
      </c>
      <c r="G381" s="5" t="n">
        <v>46248</v>
      </c>
      <c r="H381" s="5" t="n">
        <v>46251</v>
      </c>
      <c r="I381" s="5" t="n">
        <v>46251</v>
      </c>
      <c r="J381" s="10" t="inlineStr">
        <is>
          <t>07:00</t>
        </is>
      </c>
      <c r="K381" s="10" t="inlineStr">
        <is>
          <t>On time</t>
        </is>
      </c>
      <c r="L381" s="6" t="n">
        <v>0</v>
      </c>
      <c r="M381" s="10" t="n"/>
      <c r="N381" s="6" t="n">
        <v>18</v>
      </c>
      <c r="O381" s="6" t="n">
        <v>1926</v>
      </c>
      <c r="P381" s="6" t="n">
        <v>1</v>
      </c>
      <c r="Q381" s="6">
        <f>IF(OR(K381="On time",K381="Late",K381="Very late"),1,0)</f>
        <v/>
      </c>
    </row>
    <row r="382">
      <c r="A382" s="10" t="inlineStr">
        <is>
          <t>DN318592</t>
        </is>
      </c>
      <c r="B382" s="10" t="inlineStr">
        <is>
          <t>SO62330</t>
        </is>
      </c>
      <c r="C382" s="10" t="inlineStr">
        <is>
          <t>C10796</t>
        </is>
      </c>
      <c r="D382" s="10">
        <f>INDEX(Customers!$B:$B,MATCH(C382,Customers!$A:$A,0))</f>
        <v/>
      </c>
      <c r="E382" s="10">
        <f>INDEX(Customers!$D:$D,MATCH(C382,Customers!$A:$A,0))</f>
        <v/>
      </c>
      <c r="F382" s="10" t="inlineStr">
        <is>
          <t>Own trucks</t>
        </is>
      </c>
      <c r="G382" s="5" t="n">
        <v>46248</v>
      </c>
      <c r="H382" s="5" t="n">
        <v>46251</v>
      </c>
      <c r="I382" s="5" t="n">
        <v>46251</v>
      </c>
      <c r="J382" s="10" t="inlineStr">
        <is>
          <t>13:20</t>
        </is>
      </c>
      <c r="K382" s="10" t="inlineStr">
        <is>
          <t>On time</t>
        </is>
      </c>
      <c r="L382" s="6" t="n">
        <v>0</v>
      </c>
      <c r="M382" s="10" t="n"/>
      <c r="N382" s="6" t="n">
        <v>10</v>
      </c>
      <c r="O382" s="6" t="n">
        <v>870</v>
      </c>
      <c r="P382" s="6" t="n">
        <v>1</v>
      </c>
      <c r="Q382" s="6">
        <f>IF(OR(K382="On time",K382="Late",K382="Very late"),1,0)</f>
        <v/>
      </c>
    </row>
    <row r="383">
      <c r="A383" s="10" t="inlineStr">
        <is>
          <t>DN318593</t>
        </is>
      </c>
      <c r="B383" s="10" t="inlineStr">
        <is>
          <t>SO62331</t>
        </is>
      </c>
      <c r="C383" s="10" t="inlineStr">
        <is>
          <t>C10847</t>
        </is>
      </c>
      <c r="D383" s="10">
        <f>INDEX(Customers!$B:$B,MATCH(C383,Customers!$A:$A,0))</f>
        <v/>
      </c>
      <c r="E383" s="10">
        <f>INDEX(Customers!$D:$D,MATCH(C383,Customers!$A:$A,0))</f>
        <v/>
      </c>
      <c r="F383" s="10" t="inlineStr">
        <is>
          <t>Own trucks</t>
        </is>
      </c>
      <c r="G383" s="5" t="n">
        <v>46248</v>
      </c>
      <c r="H383" s="5" t="n">
        <v>46251</v>
      </c>
      <c r="I383" s="5" t="n">
        <v>46251</v>
      </c>
      <c r="J383" s="10" t="inlineStr">
        <is>
          <t>08:00</t>
        </is>
      </c>
      <c r="K383" s="10" t="inlineStr">
        <is>
          <t>On time</t>
        </is>
      </c>
      <c r="L383" s="6" t="n">
        <v>0</v>
      </c>
      <c r="M383" s="10" t="n"/>
      <c r="N383" s="6" t="n">
        <v>19</v>
      </c>
      <c r="O383" s="6" t="n">
        <v>1976</v>
      </c>
      <c r="P383" s="6" t="n">
        <v>1</v>
      </c>
      <c r="Q383" s="6">
        <f>IF(OR(K383="On time",K383="Late",K383="Very late"),1,0)</f>
        <v/>
      </c>
    </row>
    <row r="384">
      <c r="A384" s="10" t="inlineStr">
        <is>
          <t>DN318594</t>
        </is>
      </c>
      <c r="B384" s="10" t="inlineStr">
        <is>
          <t>SO62332</t>
        </is>
      </c>
      <c r="C384" s="10" t="inlineStr">
        <is>
          <t>C10982</t>
        </is>
      </c>
      <c r="D384" s="10">
        <f>INDEX(Customers!$B:$B,MATCH(C384,Customers!$A:$A,0))</f>
        <v/>
      </c>
      <c r="E384" s="10">
        <f>INDEX(Customers!$D:$D,MATCH(C384,Customers!$A:$A,0))</f>
        <v/>
      </c>
      <c r="F384" s="10" t="inlineStr">
        <is>
          <t>Own trucks</t>
        </is>
      </c>
      <c r="G384" s="5" t="n">
        <v>46248</v>
      </c>
      <c r="H384" s="5" t="n">
        <v>46251</v>
      </c>
      <c r="I384" s="5" t="n">
        <v>46251</v>
      </c>
      <c r="J384" s="10" t="inlineStr">
        <is>
          <t>12:50</t>
        </is>
      </c>
      <c r="K384" s="10" t="inlineStr">
        <is>
          <t>On time</t>
        </is>
      </c>
      <c r="L384" s="6" t="n">
        <v>0</v>
      </c>
      <c r="M384" s="10" t="n"/>
      <c r="N384" s="6" t="n">
        <v>34</v>
      </c>
      <c r="O384" s="6" t="n">
        <v>4216</v>
      </c>
      <c r="P384" s="6" t="n">
        <v>1</v>
      </c>
      <c r="Q384" s="6">
        <f>IF(OR(K384="On time",K384="Late",K384="Very late"),1,0)</f>
        <v/>
      </c>
    </row>
    <row r="385">
      <c r="A385" s="10" t="inlineStr">
        <is>
          <t>DN318595</t>
        </is>
      </c>
      <c r="B385" s="10" t="inlineStr">
        <is>
          <t>SO62334</t>
        </is>
      </c>
      <c r="C385" s="10" t="inlineStr">
        <is>
          <t>C11049</t>
        </is>
      </c>
      <c r="D385" s="10">
        <f>INDEX(Customers!$B:$B,MATCH(C385,Customers!$A:$A,0))</f>
        <v/>
      </c>
      <c r="E385" s="10">
        <f>INDEX(Customers!$D:$D,MATCH(C385,Customers!$A:$A,0))</f>
        <v/>
      </c>
      <c r="F385" s="10" t="inlineStr">
        <is>
          <t>Own trucks</t>
        </is>
      </c>
      <c r="G385" s="5" t="n">
        <v>46248</v>
      </c>
      <c r="H385" s="5" t="n">
        <v>46251</v>
      </c>
      <c r="I385" s="5" t="n">
        <v>46251</v>
      </c>
      <c r="J385" s="10" t="inlineStr">
        <is>
          <t>10:10</t>
        </is>
      </c>
      <c r="K385" s="10" t="inlineStr">
        <is>
          <t>On time</t>
        </is>
      </c>
      <c r="L385" s="6" t="n">
        <v>0</v>
      </c>
      <c r="M385" s="10" t="n"/>
      <c r="N385" s="6" t="n">
        <v>39</v>
      </c>
      <c r="O385" s="6" t="n">
        <v>2808</v>
      </c>
      <c r="P385" s="6" t="n">
        <v>1</v>
      </c>
      <c r="Q385" s="6">
        <f>IF(OR(K385="On time",K385="Late",K385="Very late"),1,0)</f>
        <v/>
      </c>
    </row>
    <row r="386">
      <c r="A386" s="10" t="inlineStr">
        <is>
          <t>DN318596</t>
        </is>
      </c>
      <c r="B386" s="10" t="inlineStr">
        <is>
          <t>SO62335</t>
        </is>
      </c>
      <c r="C386" s="10" t="inlineStr">
        <is>
          <t>C11107</t>
        </is>
      </c>
      <c r="D386" s="10">
        <f>INDEX(Customers!$B:$B,MATCH(C386,Customers!$A:$A,0))</f>
        <v/>
      </c>
      <c r="E386" s="10">
        <f>INDEX(Customers!$D:$D,MATCH(C386,Customers!$A:$A,0))</f>
        <v/>
      </c>
      <c r="F386" s="10" t="inlineStr">
        <is>
          <t>Own trucks</t>
        </is>
      </c>
      <c r="G386" s="5" t="n">
        <v>46248</v>
      </c>
      <c r="H386" s="5" t="n">
        <v>46251</v>
      </c>
      <c r="I386" s="5" t="n">
        <v>46251</v>
      </c>
      <c r="J386" s="10" t="inlineStr">
        <is>
          <t>09:40</t>
        </is>
      </c>
      <c r="K386" s="10" t="inlineStr">
        <is>
          <t>On time</t>
        </is>
      </c>
      <c r="L386" s="6" t="n">
        <v>0</v>
      </c>
      <c r="M386" s="10" t="n"/>
      <c r="N386" s="6" t="n">
        <v>20</v>
      </c>
      <c r="O386" s="6" t="n">
        <v>2660</v>
      </c>
      <c r="P386" s="6" t="n">
        <v>1</v>
      </c>
      <c r="Q386" s="6">
        <f>IF(OR(K386="On time",K386="Late",K386="Very late"),1,0)</f>
        <v/>
      </c>
    </row>
    <row r="387">
      <c r="A387" s="10" t="inlineStr">
        <is>
          <t>DN318597</t>
        </is>
      </c>
      <c r="B387" s="10" t="inlineStr">
        <is>
          <t>SO62337</t>
        </is>
      </c>
      <c r="C387" s="10" t="inlineStr">
        <is>
          <t>C11143</t>
        </is>
      </c>
      <c r="D387" s="10">
        <f>INDEX(Customers!$B:$B,MATCH(C387,Customers!$A:$A,0))</f>
        <v/>
      </c>
      <c r="E387" s="10">
        <f>INDEX(Customers!$D:$D,MATCH(C387,Customers!$A:$A,0))</f>
        <v/>
      </c>
      <c r="F387" s="10" t="inlineStr">
        <is>
          <t>Own trucks</t>
        </is>
      </c>
      <c r="G387" s="5" t="n">
        <v>46248</v>
      </c>
      <c r="H387" s="5" t="n">
        <v>46251</v>
      </c>
      <c r="I387" s="5" t="n">
        <v>46251</v>
      </c>
      <c r="J387" s="10" t="inlineStr">
        <is>
          <t>08:20</t>
        </is>
      </c>
      <c r="K387" s="10" t="inlineStr">
        <is>
          <t>On time</t>
        </is>
      </c>
      <c r="L387" s="6" t="n">
        <v>0</v>
      </c>
      <c r="M387" s="10" t="n"/>
      <c r="N387" s="6" t="n">
        <v>17</v>
      </c>
      <c r="O387" s="6" t="n">
        <v>1190</v>
      </c>
      <c r="P387" s="6" t="n">
        <v>1</v>
      </c>
      <c r="Q387" s="6">
        <f>IF(OR(K387="On time",K387="Late",K387="Very late"),1,0)</f>
        <v/>
      </c>
    </row>
    <row r="388">
      <c r="A388" s="10" t="inlineStr">
        <is>
          <t>DN318598</t>
        </is>
      </c>
      <c r="B388" s="10" t="inlineStr">
        <is>
          <t>SO62338</t>
        </is>
      </c>
      <c r="C388" s="10" t="inlineStr">
        <is>
          <t>C11186</t>
        </is>
      </c>
      <c r="D388" s="10">
        <f>INDEX(Customers!$B:$B,MATCH(C388,Customers!$A:$A,0))</f>
        <v/>
      </c>
      <c r="E388" s="10">
        <f>INDEX(Customers!$D:$D,MATCH(C388,Customers!$A:$A,0))</f>
        <v/>
      </c>
      <c r="F388" s="10" t="inlineStr">
        <is>
          <t>Own trucks</t>
        </is>
      </c>
      <c r="G388" s="5" t="n">
        <v>46248</v>
      </c>
      <c r="H388" s="5" t="n">
        <v>46251</v>
      </c>
      <c r="I388" s="5" t="n">
        <v>46251</v>
      </c>
      <c r="J388" s="10" t="inlineStr">
        <is>
          <t>14:10</t>
        </is>
      </c>
      <c r="K388" s="10" t="inlineStr">
        <is>
          <t>On time</t>
        </is>
      </c>
      <c r="L388" s="6" t="n">
        <v>0</v>
      </c>
      <c r="M388" s="10" t="n"/>
      <c r="N388" s="6" t="n">
        <v>8</v>
      </c>
      <c r="O388" s="6" t="n">
        <v>448</v>
      </c>
      <c r="P388" s="6" t="n">
        <v>1</v>
      </c>
      <c r="Q388" s="6">
        <f>IF(OR(K388="On time",K388="Late",K388="Very late"),1,0)</f>
        <v/>
      </c>
    </row>
    <row r="389">
      <c r="A389" s="10" t="inlineStr">
        <is>
          <t>DN318599</t>
        </is>
      </c>
      <c r="B389" s="10" t="inlineStr">
        <is>
          <t>SO62340</t>
        </is>
      </c>
      <c r="C389" s="10" t="inlineStr">
        <is>
          <t>C11247</t>
        </is>
      </c>
      <c r="D389" s="10">
        <f>INDEX(Customers!$B:$B,MATCH(C389,Customers!$A:$A,0))</f>
        <v/>
      </c>
      <c r="E389" s="10">
        <f>INDEX(Customers!$D:$D,MATCH(C389,Customers!$A:$A,0))</f>
        <v/>
      </c>
      <c r="F389" s="10" t="inlineStr">
        <is>
          <t>Own trucks</t>
        </is>
      </c>
      <c r="G389" s="5" t="n">
        <v>46248</v>
      </c>
      <c r="H389" s="5" t="n">
        <v>46251</v>
      </c>
      <c r="I389" s="5" t="n">
        <v>46251</v>
      </c>
      <c r="J389" s="10" t="inlineStr">
        <is>
          <t>12:30</t>
        </is>
      </c>
      <c r="K389" s="10" t="inlineStr">
        <is>
          <t>On time</t>
        </is>
      </c>
      <c r="L389" s="6" t="n">
        <v>0</v>
      </c>
      <c r="M389" s="10" t="n"/>
      <c r="N389" s="6" t="n">
        <v>38</v>
      </c>
      <c r="O389" s="6" t="n">
        <v>4864</v>
      </c>
      <c r="P389" s="6" t="n">
        <v>1</v>
      </c>
      <c r="Q389" s="6">
        <f>IF(OR(K389="On time",K389="Late",K389="Very late"),1,0)</f>
        <v/>
      </c>
    </row>
    <row r="390">
      <c r="A390" s="10" t="inlineStr">
        <is>
          <t>DN318600</t>
        </is>
      </c>
      <c r="B390" s="10" t="inlineStr">
        <is>
          <t>SO62341</t>
        </is>
      </c>
      <c r="C390" s="10" t="inlineStr">
        <is>
          <t>C11264</t>
        </is>
      </c>
      <c r="D390" s="10">
        <f>INDEX(Customers!$B:$B,MATCH(C390,Customers!$A:$A,0))</f>
        <v/>
      </c>
      <c r="E390" s="10">
        <f>INDEX(Customers!$D:$D,MATCH(C390,Customers!$A:$A,0))</f>
        <v/>
      </c>
      <c r="F390" s="10" t="inlineStr">
        <is>
          <t>Own trucks</t>
        </is>
      </c>
      <c r="G390" s="5" t="n">
        <v>46248</v>
      </c>
      <c r="H390" s="5" t="n">
        <v>46251</v>
      </c>
      <c r="I390" s="5" t="n">
        <v>46251</v>
      </c>
      <c r="J390" s="10" t="inlineStr">
        <is>
          <t>16:50</t>
        </is>
      </c>
      <c r="K390" s="10" t="inlineStr">
        <is>
          <t>On time</t>
        </is>
      </c>
      <c r="L390" s="6" t="n">
        <v>0</v>
      </c>
      <c r="M390" s="10" t="n"/>
      <c r="N390" s="6" t="n">
        <v>22</v>
      </c>
      <c r="O390" s="6" t="n">
        <v>1738</v>
      </c>
      <c r="P390" s="6" t="n">
        <v>1</v>
      </c>
      <c r="Q390" s="6">
        <f>IF(OR(K390="On time",K390="Late",K390="Very late"),1,0)</f>
        <v/>
      </c>
    </row>
    <row r="391">
      <c r="A391" s="10" t="inlineStr">
        <is>
          <t>DN318601</t>
        </is>
      </c>
      <c r="B391" s="10" t="inlineStr">
        <is>
          <t>SO62342</t>
        </is>
      </c>
      <c r="C391" s="10" t="inlineStr">
        <is>
          <t>C11314</t>
        </is>
      </c>
      <c r="D391" s="10">
        <f>INDEX(Customers!$B:$B,MATCH(C391,Customers!$A:$A,0))</f>
        <v/>
      </c>
      <c r="E391" s="10">
        <f>INDEX(Customers!$D:$D,MATCH(C391,Customers!$A:$A,0))</f>
        <v/>
      </c>
      <c r="F391" s="10" t="inlineStr">
        <is>
          <t>Own trucks</t>
        </is>
      </c>
      <c r="G391" s="5" t="n">
        <v>46248</v>
      </c>
      <c r="H391" s="5" t="n">
        <v>46251</v>
      </c>
      <c r="I391" s="5" t="n">
        <v>46251</v>
      </c>
      <c r="J391" s="10" t="inlineStr">
        <is>
          <t>08:50</t>
        </is>
      </c>
      <c r="K391" s="10" t="inlineStr">
        <is>
          <t>On time</t>
        </is>
      </c>
      <c r="L391" s="6" t="n">
        <v>0</v>
      </c>
      <c r="M391" s="10" t="n"/>
      <c r="N391" s="6" t="n">
        <v>8</v>
      </c>
      <c r="O391" s="6" t="n">
        <v>520</v>
      </c>
      <c r="P391" s="6" t="n">
        <v>1</v>
      </c>
      <c r="Q391" s="6">
        <f>IF(OR(K391="On time",K391="Late",K391="Very late"),1,0)</f>
        <v/>
      </c>
    </row>
    <row r="392">
      <c r="A392" s="10" t="inlineStr">
        <is>
          <t>DN318602</t>
        </is>
      </c>
      <c r="B392" s="10" t="inlineStr">
        <is>
          <t>SO62344</t>
        </is>
      </c>
      <c r="C392" s="10" t="inlineStr">
        <is>
          <t>C11333</t>
        </is>
      </c>
      <c r="D392" s="10">
        <f>INDEX(Customers!$B:$B,MATCH(C392,Customers!$A:$A,0))</f>
        <v/>
      </c>
      <c r="E392" s="10">
        <f>INDEX(Customers!$D:$D,MATCH(C392,Customers!$A:$A,0))</f>
        <v/>
      </c>
      <c r="F392" s="10" t="inlineStr">
        <is>
          <t>Own trucks</t>
        </is>
      </c>
      <c r="G392" s="5" t="n">
        <v>46248</v>
      </c>
      <c r="H392" s="5" t="n">
        <v>46251</v>
      </c>
      <c r="I392" s="5" t="n">
        <v>46251</v>
      </c>
      <c r="J392" s="10" t="inlineStr">
        <is>
          <t>09:40</t>
        </is>
      </c>
      <c r="K392" s="10" t="inlineStr">
        <is>
          <t>On time</t>
        </is>
      </c>
      <c r="L392" s="6" t="n">
        <v>0</v>
      </c>
      <c r="M392" s="10" t="n"/>
      <c r="N392" s="6" t="n">
        <v>22</v>
      </c>
      <c r="O392" s="6" t="n">
        <v>1936</v>
      </c>
      <c r="P392" s="6" t="n">
        <v>1</v>
      </c>
      <c r="Q392" s="6">
        <f>IF(OR(K392="On time",K392="Late",K392="Very late"),1,0)</f>
        <v/>
      </c>
    </row>
    <row r="393">
      <c r="A393" s="10" t="inlineStr">
        <is>
          <t>DN318603</t>
        </is>
      </c>
      <c r="B393" s="10" t="inlineStr">
        <is>
          <t>SO62345</t>
        </is>
      </c>
      <c r="C393" s="10" t="inlineStr">
        <is>
          <t>C11518</t>
        </is>
      </c>
      <c r="D393" s="10">
        <f>INDEX(Customers!$B:$B,MATCH(C393,Customers!$A:$A,0))</f>
        <v/>
      </c>
      <c r="E393" s="10">
        <f>INDEX(Customers!$D:$D,MATCH(C393,Customers!$A:$A,0))</f>
        <v/>
      </c>
      <c r="F393" s="10" t="inlineStr">
        <is>
          <t>Own trucks</t>
        </is>
      </c>
      <c r="G393" s="5" t="n">
        <v>46248</v>
      </c>
      <c r="H393" s="5" t="n">
        <v>46251</v>
      </c>
      <c r="I393" s="5" t="n">
        <v>46251</v>
      </c>
      <c r="J393" s="10" t="inlineStr">
        <is>
          <t>13:00</t>
        </is>
      </c>
      <c r="K393" s="10" t="inlineStr">
        <is>
          <t>On time</t>
        </is>
      </c>
      <c r="L393" s="6" t="n">
        <v>0</v>
      </c>
      <c r="M393" s="10" t="n"/>
      <c r="N393" s="6" t="n">
        <v>6</v>
      </c>
      <c r="O393" s="6" t="n">
        <v>468</v>
      </c>
      <c r="P393" s="6" t="n">
        <v>1</v>
      </c>
      <c r="Q393" s="6">
        <f>IF(OR(K393="On time",K393="Late",K393="Very late"),1,0)</f>
        <v/>
      </c>
    </row>
    <row r="394">
      <c r="A394" s="10" t="inlineStr">
        <is>
          <t>DN318604</t>
        </is>
      </c>
      <c r="B394" s="10" t="inlineStr">
        <is>
          <t>SO62347</t>
        </is>
      </c>
      <c r="C394" s="10" t="inlineStr">
        <is>
          <t>C11666</t>
        </is>
      </c>
      <c r="D394" s="10">
        <f>INDEX(Customers!$B:$B,MATCH(C394,Customers!$A:$A,0))</f>
        <v/>
      </c>
      <c r="E394" s="10">
        <f>INDEX(Customers!$D:$D,MATCH(C394,Customers!$A:$A,0))</f>
        <v/>
      </c>
      <c r="F394" s="10" t="inlineStr">
        <is>
          <t>Own trucks</t>
        </is>
      </c>
      <c r="G394" s="5" t="n">
        <v>46248</v>
      </c>
      <c r="H394" s="5" t="n">
        <v>46251</v>
      </c>
      <c r="I394" s="5" t="n">
        <v>46251</v>
      </c>
      <c r="J394" s="10" t="inlineStr">
        <is>
          <t>15:20</t>
        </is>
      </c>
      <c r="K394" s="10" t="inlineStr">
        <is>
          <t>On time</t>
        </is>
      </c>
      <c r="L394" s="6" t="n">
        <v>0</v>
      </c>
      <c r="M394" s="10" t="n"/>
      <c r="N394" s="6" t="n">
        <v>20</v>
      </c>
      <c r="O394" s="6" t="n">
        <v>1980</v>
      </c>
      <c r="P394" s="6" t="n">
        <v>1</v>
      </c>
      <c r="Q394" s="6">
        <f>IF(OR(K394="On time",K394="Late",K394="Very late"),1,0)</f>
        <v/>
      </c>
    </row>
    <row r="395">
      <c r="A395" s="10" t="inlineStr">
        <is>
          <t>DN318605</t>
        </is>
      </c>
      <c r="B395" s="10" t="inlineStr">
        <is>
          <t>SO62349</t>
        </is>
      </c>
      <c r="C395" s="10" t="inlineStr">
        <is>
          <t>C11790</t>
        </is>
      </c>
      <c r="D395" s="10">
        <f>INDEX(Customers!$B:$B,MATCH(C395,Customers!$A:$A,0))</f>
        <v/>
      </c>
      <c r="E395" s="10">
        <f>INDEX(Customers!$D:$D,MATCH(C395,Customers!$A:$A,0))</f>
        <v/>
      </c>
      <c r="F395" s="10" t="inlineStr">
        <is>
          <t>Carrier A</t>
        </is>
      </c>
      <c r="G395" s="5" t="n">
        <v>46248</v>
      </c>
      <c r="H395" s="5" t="n">
        <v>46251</v>
      </c>
      <c r="I395" s="5" t="n">
        <v>46252</v>
      </c>
      <c r="J395" s="10" t="inlineStr">
        <is>
          <t>10:20</t>
        </is>
      </c>
      <c r="K395" s="10" t="inlineStr">
        <is>
          <t>Late</t>
        </is>
      </c>
      <c r="L395" s="6" t="n">
        <v>1</v>
      </c>
      <c r="M395" s="10" t="inlineStr">
        <is>
          <t>Carrier delay</t>
        </is>
      </c>
      <c r="N395" s="6" t="n">
        <v>3</v>
      </c>
      <c r="O395" s="6" t="n">
        <v>402</v>
      </c>
      <c r="P395" s="6" t="n">
        <v>1</v>
      </c>
      <c r="Q395" s="6">
        <f>IF(OR(K395="On time",K395="Late",K395="Very late"),1,0)</f>
        <v/>
      </c>
    </row>
    <row r="396">
      <c r="A396" s="10" t="inlineStr">
        <is>
          <t>DN318606</t>
        </is>
      </c>
      <c r="B396" s="10" t="inlineStr">
        <is>
          <t>SO62350</t>
        </is>
      </c>
      <c r="C396" s="10" t="inlineStr">
        <is>
          <t>C11971</t>
        </is>
      </c>
      <c r="D396" s="10">
        <f>INDEX(Customers!$B:$B,MATCH(C396,Customers!$A:$A,0))</f>
        <v/>
      </c>
      <c r="E396" s="10">
        <f>INDEX(Customers!$D:$D,MATCH(C396,Customers!$A:$A,0))</f>
        <v/>
      </c>
      <c r="F396" s="10" t="inlineStr">
        <is>
          <t>Own trucks</t>
        </is>
      </c>
      <c r="G396" s="5" t="n">
        <v>46248</v>
      </c>
      <c r="H396" s="5" t="n">
        <v>46251</v>
      </c>
      <c r="I396" s="5" t="n">
        <v>46251</v>
      </c>
      <c r="J396" s="10" t="inlineStr">
        <is>
          <t>08:50</t>
        </is>
      </c>
      <c r="K396" s="10" t="inlineStr">
        <is>
          <t>On time</t>
        </is>
      </c>
      <c r="L396" s="6" t="n">
        <v>0</v>
      </c>
      <c r="M396" s="10" t="n"/>
      <c r="N396" s="6" t="n">
        <v>8</v>
      </c>
      <c r="O396" s="6" t="n">
        <v>1040</v>
      </c>
      <c r="P396" s="6" t="n">
        <v>0</v>
      </c>
      <c r="Q396" s="6">
        <f>IF(OR(K396="On time",K396="Late",K396="Very late"),1,0)</f>
        <v/>
      </c>
    </row>
    <row r="397">
      <c r="A397" s="10" t="inlineStr">
        <is>
          <t>DN318607</t>
        </is>
      </c>
      <c r="B397" s="10" t="inlineStr">
        <is>
          <t>SO62352</t>
        </is>
      </c>
      <c r="C397" s="10" t="inlineStr">
        <is>
          <t>C11982</t>
        </is>
      </c>
      <c r="D397" s="10">
        <f>INDEX(Customers!$B:$B,MATCH(C397,Customers!$A:$A,0))</f>
        <v/>
      </c>
      <c r="E397" s="10">
        <f>INDEX(Customers!$D:$D,MATCH(C397,Customers!$A:$A,0))</f>
        <v/>
      </c>
      <c r="F397" s="10" t="inlineStr">
        <is>
          <t>Own trucks</t>
        </is>
      </c>
      <c r="G397" s="5" t="n">
        <v>46248</v>
      </c>
      <c r="H397" s="5" t="n">
        <v>46251</v>
      </c>
      <c r="I397" s="5" t="n">
        <v>46251</v>
      </c>
      <c r="J397" s="10" t="inlineStr">
        <is>
          <t>14:40</t>
        </is>
      </c>
      <c r="K397" s="10" t="inlineStr">
        <is>
          <t>On time</t>
        </is>
      </c>
      <c r="L397" s="6" t="n">
        <v>0</v>
      </c>
      <c r="M397" s="10" t="n"/>
      <c r="N397" s="6" t="n">
        <v>18</v>
      </c>
      <c r="O397" s="6" t="n">
        <v>2340</v>
      </c>
      <c r="P397" s="6" t="n">
        <v>1</v>
      </c>
      <c r="Q397" s="6">
        <f>IF(OR(K397="On time",K397="Late",K397="Very late"),1,0)</f>
        <v/>
      </c>
    </row>
    <row r="398">
      <c r="A398" s="10" t="inlineStr">
        <is>
          <t>DN318608</t>
        </is>
      </c>
      <c r="B398" s="10" t="inlineStr">
        <is>
          <t>SO62354</t>
        </is>
      </c>
      <c r="C398" s="10" t="inlineStr">
        <is>
          <t>C12103</t>
        </is>
      </c>
      <c r="D398" s="10">
        <f>INDEX(Customers!$B:$B,MATCH(C398,Customers!$A:$A,0))</f>
        <v/>
      </c>
      <c r="E398" s="10">
        <f>INDEX(Customers!$D:$D,MATCH(C398,Customers!$A:$A,0))</f>
        <v/>
      </c>
      <c r="F398" s="10" t="inlineStr">
        <is>
          <t>Own trucks</t>
        </is>
      </c>
      <c r="G398" s="5" t="n">
        <v>46248</v>
      </c>
      <c r="H398" s="5" t="n">
        <v>46251</v>
      </c>
      <c r="I398" s="5" t="n">
        <v>46251</v>
      </c>
      <c r="J398" s="10" t="inlineStr">
        <is>
          <t>07:20</t>
        </is>
      </c>
      <c r="K398" s="10" t="inlineStr">
        <is>
          <t>On time</t>
        </is>
      </c>
      <c r="L398" s="6" t="n">
        <v>0</v>
      </c>
      <c r="M398" s="10" t="n"/>
      <c r="N398" s="6" t="n">
        <v>39</v>
      </c>
      <c r="O398" s="6" t="n">
        <v>2457</v>
      </c>
      <c r="P398" s="6" t="n">
        <v>1</v>
      </c>
      <c r="Q398" s="6">
        <f>IF(OR(K398="On time",K398="Late",K398="Very late"),1,0)</f>
        <v/>
      </c>
    </row>
    <row r="399">
      <c r="A399" s="10" t="inlineStr">
        <is>
          <t>DN318609</t>
        </is>
      </c>
      <c r="B399" s="10" t="inlineStr">
        <is>
          <t>SO62355</t>
        </is>
      </c>
      <c r="C399" s="10" t="inlineStr">
        <is>
          <t>C12117</t>
        </is>
      </c>
      <c r="D399" s="10">
        <f>INDEX(Customers!$B:$B,MATCH(C399,Customers!$A:$A,0))</f>
        <v/>
      </c>
      <c r="E399" s="10">
        <f>INDEX(Customers!$D:$D,MATCH(C399,Customers!$A:$A,0))</f>
        <v/>
      </c>
      <c r="F399" s="10" t="inlineStr">
        <is>
          <t>Own trucks</t>
        </is>
      </c>
      <c r="G399" s="5" t="n">
        <v>46248</v>
      </c>
      <c r="H399" s="5" t="n">
        <v>46251</v>
      </c>
      <c r="I399" s="5" t="n">
        <v>46251</v>
      </c>
      <c r="J399" s="10" t="inlineStr">
        <is>
          <t>10:20</t>
        </is>
      </c>
      <c r="K399" s="10" t="inlineStr">
        <is>
          <t>On time</t>
        </is>
      </c>
      <c r="L399" s="6" t="n">
        <v>0</v>
      </c>
      <c r="M399" s="10" t="n"/>
      <c r="N399" s="6" t="n">
        <v>4</v>
      </c>
      <c r="O399" s="6" t="n">
        <v>252</v>
      </c>
      <c r="P399" s="6" t="n">
        <v>1</v>
      </c>
      <c r="Q399" s="6">
        <f>IF(OR(K399="On time",K399="Late",K399="Very late"),1,0)</f>
        <v/>
      </c>
    </row>
    <row r="400">
      <c r="A400" s="10" t="inlineStr">
        <is>
          <t>DN318610</t>
        </is>
      </c>
      <c r="B400" s="10" t="inlineStr">
        <is>
          <t>SO62356</t>
        </is>
      </c>
      <c r="C400" s="10" t="inlineStr">
        <is>
          <t>C12239</t>
        </is>
      </c>
      <c r="D400" s="10">
        <f>INDEX(Customers!$B:$B,MATCH(C400,Customers!$A:$A,0))</f>
        <v/>
      </c>
      <c r="E400" s="10">
        <f>INDEX(Customers!$D:$D,MATCH(C400,Customers!$A:$A,0))</f>
        <v/>
      </c>
      <c r="F400" s="10" t="inlineStr">
        <is>
          <t>Carrier B</t>
        </is>
      </c>
      <c r="G400" s="5" t="n">
        <v>46248</v>
      </c>
      <c r="H400" s="5" t="n">
        <v>46251</v>
      </c>
      <c r="I400" s="5" t="n">
        <v>46252</v>
      </c>
      <c r="J400" s="10" t="inlineStr">
        <is>
          <t>15:20</t>
        </is>
      </c>
      <c r="K400" s="10" t="inlineStr">
        <is>
          <t>Late</t>
        </is>
      </c>
      <c r="L400" s="6" t="n">
        <v>1</v>
      </c>
      <c r="M400" s="10" t="inlineStr">
        <is>
          <t>Carrier delay</t>
        </is>
      </c>
      <c r="N400" s="6" t="n">
        <v>11</v>
      </c>
      <c r="O400" s="6" t="n">
        <v>605</v>
      </c>
      <c r="P400" s="6" t="n">
        <v>1</v>
      </c>
      <c r="Q400" s="6">
        <f>IF(OR(K400="On time",K400="Late",K400="Very late"),1,0)</f>
        <v/>
      </c>
    </row>
    <row r="401">
      <c r="A401" s="10" t="inlineStr">
        <is>
          <t>DN318611</t>
        </is>
      </c>
      <c r="B401" s="10" t="inlineStr">
        <is>
          <t>SO62357</t>
        </is>
      </c>
      <c r="C401" s="10" t="inlineStr">
        <is>
          <t>C12262</t>
        </is>
      </c>
      <c r="D401" s="10">
        <f>INDEX(Customers!$B:$B,MATCH(C401,Customers!$A:$A,0))</f>
        <v/>
      </c>
      <c r="E401" s="10">
        <f>INDEX(Customers!$D:$D,MATCH(C401,Customers!$A:$A,0))</f>
        <v/>
      </c>
      <c r="F401" s="10" t="inlineStr">
        <is>
          <t>Carrier B</t>
        </is>
      </c>
      <c r="G401" s="5" t="n">
        <v>46248</v>
      </c>
      <c r="H401" s="5" t="n">
        <v>46251</v>
      </c>
      <c r="I401" s="5" t="n">
        <v>46251</v>
      </c>
      <c r="J401" s="10" t="inlineStr">
        <is>
          <t>13:20</t>
        </is>
      </c>
      <c r="K401" s="10" t="inlineStr">
        <is>
          <t>On time</t>
        </is>
      </c>
      <c r="L401" s="6" t="n">
        <v>0</v>
      </c>
      <c r="M401" s="10" t="n"/>
      <c r="N401" s="6" t="n">
        <v>8</v>
      </c>
      <c r="O401" s="6" t="n">
        <v>808</v>
      </c>
      <c r="P401" s="6" t="n">
        <v>1</v>
      </c>
      <c r="Q401" s="6">
        <f>IF(OR(K401="On time",K401="Late",K401="Very late"),1,0)</f>
        <v/>
      </c>
    </row>
    <row r="402">
      <c r="A402" s="10" t="inlineStr">
        <is>
          <t>DN318612</t>
        </is>
      </c>
      <c r="B402" s="10" t="inlineStr">
        <is>
          <t>SO62359</t>
        </is>
      </c>
      <c r="C402" s="10" t="inlineStr">
        <is>
          <t>C12305</t>
        </is>
      </c>
      <c r="D402" s="10">
        <f>INDEX(Customers!$B:$B,MATCH(C402,Customers!$A:$A,0))</f>
        <v/>
      </c>
      <c r="E402" s="10">
        <f>INDEX(Customers!$D:$D,MATCH(C402,Customers!$A:$A,0))</f>
        <v/>
      </c>
      <c r="F402" s="10" t="inlineStr">
        <is>
          <t>Carrier B</t>
        </is>
      </c>
      <c r="G402" s="5" t="n">
        <v>46248</v>
      </c>
      <c r="H402" s="5" t="n">
        <v>46251</v>
      </c>
      <c r="I402" s="5" t="n">
        <v>46251</v>
      </c>
      <c r="J402" s="10" t="inlineStr">
        <is>
          <t>07:20</t>
        </is>
      </c>
      <c r="K402" s="10" t="inlineStr">
        <is>
          <t>On time</t>
        </is>
      </c>
      <c r="L402" s="6" t="n">
        <v>0</v>
      </c>
      <c r="M402" s="10" t="n"/>
      <c r="N402" s="6" t="n">
        <v>16</v>
      </c>
      <c r="O402" s="6" t="n">
        <v>1344</v>
      </c>
      <c r="P402" s="6" t="n">
        <v>1</v>
      </c>
      <c r="Q402" s="6">
        <f>IF(OR(K402="On time",K402="Late",K402="Very late"),1,0)</f>
        <v/>
      </c>
    </row>
    <row r="403">
      <c r="A403" s="10" t="inlineStr">
        <is>
          <t>DN318613</t>
        </is>
      </c>
      <c r="B403" s="10" t="inlineStr">
        <is>
          <t>SO62360</t>
        </is>
      </c>
      <c r="C403" s="10" t="inlineStr">
        <is>
          <t>C12365</t>
        </is>
      </c>
      <c r="D403" s="10">
        <f>INDEX(Customers!$B:$B,MATCH(C403,Customers!$A:$A,0))</f>
        <v/>
      </c>
      <c r="E403" s="10">
        <f>INDEX(Customers!$D:$D,MATCH(C403,Customers!$A:$A,0))</f>
        <v/>
      </c>
      <c r="F403" s="10" t="inlineStr">
        <is>
          <t>Carrier B</t>
        </is>
      </c>
      <c r="G403" s="5" t="n">
        <v>46248</v>
      </c>
      <c r="H403" s="5" t="n">
        <v>46251</v>
      </c>
      <c r="I403" s="5" t="n">
        <v>46251</v>
      </c>
      <c r="J403" s="10" t="inlineStr">
        <is>
          <t>07:00</t>
        </is>
      </c>
      <c r="K403" s="10" t="inlineStr">
        <is>
          <t>On time</t>
        </is>
      </c>
      <c r="L403" s="6" t="n">
        <v>0</v>
      </c>
      <c r="M403" s="10" t="n"/>
      <c r="N403" s="6" t="n">
        <v>9</v>
      </c>
      <c r="O403" s="6" t="n">
        <v>603</v>
      </c>
      <c r="P403" s="6" t="n">
        <v>0</v>
      </c>
      <c r="Q403" s="6">
        <f>IF(OR(K403="On time",K403="Late",K403="Very late"),1,0)</f>
        <v/>
      </c>
    </row>
    <row r="404">
      <c r="A404" s="10" t="inlineStr">
        <is>
          <t>DN318614</t>
        </is>
      </c>
      <c r="B404" s="10" t="inlineStr">
        <is>
          <t>SO62361</t>
        </is>
      </c>
      <c r="C404" s="10" t="inlineStr">
        <is>
          <t>C12389</t>
        </is>
      </c>
      <c r="D404" s="10">
        <f>INDEX(Customers!$B:$B,MATCH(C404,Customers!$A:$A,0))</f>
        <v/>
      </c>
      <c r="E404" s="10">
        <f>INDEX(Customers!$D:$D,MATCH(C404,Customers!$A:$A,0))</f>
        <v/>
      </c>
      <c r="F404" s="10" t="inlineStr">
        <is>
          <t>Carrier A</t>
        </is>
      </c>
      <c r="G404" s="5" t="n">
        <v>46248</v>
      </c>
      <c r="H404" s="5" t="n">
        <v>46251</v>
      </c>
      <c r="I404" s="5" t="n">
        <v>46251</v>
      </c>
      <c r="J404" s="10" t="inlineStr">
        <is>
          <t>14:00</t>
        </is>
      </c>
      <c r="K404" s="10" t="inlineStr">
        <is>
          <t>On time</t>
        </is>
      </c>
      <c r="L404" s="6" t="n">
        <v>0</v>
      </c>
      <c r="M404" s="10" t="n"/>
      <c r="N404" s="6" t="n">
        <v>2</v>
      </c>
      <c r="O404" s="6" t="n">
        <v>274</v>
      </c>
      <c r="P404" s="6" t="n">
        <v>1</v>
      </c>
      <c r="Q404" s="6">
        <f>IF(OR(K404="On time",K404="Late",K404="Very late"),1,0)</f>
        <v/>
      </c>
    </row>
    <row r="405">
      <c r="A405" s="10" t="inlineStr">
        <is>
          <t>DN318615</t>
        </is>
      </c>
      <c r="B405" s="10" t="inlineStr">
        <is>
          <t>SO62362</t>
        </is>
      </c>
      <c r="C405" s="10" t="inlineStr">
        <is>
          <t>C12420</t>
        </is>
      </c>
      <c r="D405" s="10">
        <f>INDEX(Customers!$B:$B,MATCH(C405,Customers!$A:$A,0))</f>
        <v/>
      </c>
      <c r="E405" s="10">
        <f>INDEX(Customers!$D:$D,MATCH(C405,Customers!$A:$A,0))</f>
        <v/>
      </c>
      <c r="F405" s="10" t="inlineStr">
        <is>
          <t>Carrier A</t>
        </is>
      </c>
      <c r="G405" s="5" t="n">
        <v>46248</v>
      </c>
      <c r="H405" s="5" t="n">
        <v>46251</v>
      </c>
      <c r="I405" s="5" t="n">
        <v>46251</v>
      </c>
      <c r="J405" s="10" t="inlineStr">
        <is>
          <t>08:00</t>
        </is>
      </c>
      <c r="K405" s="10" t="inlineStr">
        <is>
          <t>On time</t>
        </is>
      </c>
      <c r="L405" s="6" t="n">
        <v>0</v>
      </c>
      <c r="M405" s="10" t="n"/>
      <c r="N405" s="6" t="n">
        <v>8</v>
      </c>
      <c r="O405" s="6" t="n">
        <v>896</v>
      </c>
      <c r="P405" s="6" t="n">
        <v>1</v>
      </c>
      <c r="Q405" s="6">
        <f>IF(OR(K405="On time",K405="Late",K405="Very late"),1,0)</f>
        <v/>
      </c>
    </row>
    <row r="406">
      <c r="A406" s="10" t="inlineStr">
        <is>
          <t>DN318616</t>
        </is>
      </c>
      <c r="B406" s="10" t="inlineStr">
        <is>
          <t>SO62364</t>
        </is>
      </c>
      <c r="C406" s="10" t="inlineStr">
        <is>
          <t>C12490</t>
        </is>
      </c>
      <c r="D406" s="10">
        <f>INDEX(Customers!$B:$B,MATCH(C406,Customers!$A:$A,0))</f>
        <v/>
      </c>
      <c r="E406" s="10">
        <f>INDEX(Customers!$D:$D,MATCH(C406,Customers!$A:$A,0))</f>
        <v/>
      </c>
      <c r="F406" s="10" t="inlineStr">
        <is>
          <t>Carrier A</t>
        </is>
      </c>
      <c r="G406" s="5" t="n">
        <v>46248</v>
      </c>
      <c r="H406" s="5" t="n">
        <v>46251</v>
      </c>
      <c r="I406" s="5" t="n">
        <v>46251</v>
      </c>
      <c r="J406" s="10" t="inlineStr">
        <is>
          <t>09:10</t>
        </is>
      </c>
      <c r="K406" s="10" t="inlineStr">
        <is>
          <t>On time</t>
        </is>
      </c>
      <c r="L406" s="6" t="n">
        <v>0</v>
      </c>
      <c r="M406" s="10" t="n"/>
      <c r="N406" s="6" t="n">
        <v>21</v>
      </c>
      <c r="O406" s="6" t="n">
        <v>1995</v>
      </c>
      <c r="P406" s="6" t="n">
        <v>1</v>
      </c>
      <c r="Q406" s="6">
        <f>IF(OR(K406="On time",K406="Late",K406="Very late"),1,0)</f>
        <v/>
      </c>
    </row>
    <row r="407">
      <c r="A407" s="10" t="inlineStr">
        <is>
          <t>DN318617</t>
        </is>
      </c>
      <c r="B407" s="10" t="inlineStr">
        <is>
          <t>SO62366</t>
        </is>
      </c>
      <c r="C407" s="10" t="inlineStr">
        <is>
          <t>C12543</t>
        </is>
      </c>
      <c r="D407" s="10">
        <f>INDEX(Customers!$B:$B,MATCH(C407,Customers!$A:$A,0))</f>
        <v/>
      </c>
      <c r="E407" s="10">
        <f>INDEX(Customers!$D:$D,MATCH(C407,Customers!$A:$A,0))</f>
        <v/>
      </c>
      <c r="F407" s="10" t="inlineStr">
        <is>
          <t>Carrier B</t>
        </is>
      </c>
      <c r="G407" s="5" t="n">
        <v>46247</v>
      </c>
      <c r="H407" s="5" t="n">
        <v>46251</v>
      </c>
      <c r="I407" s="5" t="n">
        <v>46251</v>
      </c>
      <c r="J407" s="10" t="inlineStr">
        <is>
          <t>07:20</t>
        </is>
      </c>
      <c r="K407" s="10" t="inlineStr">
        <is>
          <t>On time</t>
        </is>
      </c>
      <c r="L407" s="6" t="n">
        <v>0</v>
      </c>
      <c r="M407" s="10" t="n"/>
      <c r="N407" s="6" t="n">
        <v>25</v>
      </c>
      <c r="O407" s="6" t="n">
        <v>1825</v>
      </c>
      <c r="P407" s="6" t="n">
        <v>1</v>
      </c>
      <c r="Q407" s="6">
        <f>IF(OR(K407="On time",K407="Late",K407="Very late"),1,0)</f>
        <v/>
      </c>
    </row>
    <row r="408">
      <c r="A408" s="10" t="inlineStr">
        <is>
          <t>DN318618</t>
        </is>
      </c>
      <c r="B408" s="10" t="inlineStr">
        <is>
          <t>SO62367</t>
        </is>
      </c>
      <c r="C408" s="10" t="inlineStr">
        <is>
          <t>C12617</t>
        </is>
      </c>
      <c r="D408" s="10">
        <f>INDEX(Customers!$B:$B,MATCH(C408,Customers!$A:$A,0))</f>
        <v/>
      </c>
      <c r="E408" s="10">
        <f>INDEX(Customers!$D:$D,MATCH(C408,Customers!$A:$A,0))</f>
        <v/>
      </c>
      <c r="F408" s="10" t="inlineStr">
        <is>
          <t>Carrier B</t>
        </is>
      </c>
      <c r="G408" s="5" t="n">
        <v>46247</v>
      </c>
      <c r="H408" s="5" t="n">
        <v>46251</v>
      </c>
      <c r="I408" s="5" t="n">
        <v>46251</v>
      </c>
      <c r="J408" s="10" t="inlineStr">
        <is>
          <t>10:40</t>
        </is>
      </c>
      <c r="K408" s="10" t="inlineStr">
        <is>
          <t>On time</t>
        </is>
      </c>
      <c r="L408" s="6" t="n">
        <v>0</v>
      </c>
      <c r="M408" s="10" t="n"/>
      <c r="N408" s="6" t="n">
        <v>3</v>
      </c>
      <c r="O408" s="6" t="n">
        <v>165</v>
      </c>
      <c r="P408" s="6" t="n">
        <v>1</v>
      </c>
      <c r="Q408" s="6">
        <f>IF(OR(K408="On time",K408="Late",K408="Very late"),1,0)</f>
        <v/>
      </c>
    </row>
    <row r="409">
      <c r="A409" s="10" t="inlineStr">
        <is>
          <t>DN318619</t>
        </is>
      </c>
      <c r="B409" s="10" t="inlineStr">
        <is>
          <t>SO62368</t>
        </is>
      </c>
      <c r="C409" s="10" t="inlineStr">
        <is>
          <t>C12639</t>
        </is>
      </c>
      <c r="D409" s="10">
        <f>INDEX(Customers!$B:$B,MATCH(C409,Customers!$A:$A,0))</f>
        <v/>
      </c>
      <c r="E409" s="10">
        <f>INDEX(Customers!$D:$D,MATCH(C409,Customers!$A:$A,0))</f>
        <v/>
      </c>
      <c r="F409" s="10" t="inlineStr">
        <is>
          <t>Carrier B</t>
        </is>
      </c>
      <c r="G409" s="5" t="n">
        <v>46247</v>
      </c>
      <c r="H409" s="5" t="n">
        <v>46251</v>
      </c>
      <c r="I409" s="5" t="n">
        <v>46251</v>
      </c>
      <c r="J409" s="10" t="inlineStr">
        <is>
          <t>07:50</t>
        </is>
      </c>
      <c r="K409" s="10" t="inlineStr">
        <is>
          <t>On time</t>
        </is>
      </c>
      <c r="L409" s="6" t="n">
        <v>0</v>
      </c>
      <c r="M409" s="10" t="n"/>
      <c r="N409" s="6" t="n">
        <v>37</v>
      </c>
      <c r="O409" s="6" t="n">
        <v>2553</v>
      </c>
      <c r="P409" s="6" t="n">
        <v>1</v>
      </c>
      <c r="Q409" s="6">
        <f>IF(OR(K409="On time",K409="Late",K409="Very late"),1,0)</f>
        <v/>
      </c>
    </row>
    <row r="410">
      <c r="A410" s="10" t="inlineStr">
        <is>
          <t>DN318620</t>
        </is>
      </c>
      <c r="B410" s="10" t="inlineStr">
        <is>
          <t>SO62369</t>
        </is>
      </c>
      <c r="C410" s="10" t="inlineStr">
        <is>
          <t>C12675</t>
        </is>
      </c>
      <c r="D410" s="10">
        <f>INDEX(Customers!$B:$B,MATCH(C410,Customers!$A:$A,0))</f>
        <v/>
      </c>
      <c r="E410" s="10">
        <f>INDEX(Customers!$D:$D,MATCH(C410,Customers!$A:$A,0))</f>
        <v/>
      </c>
      <c r="F410" s="10" t="inlineStr">
        <is>
          <t>Carrier B</t>
        </is>
      </c>
      <c r="G410" s="5" t="n">
        <v>46247</v>
      </c>
      <c r="H410" s="5" t="n">
        <v>46251</v>
      </c>
      <c r="I410" s="5" t="n">
        <v>46251</v>
      </c>
      <c r="J410" s="10" t="inlineStr">
        <is>
          <t>13:00</t>
        </is>
      </c>
      <c r="K410" s="10" t="inlineStr">
        <is>
          <t>On time</t>
        </is>
      </c>
      <c r="L410" s="6" t="n">
        <v>0</v>
      </c>
      <c r="M410" s="10" t="n"/>
      <c r="N410" s="6" t="n">
        <v>26</v>
      </c>
      <c r="O410" s="6" t="n">
        <v>2730</v>
      </c>
      <c r="P410" s="6" t="n">
        <v>1</v>
      </c>
      <c r="Q410" s="6">
        <f>IF(OR(K410="On time",K410="Late",K410="Very late"),1,0)</f>
        <v/>
      </c>
    </row>
    <row r="411">
      <c r="A411" s="10" t="inlineStr">
        <is>
          <t>DN318621</t>
        </is>
      </c>
      <c r="B411" s="10" t="inlineStr">
        <is>
          <t>SO62370</t>
        </is>
      </c>
      <c r="C411" s="10" t="inlineStr">
        <is>
          <t>C10268</t>
        </is>
      </c>
      <c r="D411" s="10">
        <f>INDEX(Customers!$B:$B,MATCH(C411,Customers!$A:$A,0))</f>
        <v/>
      </c>
      <c r="E411" s="10">
        <f>INDEX(Customers!$D:$D,MATCH(C411,Customers!$A:$A,0))</f>
        <v/>
      </c>
      <c r="F411" s="10" t="inlineStr">
        <is>
          <t>Own trucks</t>
        </is>
      </c>
      <c r="G411" s="5" t="n">
        <v>46251</v>
      </c>
      <c r="H411" s="5" t="n">
        <v>46252</v>
      </c>
      <c r="I411" s="5" t="n">
        <v>46252</v>
      </c>
      <c r="J411" s="10" t="inlineStr">
        <is>
          <t>13:50</t>
        </is>
      </c>
      <c r="K411" s="10" t="inlineStr">
        <is>
          <t>On time</t>
        </is>
      </c>
      <c r="L411" s="6" t="n">
        <v>0</v>
      </c>
      <c r="M411" s="10" t="n"/>
      <c r="N411" s="6" t="n">
        <v>24</v>
      </c>
      <c r="O411" s="6" t="n">
        <v>2592</v>
      </c>
      <c r="P411" s="6" t="n">
        <v>1</v>
      </c>
      <c r="Q411" s="6">
        <f>IF(OR(K411="On time",K411="Late",K411="Very late"),1,0)</f>
        <v/>
      </c>
    </row>
    <row r="412">
      <c r="A412" s="10" t="inlineStr">
        <is>
          <t>DN318622</t>
        </is>
      </c>
      <c r="B412" s="10" t="inlineStr">
        <is>
          <t>SO62372</t>
        </is>
      </c>
      <c r="C412" s="10" t="inlineStr">
        <is>
          <t>C10322</t>
        </is>
      </c>
      <c r="D412" s="10">
        <f>INDEX(Customers!$B:$B,MATCH(C412,Customers!$A:$A,0))</f>
        <v/>
      </c>
      <c r="E412" s="10">
        <f>INDEX(Customers!$D:$D,MATCH(C412,Customers!$A:$A,0))</f>
        <v/>
      </c>
      <c r="F412" s="10" t="inlineStr">
        <is>
          <t>Own trucks</t>
        </is>
      </c>
      <c r="G412" s="5" t="n">
        <v>46251</v>
      </c>
      <c r="H412" s="5" t="n">
        <v>46252</v>
      </c>
      <c r="I412" s="5" t="n">
        <v>46252</v>
      </c>
      <c r="J412" s="10" t="inlineStr">
        <is>
          <t>08:30</t>
        </is>
      </c>
      <c r="K412" s="10" t="inlineStr">
        <is>
          <t>On time</t>
        </is>
      </c>
      <c r="L412" s="6" t="n">
        <v>0</v>
      </c>
      <c r="M412" s="10" t="n"/>
      <c r="N412" s="6" t="n">
        <v>38</v>
      </c>
      <c r="O412" s="6" t="n">
        <v>3420</v>
      </c>
      <c r="P412" s="6" t="n">
        <v>1</v>
      </c>
      <c r="Q412" s="6">
        <f>IF(OR(K412="On time",K412="Late",K412="Very late"),1,0)</f>
        <v/>
      </c>
    </row>
    <row r="413">
      <c r="A413" s="10" t="inlineStr">
        <is>
          <t>DN318623</t>
        </is>
      </c>
      <c r="B413" s="10" t="inlineStr">
        <is>
          <t>SO62373</t>
        </is>
      </c>
      <c r="C413" s="10" t="inlineStr">
        <is>
          <t>C10343</t>
        </is>
      </c>
      <c r="D413" s="10">
        <f>INDEX(Customers!$B:$B,MATCH(C413,Customers!$A:$A,0))</f>
        <v/>
      </c>
      <c r="E413" s="10">
        <f>INDEX(Customers!$D:$D,MATCH(C413,Customers!$A:$A,0))</f>
        <v/>
      </c>
      <c r="F413" s="10" t="inlineStr">
        <is>
          <t>Same-day courier</t>
        </is>
      </c>
      <c r="G413" s="5" t="n">
        <v>46251</v>
      </c>
      <c r="H413" s="5" t="n">
        <v>46252</v>
      </c>
      <c r="I413" s="5" t="n">
        <v>46252</v>
      </c>
      <c r="J413" s="10" t="inlineStr">
        <is>
          <t>14:30</t>
        </is>
      </c>
      <c r="K413" s="10" t="inlineStr">
        <is>
          <t>On time</t>
        </is>
      </c>
      <c r="L413" s="6" t="n">
        <v>0</v>
      </c>
      <c r="M413" s="10" t="n"/>
      <c r="N413" s="6" t="n">
        <v>10</v>
      </c>
      <c r="O413" s="6" t="n">
        <v>950</v>
      </c>
      <c r="P413" s="6" t="n">
        <v>1</v>
      </c>
      <c r="Q413" s="6">
        <f>IF(OR(K413="On time",K413="Late",K413="Very late"),1,0)</f>
        <v/>
      </c>
    </row>
    <row r="414">
      <c r="A414" s="10" t="inlineStr">
        <is>
          <t>DN318624</t>
        </is>
      </c>
      <c r="B414" s="10" t="inlineStr">
        <is>
          <t>SO62374</t>
        </is>
      </c>
      <c r="C414" s="10" t="inlineStr">
        <is>
          <t>C10413</t>
        </is>
      </c>
      <c r="D414" s="10">
        <f>INDEX(Customers!$B:$B,MATCH(C414,Customers!$A:$A,0))</f>
        <v/>
      </c>
      <c r="E414" s="10">
        <f>INDEX(Customers!$D:$D,MATCH(C414,Customers!$A:$A,0))</f>
        <v/>
      </c>
      <c r="F414" s="10" t="inlineStr">
        <is>
          <t>Own trucks</t>
        </is>
      </c>
      <c r="G414" s="5" t="n">
        <v>46251</v>
      </c>
      <c r="H414" s="5" t="n">
        <v>46252</v>
      </c>
      <c r="I414" s="5" t="n">
        <v>46252</v>
      </c>
      <c r="J414" s="10" t="inlineStr">
        <is>
          <t>16:00</t>
        </is>
      </c>
      <c r="K414" s="10" t="inlineStr">
        <is>
          <t>On time</t>
        </is>
      </c>
      <c r="L414" s="6" t="n">
        <v>0</v>
      </c>
      <c r="M414" s="10" t="n"/>
      <c r="N414" s="6" t="n">
        <v>4</v>
      </c>
      <c r="O414" s="6" t="n">
        <v>500</v>
      </c>
      <c r="P414" s="6" t="n">
        <v>1</v>
      </c>
      <c r="Q414" s="6">
        <f>IF(OR(K414="On time",K414="Late",K414="Very late"),1,0)</f>
        <v/>
      </c>
    </row>
    <row r="415">
      <c r="A415" s="10" t="inlineStr">
        <is>
          <t>DN318625</t>
        </is>
      </c>
      <c r="B415" s="10" t="inlineStr">
        <is>
          <t>SO62375</t>
        </is>
      </c>
      <c r="C415" s="10" t="inlineStr">
        <is>
          <t>C10515</t>
        </is>
      </c>
      <c r="D415" s="10">
        <f>INDEX(Customers!$B:$B,MATCH(C415,Customers!$A:$A,0))</f>
        <v/>
      </c>
      <c r="E415" s="10">
        <f>INDEX(Customers!$D:$D,MATCH(C415,Customers!$A:$A,0))</f>
        <v/>
      </c>
      <c r="F415" s="10" t="inlineStr">
        <is>
          <t>Own trucks</t>
        </is>
      </c>
      <c r="G415" s="5" t="n">
        <v>46251</v>
      </c>
      <c r="H415" s="5" t="n">
        <v>46252</v>
      </c>
      <c r="I415" s="5" t="n">
        <v>46252</v>
      </c>
      <c r="J415" s="10" t="inlineStr">
        <is>
          <t>09:40</t>
        </is>
      </c>
      <c r="K415" s="10" t="inlineStr">
        <is>
          <t>On time</t>
        </is>
      </c>
      <c r="L415" s="6" t="n">
        <v>0</v>
      </c>
      <c r="M415" s="10" t="n"/>
      <c r="N415" s="6" t="n">
        <v>30</v>
      </c>
      <c r="O415" s="6" t="n">
        <v>2940</v>
      </c>
      <c r="P415" s="6" t="n">
        <v>1</v>
      </c>
      <c r="Q415" s="6">
        <f>IF(OR(K415="On time",K415="Late",K415="Very late"),1,0)</f>
        <v/>
      </c>
    </row>
    <row r="416">
      <c r="A416" s="10" t="inlineStr">
        <is>
          <t>DN318626</t>
        </is>
      </c>
      <c r="B416" s="10" t="inlineStr">
        <is>
          <t>SO62376</t>
        </is>
      </c>
      <c r="C416" s="10" t="inlineStr">
        <is>
          <t>C10522</t>
        </is>
      </c>
      <c r="D416" s="10">
        <f>INDEX(Customers!$B:$B,MATCH(C416,Customers!$A:$A,0))</f>
        <v/>
      </c>
      <c r="E416" s="10">
        <f>INDEX(Customers!$D:$D,MATCH(C416,Customers!$A:$A,0))</f>
        <v/>
      </c>
      <c r="F416" s="10" t="inlineStr">
        <is>
          <t>Own trucks</t>
        </is>
      </c>
      <c r="G416" s="5" t="n">
        <v>46251</v>
      </c>
      <c r="H416" s="5" t="n">
        <v>46252</v>
      </c>
      <c r="I416" s="5" t="n">
        <v>46252</v>
      </c>
      <c r="J416" s="10" t="inlineStr">
        <is>
          <t>11:00</t>
        </is>
      </c>
      <c r="K416" s="10" t="inlineStr">
        <is>
          <t>On time</t>
        </is>
      </c>
      <c r="L416" s="6" t="n">
        <v>0</v>
      </c>
      <c r="M416" s="10" t="n"/>
      <c r="N416" s="6" t="n">
        <v>25</v>
      </c>
      <c r="O416" s="6" t="n">
        <v>1750</v>
      </c>
      <c r="P416" s="6" t="n">
        <v>1</v>
      </c>
      <c r="Q416" s="6">
        <f>IF(OR(K416="On time",K416="Late",K416="Very late"),1,0)</f>
        <v/>
      </c>
    </row>
    <row r="417">
      <c r="A417" s="10" t="inlineStr">
        <is>
          <t>DN318627</t>
        </is>
      </c>
      <c r="B417" s="10" t="inlineStr">
        <is>
          <t>SO62378</t>
        </is>
      </c>
      <c r="C417" s="10" t="inlineStr">
        <is>
          <t>C10536</t>
        </is>
      </c>
      <c r="D417" s="10">
        <f>INDEX(Customers!$B:$B,MATCH(C417,Customers!$A:$A,0))</f>
        <v/>
      </c>
      <c r="E417" s="10">
        <f>INDEX(Customers!$D:$D,MATCH(C417,Customers!$A:$A,0))</f>
        <v/>
      </c>
      <c r="F417" s="10" t="inlineStr">
        <is>
          <t>Own trucks</t>
        </is>
      </c>
      <c r="G417" s="5" t="n">
        <v>46251</v>
      </c>
      <c r="H417" s="5" t="n">
        <v>46252</v>
      </c>
      <c r="I417" s="5" t="n">
        <v>46252</v>
      </c>
      <c r="J417" s="10" t="inlineStr">
        <is>
          <t>16:30</t>
        </is>
      </c>
      <c r="K417" s="10" t="inlineStr">
        <is>
          <t>On time</t>
        </is>
      </c>
      <c r="L417" s="6" t="n">
        <v>0</v>
      </c>
      <c r="M417" s="10" t="n"/>
      <c r="N417" s="6" t="n">
        <v>19</v>
      </c>
      <c r="O417" s="6" t="n">
        <v>1216</v>
      </c>
      <c r="P417" s="6" t="n">
        <v>1</v>
      </c>
      <c r="Q417" s="6">
        <f>IF(OR(K417="On time",K417="Late",K417="Very late"),1,0)</f>
        <v/>
      </c>
    </row>
    <row r="418">
      <c r="A418" s="10" t="inlineStr">
        <is>
          <t>DN318628</t>
        </is>
      </c>
      <c r="B418" s="10" t="inlineStr">
        <is>
          <t>SO62379</t>
        </is>
      </c>
      <c r="C418" s="10" t="inlineStr">
        <is>
          <t>C10622</t>
        </is>
      </c>
      <c r="D418" s="10">
        <f>INDEX(Customers!$B:$B,MATCH(C418,Customers!$A:$A,0))</f>
        <v/>
      </c>
      <c r="E418" s="10">
        <f>INDEX(Customers!$D:$D,MATCH(C418,Customers!$A:$A,0))</f>
        <v/>
      </c>
      <c r="F418" s="10" t="inlineStr">
        <is>
          <t>Own trucks</t>
        </is>
      </c>
      <c r="G418" s="5" t="n">
        <v>46251</v>
      </c>
      <c r="H418" s="5" t="n">
        <v>46252</v>
      </c>
      <c r="I418" s="5" t="n">
        <v>46252</v>
      </c>
      <c r="J418" s="10" t="inlineStr">
        <is>
          <t>09:10</t>
        </is>
      </c>
      <c r="K418" s="10" t="inlineStr">
        <is>
          <t>On time</t>
        </is>
      </c>
      <c r="L418" s="6" t="n">
        <v>0</v>
      </c>
      <c r="M418" s="10" t="n"/>
      <c r="N418" s="6" t="n">
        <v>37</v>
      </c>
      <c r="O418" s="6" t="n">
        <v>5069</v>
      </c>
      <c r="P418" s="6" t="n">
        <v>0</v>
      </c>
      <c r="Q418" s="6">
        <f>IF(OR(K418="On time",K418="Late",K418="Very late"),1,0)</f>
        <v/>
      </c>
    </row>
    <row r="419">
      <c r="A419" s="10" t="inlineStr">
        <is>
          <t>DN318629</t>
        </is>
      </c>
      <c r="B419" s="10" t="inlineStr">
        <is>
          <t>SO62380</t>
        </is>
      </c>
      <c r="C419" s="10" t="inlineStr">
        <is>
          <t>C10676</t>
        </is>
      </c>
      <c r="D419" s="10">
        <f>INDEX(Customers!$B:$B,MATCH(C419,Customers!$A:$A,0))</f>
        <v/>
      </c>
      <c r="E419" s="10">
        <f>INDEX(Customers!$D:$D,MATCH(C419,Customers!$A:$A,0))</f>
        <v/>
      </c>
      <c r="F419" s="10" t="inlineStr">
        <is>
          <t>Own trucks</t>
        </is>
      </c>
      <c r="G419" s="5" t="n">
        <v>46251</v>
      </c>
      <c r="H419" s="5" t="n">
        <v>46252</v>
      </c>
      <c r="I419" s="5" t="n">
        <v>46252</v>
      </c>
      <c r="J419" s="10" t="inlineStr">
        <is>
          <t>16:00</t>
        </is>
      </c>
      <c r="K419" s="10" t="inlineStr">
        <is>
          <t>On time</t>
        </is>
      </c>
      <c r="L419" s="6" t="n">
        <v>0</v>
      </c>
      <c r="M419" s="10" t="n"/>
      <c r="N419" s="6" t="n">
        <v>17</v>
      </c>
      <c r="O419" s="6" t="n">
        <v>1751</v>
      </c>
      <c r="P419" s="6" t="n">
        <v>1</v>
      </c>
      <c r="Q419" s="6">
        <f>IF(OR(K419="On time",K419="Late",K419="Very late"),1,0)</f>
        <v/>
      </c>
    </row>
    <row r="420">
      <c r="A420" s="10" t="inlineStr">
        <is>
          <t>DN318630</t>
        </is>
      </c>
      <c r="B420" s="10" t="inlineStr">
        <is>
          <t>SO62381</t>
        </is>
      </c>
      <c r="C420" s="10" t="inlineStr">
        <is>
          <t>C10684</t>
        </is>
      </c>
      <c r="D420" s="10">
        <f>INDEX(Customers!$B:$B,MATCH(C420,Customers!$A:$A,0))</f>
        <v/>
      </c>
      <c r="E420" s="10">
        <f>INDEX(Customers!$D:$D,MATCH(C420,Customers!$A:$A,0))</f>
        <v/>
      </c>
      <c r="F420" s="10" t="inlineStr">
        <is>
          <t>Own trucks</t>
        </is>
      </c>
      <c r="G420" s="5" t="n">
        <v>46251</v>
      </c>
      <c r="H420" s="5" t="n">
        <v>46252</v>
      </c>
      <c r="I420" s="5" t="n">
        <v>46252</v>
      </c>
      <c r="J420" s="10" t="inlineStr">
        <is>
          <t>13:10</t>
        </is>
      </c>
      <c r="K420" s="10" t="inlineStr">
        <is>
          <t>On time</t>
        </is>
      </c>
      <c r="L420" s="6" t="n">
        <v>0</v>
      </c>
      <c r="M420" s="10" t="n"/>
      <c r="N420" s="6" t="n">
        <v>28</v>
      </c>
      <c r="O420" s="6" t="n">
        <v>3332</v>
      </c>
      <c r="P420" s="6" t="n">
        <v>1</v>
      </c>
      <c r="Q420" s="6">
        <f>IF(OR(K420="On time",K420="Late",K420="Very late"),1,0)</f>
        <v/>
      </c>
    </row>
    <row r="421">
      <c r="A421" s="10" t="inlineStr">
        <is>
          <t>DN318631</t>
        </is>
      </c>
      <c r="B421" s="10" t="inlineStr">
        <is>
          <t>SO62382</t>
        </is>
      </c>
      <c r="C421" s="10" t="inlineStr">
        <is>
          <t>C10689</t>
        </is>
      </c>
      <c r="D421" s="10">
        <f>INDEX(Customers!$B:$B,MATCH(C421,Customers!$A:$A,0))</f>
        <v/>
      </c>
      <c r="E421" s="10">
        <f>INDEX(Customers!$D:$D,MATCH(C421,Customers!$A:$A,0))</f>
        <v/>
      </c>
      <c r="F421" s="10" t="inlineStr">
        <is>
          <t>Own trucks</t>
        </is>
      </c>
      <c r="G421" s="5" t="n">
        <v>46251</v>
      </c>
      <c r="H421" s="5" t="n">
        <v>46252</v>
      </c>
      <c r="I421" s="5" t="n">
        <v>46252</v>
      </c>
      <c r="J421" s="10" t="inlineStr">
        <is>
          <t>14:10</t>
        </is>
      </c>
      <c r="K421" s="10" t="inlineStr">
        <is>
          <t>On time</t>
        </is>
      </c>
      <c r="L421" s="6" t="n">
        <v>0</v>
      </c>
      <c r="M421" s="10" t="n"/>
      <c r="N421" s="6" t="n">
        <v>9</v>
      </c>
      <c r="O421" s="6" t="n">
        <v>729</v>
      </c>
      <c r="P421" s="6" t="n">
        <v>1</v>
      </c>
      <c r="Q421" s="6">
        <f>IF(OR(K421="On time",K421="Late",K421="Very late"),1,0)</f>
        <v/>
      </c>
    </row>
    <row r="422">
      <c r="A422" s="10" t="inlineStr">
        <is>
          <t>DN318633</t>
        </is>
      </c>
      <c r="B422" s="10" t="inlineStr">
        <is>
          <t>SO62383</t>
        </is>
      </c>
      <c r="C422" s="10" t="inlineStr">
        <is>
          <t>C10746</t>
        </is>
      </c>
      <c r="D422" s="10">
        <f>INDEX(Customers!$B:$B,MATCH(C422,Customers!$A:$A,0))</f>
        <v/>
      </c>
      <c r="E422" s="10">
        <f>INDEX(Customers!$D:$D,MATCH(C422,Customers!$A:$A,0))</f>
        <v/>
      </c>
      <c r="F422" s="10" t="inlineStr">
        <is>
          <t>Own trucks</t>
        </is>
      </c>
      <c r="G422" s="5" t="n">
        <v>46251</v>
      </c>
      <c r="H422" s="5" t="n">
        <v>46252</v>
      </c>
      <c r="I422" s="5" t="n">
        <v>46252</v>
      </c>
      <c r="J422" s="10" t="inlineStr">
        <is>
          <t>08:30</t>
        </is>
      </c>
      <c r="K422" s="10" t="inlineStr">
        <is>
          <t>On time</t>
        </is>
      </c>
      <c r="L422" s="6" t="n">
        <v>0</v>
      </c>
      <c r="M422" s="10" t="n"/>
      <c r="N422" s="6" t="n">
        <v>31</v>
      </c>
      <c r="O422" s="6" t="n">
        <v>3193</v>
      </c>
      <c r="P422" s="6" t="n">
        <v>1</v>
      </c>
      <c r="Q422" s="6">
        <f>IF(OR(K422="On time",K422="Late",K422="Very late"),1,0)</f>
        <v/>
      </c>
    </row>
    <row r="423">
      <c r="A423" s="10" t="inlineStr">
        <is>
          <t>DN318634</t>
        </is>
      </c>
      <c r="B423" s="10" t="inlineStr">
        <is>
          <t>SO62384</t>
        </is>
      </c>
      <c r="C423" s="10" t="inlineStr">
        <is>
          <t>C10796</t>
        </is>
      </c>
      <c r="D423" s="10">
        <f>INDEX(Customers!$B:$B,MATCH(C423,Customers!$A:$A,0))</f>
        <v/>
      </c>
      <c r="E423" s="10">
        <f>INDEX(Customers!$D:$D,MATCH(C423,Customers!$A:$A,0))</f>
        <v/>
      </c>
      <c r="F423" s="10" t="inlineStr">
        <is>
          <t>Own trucks</t>
        </is>
      </c>
      <c r="G423" s="5" t="n">
        <v>46251</v>
      </c>
      <c r="H423" s="5" t="n">
        <v>46252</v>
      </c>
      <c r="I423" s="5" t="n">
        <v>46252</v>
      </c>
      <c r="J423" s="10" t="inlineStr">
        <is>
          <t>13:20</t>
        </is>
      </c>
      <c r="K423" s="10" t="inlineStr">
        <is>
          <t>On time</t>
        </is>
      </c>
      <c r="L423" s="6" t="n">
        <v>0</v>
      </c>
      <c r="M423" s="10" t="n"/>
      <c r="N423" s="6" t="n">
        <v>7</v>
      </c>
      <c r="O423" s="6" t="n">
        <v>777</v>
      </c>
      <c r="P423" s="6" t="n">
        <v>1</v>
      </c>
      <c r="Q423" s="6">
        <f>IF(OR(K423="On time",K423="Late",K423="Very late"),1,0)</f>
        <v/>
      </c>
    </row>
    <row r="424">
      <c r="A424" s="10" t="inlineStr">
        <is>
          <t>DN318635</t>
        </is>
      </c>
      <c r="B424" s="10" t="inlineStr">
        <is>
          <t>SO62385</t>
        </is>
      </c>
      <c r="C424" s="10" t="inlineStr">
        <is>
          <t>C10847</t>
        </is>
      </c>
      <c r="D424" s="10">
        <f>INDEX(Customers!$B:$B,MATCH(C424,Customers!$A:$A,0))</f>
        <v/>
      </c>
      <c r="E424" s="10">
        <f>INDEX(Customers!$D:$D,MATCH(C424,Customers!$A:$A,0))</f>
        <v/>
      </c>
      <c r="F424" s="10" t="inlineStr">
        <is>
          <t>Own trucks</t>
        </is>
      </c>
      <c r="G424" s="5" t="n">
        <v>46251</v>
      </c>
      <c r="H424" s="5" t="n">
        <v>46252</v>
      </c>
      <c r="I424" s="5" t="n">
        <v>46252</v>
      </c>
      <c r="J424" s="10" t="inlineStr">
        <is>
          <t>16:50</t>
        </is>
      </c>
      <c r="K424" s="10" t="inlineStr">
        <is>
          <t>On time</t>
        </is>
      </c>
      <c r="L424" s="6" t="n">
        <v>0</v>
      </c>
      <c r="M424" s="10" t="n"/>
      <c r="N424" s="6" t="n">
        <v>40</v>
      </c>
      <c r="O424" s="6" t="n">
        <v>5520</v>
      </c>
      <c r="P424" s="6" t="n">
        <v>1</v>
      </c>
      <c r="Q424" s="6">
        <f>IF(OR(K424="On time",K424="Late",K424="Very late"),1,0)</f>
        <v/>
      </c>
    </row>
    <row r="425">
      <c r="A425" s="10" t="inlineStr">
        <is>
          <t>DN318636</t>
        </is>
      </c>
      <c r="B425" s="10" t="inlineStr">
        <is>
          <t>SO62386</t>
        </is>
      </c>
      <c r="C425" s="10" t="inlineStr">
        <is>
          <t>C10915</t>
        </is>
      </c>
      <c r="D425" s="10">
        <f>INDEX(Customers!$B:$B,MATCH(C425,Customers!$A:$A,0))</f>
        <v/>
      </c>
      <c r="E425" s="10">
        <f>INDEX(Customers!$D:$D,MATCH(C425,Customers!$A:$A,0))</f>
        <v/>
      </c>
      <c r="F425" s="10" t="inlineStr">
        <is>
          <t>Own trucks</t>
        </is>
      </c>
      <c r="G425" s="5" t="n">
        <v>46251</v>
      </c>
      <c r="H425" s="5" t="n">
        <v>46252</v>
      </c>
      <c r="I425" s="5" t="n">
        <v>46252</v>
      </c>
      <c r="J425" s="10" t="inlineStr">
        <is>
          <t>15:10</t>
        </is>
      </c>
      <c r="K425" s="10" t="inlineStr">
        <is>
          <t>On time</t>
        </is>
      </c>
      <c r="L425" s="6" t="n">
        <v>0</v>
      </c>
      <c r="M425" s="10" t="n"/>
      <c r="N425" s="6" t="n">
        <v>14</v>
      </c>
      <c r="O425" s="6" t="n">
        <v>1610</v>
      </c>
      <c r="P425" s="6" t="n">
        <v>1</v>
      </c>
      <c r="Q425" s="6">
        <f>IF(OR(K425="On time",K425="Late",K425="Very late"),1,0)</f>
        <v/>
      </c>
    </row>
    <row r="426">
      <c r="A426" s="10" t="inlineStr">
        <is>
          <t>DN318637</t>
        </is>
      </c>
      <c r="B426" s="10" t="inlineStr">
        <is>
          <t>SO62387</t>
        </is>
      </c>
      <c r="C426" s="10" t="inlineStr">
        <is>
          <t>C10982</t>
        </is>
      </c>
      <c r="D426" s="10">
        <f>INDEX(Customers!$B:$B,MATCH(C426,Customers!$A:$A,0))</f>
        <v/>
      </c>
      <c r="E426" s="10">
        <f>INDEX(Customers!$D:$D,MATCH(C426,Customers!$A:$A,0))</f>
        <v/>
      </c>
      <c r="F426" s="10" t="inlineStr">
        <is>
          <t>Own trucks</t>
        </is>
      </c>
      <c r="G426" s="5" t="n">
        <v>46251</v>
      </c>
      <c r="H426" s="5" t="n">
        <v>46252</v>
      </c>
      <c r="I426" s="5" t="n">
        <v>46252</v>
      </c>
      <c r="J426" s="10" t="inlineStr">
        <is>
          <t>10:20</t>
        </is>
      </c>
      <c r="K426" s="10" t="inlineStr">
        <is>
          <t>On time</t>
        </is>
      </c>
      <c r="L426" s="6" t="n">
        <v>0</v>
      </c>
      <c r="M426" s="10" t="n"/>
      <c r="N426" s="6" t="n">
        <v>10</v>
      </c>
      <c r="O426" s="6" t="n">
        <v>1180</v>
      </c>
      <c r="P426" s="6" t="n">
        <v>1</v>
      </c>
      <c r="Q426" s="6">
        <f>IF(OR(K426="On time",K426="Late",K426="Very late"),1,0)</f>
        <v/>
      </c>
    </row>
    <row r="427">
      <c r="A427" s="10" t="inlineStr">
        <is>
          <t>DN318638</t>
        </is>
      </c>
      <c r="B427" s="10" t="inlineStr">
        <is>
          <t>SO62389</t>
        </is>
      </c>
      <c r="C427" s="10" t="inlineStr">
        <is>
          <t>C11107</t>
        </is>
      </c>
      <c r="D427" s="10">
        <f>INDEX(Customers!$B:$B,MATCH(C427,Customers!$A:$A,0))</f>
        <v/>
      </c>
      <c r="E427" s="10">
        <f>INDEX(Customers!$D:$D,MATCH(C427,Customers!$A:$A,0))</f>
        <v/>
      </c>
      <c r="F427" s="10" t="inlineStr">
        <is>
          <t>Own trucks</t>
        </is>
      </c>
      <c r="G427" s="5" t="n">
        <v>46251</v>
      </c>
      <c r="H427" s="5" t="n">
        <v>46252</v>
      </c>
      <c r="I427" s="5" t="n">
        <v>46252</v>
      </c>
      <c r="J427" s="10" t="inlineStr">
        <is>
          <t>10:20</t>
        </is>
      </c>
      <c r="K427" s="10" t="inlineStr">
        <is>
          <t>On time</t>
        </is>
      </c>
      <c r="L427" s="6" t="n">
        <v>0</v>
      </c>
      <c r="M427" s="10" t="n"/>
      <c r="N427" s="6" t="n">
        <v>39</v>
      </c>
      <c r="O427" s="6" t="n">
        <v>4212</v>
      </c>
      <c r="P427" s="6" t="n">
        <v>1</v>
      </c>
      <c r="Q427" s="6">
        <f>IF(OR(K427="On time",K427="Late",K427="Very late"),1,0)</f>
        <v/>
      </c>
    </row>
    <row r="428">
      <c r="A428" s="10" t="inlineStr">
        <is>
          <t>DN318639</t>
        </is>
      </c>
      <c r="B428" s="10" t="inlineStr">
        <is>
          <t>SO62390</t>
        </is>
      </c>
      <c r="C428" s="10" t="inlineStr">
        <is>
          <t>C11247</t>
        </is>
      </c>
      <c r="D428" s="10">
        <f>INDEX(Customers!$B:$B,MATCH(C428,Customers!$A:$A,0))</f>
        <v/>
      </c>
      <c r="E428" s="10">
        <f>INDEX(Customers!$D:$D,MATCH(C428,Customers!$A:$A,0))</f>
        <v/>
      </c>
      <c r="F428" s="10" t="inlineStr">
        <is>
          <t>Own trucks</t>
        </is>
      </c>
      <c r="G428" s="5" t="n">
        <v>46251</v>
      </c>
      <c r="H428" s="5" t="n">
        <v>46252</v>
      </c>
      <c r="I428" s="5" t="n">
        <v>46252</v>
      </c>
      <c r="J428" s="10" t="inlineStr">
        <is>
          <t>09:50</t>
        </is>
      </c>
      <c r="K428" s="10" t="inlineStr">
        <is>
          <t>On time</t>
        </is>
      </c>
      <c r="L428" s="6" t="n">
        <v>0</v>
      </c>
      <c r="M428" s="10" t="n"/>
      <c r="N428" s="6" t="n">
        <v>40</v>
      </c>
      <c r="O428" s="6" t="n">
        <v>4160</v>
      </c>
      <c r="P428" s="6" t="n">
        <v>1</v>
      </c>
      <c r="Q428" s="6">
        <f>IF(OR(K428="On time",K428="Late",K428="Very late"),1,0)</f>
        <v/>
      </c>
    </row>
    <row r="429">
      <c r="A429" s="10" t="inlineStr">
        <is>
          <t>DN318641</t>
        </is>
      </c>
      <c r="B429" s="10" t="inlineStr">
        <is>
          <t>SO62391</t>
        </is>
      </c>
      <c r="C429" s="10" t="inlineStr">
        <is>
          <t>C11264</t>
        </is>
      </c>
      <c r="D429" s="10">
        <f>INDEX(Customers!$B:$B,MATCH(C429,Customers!$A:$A,0))</f>
        <v/>
      </c>
      <c r="E429" s="10">
        <f>INDEX(Customers!$D:$D,MATCH(C429,Customers!$A:$A,0))</f>
        <v/>
      </c>
      <c r="F429" s="10" t="inlineStr">
        <is>
          <t>Own trucks</t>
        </is>
      </c>
      <c r="G429" s="5" t="n">
        <v>46251</v>
      </c>
      <c r="H429" s="5" t="n">
        <v>46252</v>
      </c>
      <c r="I429" s="5" t="n">
        <v>46252</v>
      </c>
      <c r="J429" s="10" t="inlineStr">
        <is>
          <t>15:20</t>
        </is>
      </c>
      <c r="K429" s="10" t="inlineStr">
        <is>
          <t>On time</t>
        </is>
      </c>
      <c r="L429" s="6" t="n">
        <v>0</v>
      </c>
      <c r="M429" s="10" t="n"/>
      <c r="N429" s="6" t="n">
        <v>33</v>
      </c>
      <c r="O429" s="6" t="n">
        <v>2112</v>
      </c>
      <c r="P429" s="6" t="n">
        <v>1</v>
      </c>
      <c r="Q429" s="6">
        <f>IF(OR(K429="On time",K429="Late",K429="Very late"),1,0)</f>
        <v/>
      </c>
    </row>
    <row r="430">
      <c r="A430" s="10" t="inlineStr">
        <is>
          <t>DN318642</t>
        </is>
      </c>
      <c r="B430" s="10" t="inlineStr">
        <is>
          <t>SO62393</t>
        </is>
      </c>
      <c r="C430" s="10" t="inlineStr">
        <is>
          <t>C11314</t>
        </is>
      </c>
      <c r="D430" s="10">
        <f>INDEX(Customers!$B:$B,MATCH(C430,Customers!$A:$A,0))</f>
        <v/>
      </c>
      <c r="E430" s="10">
        <f>INDEX(Customers!$D:$D,MATCH(C430,Customers!$A:$A,0))</f>
        <v/>
      </c>
      <c r="F430" s="10" t="inlineStr">
        <is>
          <t>Own trucks</t>
        </is>
      </c>
      <c r="G430" s="5" t="n">
        <v>46251</v>
      </c>
      <c r="H430" s="5" t="n">
        <v>46252</v>
      </c>
      <c r="I430" s="5" t="n">
        <v>46252</v>
      </c>
      <c r="J430" s="10" t="inlineStr">
        <is>
          <t>16:00</t>
        </is>
      </c>
      <c r="K430" s="10" t="inlineStr">
        <is>
          <t>On time</t>
        </is>
      </c>
      <c r="L430" s="6" t="n">
        <v>0</v>
      </c>
      <c r="M430" s="10" t="n"/>
      <c r="N430" s="6" t="n">
        <v>36</v>
      </c>
      <c r="O430" s="6" t="n">
        <v>4320</v>
      </c>
      <c r="P430" s="6" t="n">
        <v>1</v>
      </c>
      <c r="Q430" s="6">
        <f>IF(OR(K430="On time",K430="Late",K430="Very late"),1,0)</f>
        <v/>
      </c>
    </row>
    <row r="431">
      <c r="A431" s="10" t="inlineStr">
        <is>
          <t>DN318643</t>
        </is>
      </c>
      <c r="B431" s="10" t="inlineStr">
        <is>
          <t>SO62394</t>
        </is>
      </c>
      <c r="C431" s="10" t="inlineStr">
        <is>
          <t>C11333</t>
        </is>
      </c>
      <c r="D431" s="10">
        <f>INDEX(Customers!$B:$B,MATCH(C431,Customers!$A:$A,0))</f>
        <v/>
      </c>
      <c r="E431" s="10">
        <f>INDEX(Customers!$D:$D,MATCH(C431,Customers!$A:$A,0))</f>
        <v/>
      </c>
      <c r="F431" s="10" t="inlineStr">
        <is>
          <t>Own trucks</t>
        </is>
      </c>
      <c r="G431" s="5" t="n">
        <v>46251</v>
      </c>
      <c r="H431" s="5" t="n">
        <v>46252</v>
      </c>
      <c r="I431" s="5" t="n">
        <v>46252</v>
      </c>
      <c r="J431" s="10" t="inlineStr">
        <is>
          <t>09:50</t>
        </is>
      </c>
      <c r="K431" s="10" t="inlineStr">
        <is>
          <t>On time</t>
        </is>
      </c>
      <c r="L431" s="6" t="n">
        <v>0</v>
      </c>
      <c r="M431" s="10" t="n"/>
      <c r="N431" s="6" t="n">
        <v>10</v>
      </c>
      <c r="O431" s="6" t="n">
        <v>1220</v>
      </c>
      <c r="P431" s="6" t="n">
        <v>1</v>
      </c>
      <c r="Q431" s="6">
        <f>IF(OR(K431="On time",K431="Late",K431="Very late"),1,0)</f>
        <v/>
      </c>
    </row>
    <row r="432">
      <c r="A432" s="10" t="inlineStr">
        <is>
          <t>DN318644</t>
        </is>
      </c>
      <c r="B432" s="10" t="inlineStr">
        <is>
          <t>SO62396</t>
        </is>
      </c>
      <c r="C432" s="10" t="inlineStr">
        <is>
          <t>C11400</t>
        </is>
      </c>
      <c r="D432" s="10">
        <f>INDEX(Customers!$B:$B,MATCH(C432,Customers!$A:$A,0))</f>
        <v/>
      </c>
      <c r="E432" s="10">
        <f>INDEX(Customers!$D:$D,MATCH(C432,Customers!$A:$A,0))</f>
        <v/>
      </c>
      <c r="F432" s="10" t="inlineStr">
        <is>
          <t>Own trucks</t>
        </is>
      </c>
      <c r="G432" s="5" t="n">
        <v>46251</v>
      </c>
      <c r="H432" s="5" t="n">
        <v>46252</v>
      </c>
      <c r="I432" s="5" t="n">
        <v>46252</v>
      </c>
      <c r="J432" s="10" t="inlineStr">
        <is>
          <t>15:40</t>
        </is>
      </c>
      <c r="K432" s="10" t="inlineStr">
        <is>
          <t>On time</t>
        </is>
      </c>
      <c r="L432" s="6" t="n">
        <v>0</v>
      </c>
      <c r="M432" s="10" t="n"/>
      <c r="N432" s="6" t="n">
        <v>14</v>
      </c>
      <c r="O432" s="6" t="n">
        <v>1092</v>
      </c>
      <c r="P432" s="6" t="n">
        <v>1</v>
      </c>
      <c r="Q432" s="6">
        <f>IF(OR(K432="On time",K432="Late",K432="Very late"),1,0)</f>
        <v/>
      </c>
    </row>
    <row r="433">
      <c r="A433" s="10" t="inlineStr">
        <is>
          <t>DN318645</t>
        </is>
      </c>
      <c r="B433" s="10" t="inlineStr">
        <is>
          <t>SO62398</t>
        </is>
      </c>
      <c r="C433" s="10" t="inlineStr">
        <is>
          <t>C11463</t>
        </is>
      </c>
      <c r="D433" s="10">
        <f>INDEX(Customers!$B:$B,MATCH(C433,Customers!$A:$A,0))</f>
        <v/>
      </c>
      <c r="E433" s="10">
        <f>INDEX(Customers!$D:$D,MATCH(C433,Customers!$A:$A,0))</f>
        <v/>
      </c>
      <c r="F433" s="10" t="inlineStr">
        <is>
          <t>Own trucks</t>
        </is>
      </c>
      <c r="G433" s="5" t="n">
        <v>46251</v>
      </c>
      <c r="H433" s="5" t="n">
        <v>46252</v>
      </c>
      <c r="I433" s="5" t="n">
        <v>46252</v>
      </c>
      <c r="J433" s="10" t="inlineStr">
        <is>
          <t>08:00</t>
        </is>
      </c>
      <c r="K433" s="10" t="inlineStr">
        <is>
          <t>On time</t>
        </is>
      </c>
      <c r="L433" s="6" t="n">
        <v>0</v>
      </c>
      <c r="M433" s="10" t="n"/>
      <c r="N433" s="6" t="n">
        <v>23</v>
      </c>
      <c r="O433" s="6" t="n">
        <v>1541</v>
      </c>
      <c r="P433" s="6" t="n">
        <v>1</v>
      </c>
      <c r="Q433" s="6">
        <f>IF(OR(K433="On time",K433="Late",K433="Very late"),1,0)</f>
        <v/>
      </c>
    </row>
    <row r="434">
      <c r="A434" s="10" t="inlineStr">
        <is>
          <t>DN318646</t>
        </is>
      </c>
      <c r="B434" s="10" t="inlineStr">
        <is>
          <t>SO62399</t>
        </is>
      </c>
      <c r="C434" s="10" t="inlineStr">
        <is>
          <t>C11518</t>
        </is>
      </c>
      <c r="D434" s="10">
        <f>INDEX(Customers!$B:$B,MATCH(C434,Customers!$A:$A,0))</f>
        <v/>
      </c>
      <c r="E434" s="10">
        <f>INDEX(Customers!$D:$D,MATCH(C434,Customers!$A:$A,0))</f>
        <v/>
      </c>
      <c r="F434" s="10" t="inlineStr">
        <is>
          <t>Own trucks</t>
        </is>
      </c>
      <c r="G434" s="5" t="n">
        <v>46251</v>
      </c>
      <c r="H434" s="5" t="n">
        <v>46252</v>
      </c>
      <c r="I434" s="5" t="n">
        <v>46252</v>
      </c>
      <c r="J434" s="10" t="inlineStr">
        <is>
          <t>07:50</t>
        </is>
      </c>
      <c r="K434" s="10" t="inlineStr">
        <is>
          <t>On time</t>
        </is>
      </c>
      <c r="L434" s="6" t="n">
        <v>0</v>
      </c>
      <c r="M434" s="10" t="n"/>
      <c r="N434" s="6" t="n">
        <v>10</v>
      </c>
      <c r="O434" s="6" t="n">
        <v>1130</v>
      </c>
      <c r="P434" s="6" t="n">
        <v>1</v>
      </c>
      <c r="Q434" s="6">
        <f>IF(OR(K434="On time",K434="Late",K434="Very late"),1,0)</f>
        <v/>
      </c>
    </row>
    <row r="435">
      <c r="A435" s="10" t="inlineStr">
        <is>
          <t>DN318647</t>
        </is>
      </c>
      <c r="B435" s="10" t="inlineStr">
        <is>
          <t>SO62400</t>
        </is>
      </c>
      <c r="C435" s="10" t="inlineStr">
        <is>
          <t>C11579</t>
        </is>
      </c>
      <c r="D435" s="10">
        <f>INDEX(Customers!$B:$B,MATCH(C435,Customers!$A:$A,0))</f>
        <v/>
      </c>
      <c r="E435" s="10">
        <f>INDEX(Customers!$D:$D,MATCH(C435,Customers!$A:$A,0))</f>
        <v/>
      </c>
      <c r="F435" s="10" t="inlineStr">
        <is>
          <t>Own trucks</t>
        </is>
      </c>
      <c r="G435" s="5" t="n">
        <v>46251</v>
      </c>
      <c r="H435" s="5" t="n">
        <v>46252</v>
      </c>
      <c r="I435" s="5" t="n">
        <v>46252</v>
      </c>
      <c r="J435" s="10" t="inlineStr">
        <is>
          <t>08:30</t>
        </is>
      </c>
      <c r="K435" s="10" t="inlineStr">
        <is>
          <t>On time</t>
        </is>
      </c>
      <c r="L435" s="6" t="n">
        <v>0</v>
      </c>
      <c r="M435" s="10" t="n"/>
      <c r="N435" s="6" t="n">
        <v>12</v>
      </c>
      <c r="O435" s="6" t="n">
        <v>792</v>
      </c>
      <c r="P435" s="6" t="n">
        <v>1</v>
      </c>
      <c r="Q435" s="6">
        <f>IF(OR(K435="On time",K435="Late",K435="Very late"),1,0)</f>
        <v/>
      </c>
    </row>
    <row r="436">
      <c r="A436" s="10" t="inlineStr">
        <is>
          <t>DN318648</t>
        </is>
      </c>
      <c r="B436" s="10" t="inlineStr">
        <is>
          <t>SO62402</t>
        </is>
      </c>
      <c r="C436" s="10" t="inlineStr">
        <is>
          <t>C11616</t>
        </is>
      </c>
      <c r="D436" s="10">
        <f>INDEX(Customers!$B:$B,MATCH(C436,Customers!$A:$A,0))</f>
        <v/>
      </c>
      <c r="E436" s="10">
        <f>INDEX(Customers!$D:$D,MATCH(C436,Customers!$A:$A,0))</f>
        <v/>
      </c>
      <c r="F436" s="10" t="inlineStr">
        <is>
          <t>Own trucks</t>
        </is>
      </c>
      <c r="G436" s="5" t="n">
        <v>46251</v>
      </c>
      <c r="H436" s="5" t="n">
        <v>46252</v>
      </c>
      <c r="I436" s="5" t="n">
        <v>46252</v>
      </c>
      <c r="J436" s="10" t="inlineStr">
        <is>
          <t>10:20</t>
        </is>
      </c>
      <c r="K436" s="10" t="inlineStr">
        <is>
          <t>On time</t>
        </is>
      </c>
      <c r="L436" s="6" t="n">
        <v>0</v>
      </c>
      <c r="M436" s="10" t="n"/>
      <c r="N436" s="6" t="n">
        <v>15</v>
      </c>
      <c r="O436" s="6" t="n">
        <v>1995</v>
      </c>
      <c r="P436" s="6" t="n">
        <v>1</v>
      </c>
      <c r="Q436" s="6">
        <f>IF(OR(K436="On time",K436="Late",K436="Very late"),1,0)</f>
        <v/>
      </c>
    </row>
    <row r="437">
      <c r="A437" s="10" t="inlineStr">
        <is>
          <t>DN318649</t>
        </is>
      </c>
      <c r="B437" s="10" t="inlineStr">
        <is>
          <t>SO62403</t>
        </is>
      </c>
      <c r="C437" s="10" t="inlineStr">
        <is>
          <t>C11666</t>
        </is>
      </c>
      <c r="D437" s="10">
        <f>INDEX(Customers!$B:$B,MATCH(C437,Customers!$A:$A,0))</f>
        <v/>
      </c>
      <c r="E437" s="10">
        <f>INDEX(Customers!$D:$D,MATCH(C437,Customers!$A:$A,0))</f>
        <v/>
      </c>
      <c r="F437" s="10" t="inlineStr">
        <is>
          <t>Own trucks</t>
        </is>
      </c>
      <c r="G437" s="5" t="n">
        <v>46251</v>
      </c>
      <c r="H437" s="5" t="n">
        <v>46252</v>
      </c>
      <c r="I437" s="5" t="n">
        <v>46252</v>
      </c>
      <c r="J437" s="10" t="inlineStr">
        <is>
          <t>12:50</t>
        </is>
      </c>
      <c r="K437" s="10" t="inlineStr">
        <is>
          <t>On time</t>
        </is>
      </c>
      <c r="L437" s="6" t="n">
        <v>0</v>
      </c>
      <c r="M437" s="10" t="n"/>
      <c r="N437" s="6" t="n">
        <v>38</v>
      </c>
      <c r="O437" s="6" t="n">
        <v>3914</v>
      </c>
      <c r="P437" s="6" t="n">
        <v>1</v>
      </c>
      <c r="Q437" s="6">
        <f>IF(OR(K437="On time",K437="Late",K437="Very late"),1,0)</f>
        <v/>
      </c>
    </row>
    <row r="438">
      <c r="A438" s="10" t="inlineStr">
        <is>
          <t>DN318650</t>
        </is>
      </c>
      <c r="B438" s="10" t="inlineStr">
        <is>
          <t>SO62405</t>
        </is>
      </c>
      <c r="C438" s="10" t="inlineStr">
        <is>
          <t>C11790</t>
        </is>
      </c>
      <c r="D438" s="10">
        <f>INDEX(Customers!$B:$B,MATCH(C438,Customers!$A:$A,0))</f>
        <v/>
      </c>
      <c r="E438" s="10">
        <f>INDEX(Customers!$D:$D,MATCH(C438,Customers!$A:$A,0))</f>
        <v/>
      </c>
      <c r="F438" s="10" t="inlineStr">
        <is>
          <t>Carrier A</t>
        </is>
      </c>
      <c r="G438" s="5" t="n">
        <v>46251</v>
      </c>
      <c r="H438" s="5" t="n">
        <v>46252</v>
      </c>
      <c r="I438" s="5" t="n">
        <v>46252</v>
      </c>
      <c r="J438" s="10" t="inlineStr">
        <is>
          <t>12:20</t>
        </is>
      </c>
      <c r="K438" s="10" t="inlineStr">
        <is>
          <t>On time</t>
        </is>
      </c>
      <c r="L438" s="6" t="n">
        <v>0</v>
      </c>
      <c r="M438" s="10" t="n"/>
      <c r="N438" s="6" t="n">
        <v>19</v>
      </c>
      <c r="O438" s="6" t="n">
        <v>2375</v>
      </c>
      <c r="P438" s="6" t="n">
        <v>1</v>
      </c>
      <c r="Q438" s="6">
        <f>IF(OR(K438="On time",K438="Late",K438="Very late"),1,0)</f>
        <v/>
      </c>
    </row>
    <row r="439">
      <c r="A439" s="10" t="inlineStr">
        <is>
          <t>DN318651</t>
        </is>
      </c>
      <c r="B439" s="10" t="inlineStr">
        <is>
          <t>SO62406</t>
        </is>
      </c>
      <c r="C439" s="10" t="inlineStr">
        <is>
          <t>C11866</t>
        </is>
      </c>
      <c r="D439" s="10">
        <f>INDEX(Customers!$B:$B,MATCH(C439,Customers!$A:$A,0))</f>
        <v/>
      </c>
      <c r="E439" s="10">
        <f>INDEX(Customers!$D:$D,MATCH(C439,Customers!$A:$A,0))</f>
        <v/>
      </c>
      <c r="F439" s="10" t="inlineStr">
        <is>
          <t>Carrier A</t>
        </is>
      </c>
      <c r="G439" s="5" t="n">
        <v>46251</v>
      </c>
      <c r="H439" s="5" t="n">
        <v>46252</v>
      </c>
      <c r="I439" s="5" t="n">
        <v>46252</v>
      </c>
      <c r="J439" s="10" t="inlineStr">
        <is>
          <t>10:50</t>
        </is>
      </c>
      <c r="K439" s="10" t="inlineStr">
        <is>
          <t>On time</t>
        </is>
      </c>
      <c r="L439" s="6" t="n">
        <v>0</v>
      </c>
      <c r="M439" s="10" t="n"/>
      <c r="N439" s="6" t="n">
        <v>37</v>
      </c>
      <c r="O439" s="6" t="n">
        <v>3848</v>
      </c>
      <c r="P439" s="6" t="n">
        <v>1</v>
      </c>
      <c r="Q439" s="6">
        <f>IF(OR(K439="On time",K439="Late",K439="Very late"),1,0)</f>
        <v/>
      </c>
    </row>
    <row r="440">
      <c r="A440" s="10" t="inlineStr">
        <is>
          <t>DN318652</t>
        </is>
      </c>
      <c r="B440" s="10" t="inlineStr">
        <is>
          <t>SO62407</t>
        </is>
      </c>
      <c r="C440" s="10" t="inlineStr">
        <is>
          <t>C11950</t>
        </is>
      </c>
      <c r="D440" s="10">
        <f>INDEX(Customers!$B:$B,MATCH(C440,Customers!$A:$A,0))</f>
        <v/>
      </c>
      <c r="E440" s="10">
        <f>INDEX(Customers!$D:$D,MATCH(C440,Customers!$A:$A,0))</f>
        <v/>
      </c>
      <c r="F440" s="10" t="inlineStr">
        <is>
          <t>Carrier A</t>
        </is>
      </c>
      <c r="G440" s="5" t="n">
        <v>46251</v>
      </c>
      <c r="H440" s="5" t="n">
        <v>46252</v>
      </c>
      <c r="I440" s="5" t="n">
        <v>46252</v>
      </c>
      <c r="J440" s="10" t="inlineStr">
        <is>
          <t>13:50</t>
        </is>
      </c>
      <c r="K440" s="10" t="inlineStr">
        <is>
          <t>On time</t>
        </is>
      </c>
      <c r="L440" s="6" t="n">
        <v>0</v>
      </c>
      <c r="M440" s="10" t="n"/>
      <c r="N440" s="6" t="n">
        <v>26</v>
      </c>
      <c r="O440" s="6" t="n">
        <v>2418</v>
      </c>
      <c r="P440" s="6" t="n">
        <v>1</v>
      </c>
      <c r="Q440" s="6">
        <f>IF(OR(K440="On time",K440="Late",K440="Very late"),1,0)</f>
        <v/>
      </c>
    </row>
    <row r="441">
      <c r="A441" s="10" t="inlineStr">
        <is>
          <t>DN318653</t>
        </is>
      </c>
      <c r="B441" s="10" t="inlineStr">
        <is>
          <t>SO62408</t>
        </is>
      </c>
      <c r="C441" s="10" t="inlineStr">
        <is>
          <t>C11971</t>
        </is>
      </c>
      <c r="D441" s="10">
        <f>INDEX(Customers!$B:$B,MATCH(C441,Customers!$A:$A,0))</f>
        <v/>
      </c>
      <c r="E441" s="10">
        <f>INDEX(Customers!$D:$D,MATCH(C441,Customers!$A:$A,0))</f>
        <v/>
      </c>
      <c r="F441" s="10" t="inlineStr">
        <is>
          <t>Own trucks</t>
        </is>
      </c>
      <c r="G441" s="5" t="n">
        <v>46251</v>
      </c>
      <c r="H441" s="5" t="n">
        <v>46252</v>
      </c>
      <c r="I441" s="5" t="n">
        <v>46252</v>
      </c>
      <c r="J441" s="10" t="inlineStr">
        <is>
          <t>14:00</t>
        </is>
      </c>
      <c r="K441" s="10" t="inlineStr">
        <is>
          <t>On time</t>
        </is>
      </c>
      <c r="L441" s="6" t="n">
        <v>0</v>
      </c>
      <c r="M441" s="10" t="n"/>
      <c r="N441" s="6" t="n">
        <v>15</v>
      </c>
      <c r="O441" s="6" t="n">
        <v>1515</v>
      </c>
      <c r="P441" s="6" t="n">
        <v>1</v>
      </c>
      <c r="Q441" s="6">
        <f>IF(OR(K441="On time",K441="Late",K441="Very late"),1,0)</f>
        <v/>
      </c>
    </row>
    <row r="442">
      <c r="A442" s="10" t="inlineStr">
        <is>
          <t>DN318654</t>
        </is>
      </c>
      <c r="B442" s="10" t="inlineStr">
        <is>
          <t>SO62410</t>
        </is>
      </c>
      <c r="C442" s="10" t="inlineStr">
        <is>
          <t>C12037</t>
        </is>
      </c>
      <c r="D442" s="10">
        <f>INDEX(Customers!$B:$B,MATCH(C442,Customers!$A:$A,0))</f>
        <v/>
      </c>
      <c r="E442" s="10">
        <f>INDEX(Customers!$D:$D,MATCH(C442,Customers!$A:$A,0))</f>
        <v/>
      </c>
      <c r="F442" s="10" t="inlineStr">
        <is>
          <t>Own trucks</t>
        </is>
      </c>
      <c r="G442" s="5" t="n">
        <v>46251</v>
      </c>
      <c r="H442" s="5" t="n">
        <v>46252</v>
      </c>
      <c r="I442" s="5" t="n">
        <v>46252</v>
      </c>
      <c r="J442" s="10" t="inlineStr">
        <is>
          <t>15:30</t>
        </is>
      </c>
      <c r="K442" s="10" t="inlineStr">
        <is>
          <t>On time</t>
        </is>
      </c>
      <c r="L442" s="6" t="n">
        <v>0</v>
      </c>
      <c r="M442" s="10" t="n"/>
      <c r="N442" s="6" t="n">
        <v>16</v>
      </c>
      <c r="O442" s="6" t="n">
        <v>1696</v>
      </c>
      <c r="P442" s="6" t="n">
        <v>1</v>
      </c>
      <c r="Q442" s="6">
        <f>IF(OR(K442="On time",K442="Late",K442="Very late"),1,0)</f>
        <v/>
      </c>
    </row>
    <row r="443">
      <c r="A443" s="10" t="inlineStr">
        <is>
          <t>DN318655</t>
        </is>
      </c>
      <c r="B443" s="10" t="inlineStr">
        <is>
          <t>SO62411</t>
        </is>
      </c>
      <c r="C443" s="10" t="inlineStr">
        <is>
          <t>C12103</t>
        </is>
      </c>
      <c r="D443" s="10">
        <f>INDEX(Customers!$B:$B,MATCH(C443,Customers!$A:$A,0))</f>
        <v/>
      </c>
      <c r="E443" s="10">
        <f>INDEX(Customers!$D:$D,MATCH(C443,Customers!$A:$A,0))</f>
        <v/>
      </c>
      <c r="F443" s="10" t="inlineStr">
        <is>
          <t>Own trucks</t>
        </is>
      </c>
      <c r="G443" s="5" t="n">
        <v>46251</v>
      </c>
      <c r="H443" s="5" t="n">
        <v>46252</v>
      </c>
      <c r="I443" s="5" t="n">
        <v>46252</v>
      </c>
      <c r="J443" s="10" t="inlineStr">
        <is>
          <t>07:00</t>
        </is>
      </c>
      <c r="K443" s="10" t="inlineStr">
        <is>
          <t>On time</t>
        </is>
      </c>
      <c r="L443" s="6" t="n">
        <v>0</v>
      </c>
      <c r="M443" s="10" t="n"/>
      <c r="N443" s="6" t="n">
        <v>29</v>
      </c>
      <c r="O443" s="6" t="n">
        <v>2726</v>
      </c>
      <c r="P443" s="6" t="n">
        <v>1</v>
      </c>
      <c r="Q443" s="6">
        <f>IF(OR(K443="On time",K443="Late",K443="Very late"),1,0)</f>
        <v/>
      </c>
    </row>
    <row r="444">
      <c r="A444" s="10" t="inlineStr">
        <is>
          <t>DN318656</t>
        </is>
      </c>
      <c r="B444" s="10" t="inlineStr">
        <is>
          <t>SO62412</t>
        </is>
      </c>
      <c r="C444" s="10" t="inlineStr">
        <is>
          <t>C12239</t>
        </is>
      </c>
      <c r="D444" s="10">
        <f>INDEX(Customers!$B:$B,MATCH(C444,Customers!$A:$A,0))</f>
        <v/>
      </c>
      <c r="E444" s="10">
        <f>INDEX(Customers!$D:$D,MATCH(C444,Customers!$A:$A,0))</f>
        <v/>
      </c>
      <c r="F444" s="10" t="inlineStr">
        <is>
          <t>Carrier B</t>
        </is>
      </c>
      <c r="G444" s="5" t="n">
        <v>46251</v>
      </c>
      <c r="H444" s="5" t="n">
        <v>46252</v>
      </c>
      <c r="I444" s="5" t="n">
        <v>46252</v>
      </c>
      <c r="J444" s="10" t="inlineStr">
        <is>
          <t>13:50</t>
        </is>
      </c>
      <c r="K444" s="10" t="inlineStr">
        <is>
          <t>On time</t>
        </is>
      </c>
      <c r="L444" s="6" t="n">
        <v>0</v>
      </c>
      <c r="M444" s="10" t="n"/>
      <c r="N444" s="6" t="n">
        <v>35</v>
      </c>
      <c r="O444" s="6" t="n">
        <v>2450</v>
      </c>
      <c r="P444" s="6" t="n">
        <v>1</v>
      </c>
      <c r="Q444" s="6">
        <f>IF(OR(K444="On time",K444="Late",K444="Very late"),1,0)</f>
        <v/>
      </c>
    </row>
    <row r="445">
      <c r="A445" s="10" t="inlineStr">
        <is>
          <t>DN318657</t>
        </is>
      </c>
      <c r="B445" s="10" t="inlineStr">
        <is>
          <t>SO62414</t>
        </is>
      </c>
      <c r="C445" s="10" t="inlineStr">
        <is>
          <t>C12262</t>
        </is>
      </c>
      <c r="D445" s="10">
        <f>INDEX(Customers!$B:$B,MATCH(C445,Customers!$A:$A,0))</f>
        <v/>
      </c>
      <c r="E445" s="10">
        <f>INDEX(Customers!$D:$D,MATCH(C445,Customers!$A:$A,0))</f>
        <v/>
      </c>
      <c r="F445" s="10" t="inlineStr">
        <is>
          <t>Carrier B</t>
        </is>
      </c>
      <c r="G445" s="5" t="n">
        <v>46251</v>
      </c>
      <c r="H445" s="5" t="n">
        <v>46252</v>
      </c>
      <c r="I445" s="5" t="n">
        <v>46252</v>
      </c>
      <c r="J445" s="10" t="inlineStr">
        <is>
          <t>07:30</t>
        </is>
      </c>
      <c r="K445" s="10" t="inlineStr">
        <is>
          <t>On time</t>
        </is>
      </c>
      <c r="L445" s="6" t="n">
        <v>0</v>
      </c>
      <c r="M445" s="10" t="n"/>
      <c r="N445" s="6" t="n">
        <v>19</v>
      </c>
      <c r="O445" s="6" t="n">
        <v>1216</v>
      </c>
      <c r="P445" s="6" t="n">
        <v>1</v>
      </c>
      <c r="Q445" s="6">
        <f>IF(OR(K445="On time",K445="Late",K445="Very late"),1,0)</f>
        <v/>
      </c>
    </row>
    <row r="446">
      <c r="A446" s="10" t="inlineStr">
        <is>
          <t>DN318658</t>
        </is>
      </c>
      <c r="B446" s="10" t="inlineStr">
        <is>
          <t>SO62415</t>
        </is>
      </c>
      <c r="C446" s="10" t="inlineStr">
        <is>
          <t>C12305</t>
        </is>
      </c>
      <c r="D446" s="10">
        <f>INDEX(Customers!$B:$B,MATCH(C446,Customers!$A:$A,0))</f>
        <v/>
      </c>
      <c r="E446" s="10">
        <f>INDEX(Customers!$D:$D,MATCH(C446,Customers!$A:$A,0))</f>
        <v/>
      </c>
      <c r="F446" s="10" t="inlineStr">
        <is>
          <t>Carrier B</t>
        </is>
      </c>
      <c r="G446" s="5" t="n">
        <v>46251</v>
      </c>
      <c r="H446" s="5" t="n">
        <v>46252</v>
      </c>
      <c r="I446" s="5" t="n">
        <v>46252</v>
      </c>
      <c r="J446" s="10" t="inlineStr">
        <is>
          <t>07:00</t>
        </is>
      </c>
      <c r="K446" s="10" t="inlineStr">
        <is>
          <t>On time</t>
        </is>
      </c>
      <c r="L446" s="6" t="n">
        <v>0</v>
      </c>
      <c r="M446" s="10" t="n"/>
      <c r="N446" s="6" t="n">
        <v>22</v>
      </c>
      <c r="O446" s="6" t="n">
        <v>1606</v>
      </c>
      <c r="P446" s="6" t="n">
        <v>1</v>
      </c>
      <c r="Q446" s="6">
        <f>IF(OR(K446="On time",K446="Late",K446="Very late"),1,0)</f>
        <v/>
      </c>
    </row>
    <row r="447">
      <c r="A447" s="10" t="inlineStr">
        <is>
          <t>DN318659</t>
        </is>
      </c>
      <c r="B447" s="10" t="inlineStr">
        <is>
          <t>SO62417</t>
        </is>
      </c>
      <c r="C447" s="10" t="inlineStr">
        <is>
          <t>C12365</t>
        </is>
      </c>
      <c r="D447" s="10">
        <f>INDEX(Customers!$B:$B,MATCH(C447,Customers!$A:$A,0))</f>
        <v/>
      </c>
      <c r="E447" s="10">
        <f>INDEX(Customers!$D:$D,MATCH(C447,Customers!$A:$A,0))</f>
        <v/>
      </c>
      <c r="F447" s="10" t="inlineStr">
        <is>
          <t>Carrier B</t>
        </is>
      </c>
      <c r="G447" s="5" t="n">
        <v>46251</v>
      </c>
      <c r="H447" s="5" t="n">
        <v>46252</v>
      </c>
      <c r="I447" s="5" t="n">
        <v>46253</v>
      </c>
      <c r="J447" s="10" t="inlineStr">
        <is>
          <t>11:50</t>
        </is>
      </c>
      <c r="K447" s="10" t="inlineStr">
        <is>
          <t>Late</t>
        </is>
      </c>
      <c r="L447" s="6" t="n">
        <v>1</v>
      </c>
      <c r="M447" s="10" t="inlineStr">
        <is>
          <t>Stock not ready</t>
        </is>
      </c>
      <c r="N447" s="6" t="n">
        <v>11</v>
      </c>
      <c r="O447" s="6" t="n">
        <v>1441</v>
      </c>
      <c r="P447" s="6" t="n">
        <v>1</v>
      </c>
      <c r="Q447" s="6">
        <f>IF(OR(K447="On time",K447="Late",K447="Very late"),1,0)</f>
        <v/>
      </c>
    </row>
    <row r="448">
      <c r="A448" s="10" t="inlineStr">
        <is>
          <t>DN318660</t>
        </is>
      </c>
      <c r="B448" s="10" t="inlineStr">
        <is>
          <t>SO62418</t>
        </is>
      </c>
      <c r="C448" s="10" t="inlineStr">
        <is>
          <t>C12389</t>
        </is>
      </c>
      <c r="D448" s="10">
        <f>INDEX(Customers!$B:$B,MATCH(C448,Customers!$A:$A,0))</f>
        <v/>
      </c>
      <c r="E448" s="10">
        <f>INDEX(Customers!$D:$D,MATCH(C448,Customers!$A:$A,0))</f>
        <v/>
      </c>
      <c r="F448" s="10" t="inlineStr">
        <is>
          <t>Carrier A</t>
        </is>
      </c>
      <c r="G448" s="5" t="n">
        <v>46251</v>
      </c>
      <c r="H448" s="5" t="n">
        <v>46252</v>
      </c>
      <c r="I448" s="5" t="n">
        <v>46252</v>
      </c>
      <c r="J448" s="10" t="inlineStr">
        <is>
          <t>07:40</t>
        </is>
      </c>
      <c r="K448" s="10" t="inlineStr">
        <is>
          <t>On time</t>
        </is>
      </c>
      <c r="L448" s="6" t="n">
        <v>0</v>
      </c>
      <c r="M448" s="10" t="n"/>
      <c r="N448" s="6" t="n">
        <v>2</v>
      </c>
      <c r="O448" s="6" t="n">
        <v>188</v>
      </c>
      <c r="P448" s="6" t="n">
        <v>1</v>
      </c>
      <c r="Q448" s="6">
        <f>IF(OR(K448="On time",K448="Late",K448="Very late"),1,0)</f>
        <v/>
      </c>
    </row>
    <row r="449">
      <c r="A449" s="10" t="inlineStr">
        <is>
          <t>DN318662</t>
        </is>
      </c>
      <c r="B449" s="10" t="inlineStr">
        <is>
          <t>SO62420</t>
        </is>
      </c>
      <c r="C449" s="10" t="inlineStr">
        <is>
          <t>C12420</t>
        </is>
      </c>
      <c r="D449" s="10">
        <f>INDEX(Customers!$B:$B,MATCH(C449,Customers!$A:$A,0))</f>
        <v/>
      </c>
      <c r="E449" s="10">
        <f>INDEX(Customers!$D:$D,MATCH(C449,Customers!$A:$A,0))</f>
        <v/>
      </c>
      <c r="F449" s="10" t="inlineStr">
        <is>
          <t>Carrier A</t>
        </is>
      </c>
      <c r="G449" s="5" t="n">
        <v>46251</v>
      </c>
      <c r="H449" s="5" t="n">
        <v>46252</v>
      </c>
      <c r="I449" s="5" t="n">
        <v>46252</v>
      </c>
      <c r="J449" s="10" t="inlineStr">
        <is>
          <t>15:30</t>
        </is>
      </c>
      <c r="K449" s="10" t="inlineStr">
        <is>
          <t>On time</t>
        </is>
      </c>
      <c r="L449" s="6" t="n">
        <v>0</v>
      </c>
      <c r="M449" s="10" t="n"/>
      <c r="N449" s="6" t="n">
        <v>3</v>
      </c>
      <c r="O449" s="6" t="n">
        <v>351</v>
      </c>
      <c r="P449" s="6" t="n">
        <v>1</v>
      </c>
      <c r="Q449" s="6">
        <f>IF(OR(K449="On time",K449="Late",K449="Very late"),1,0)</f>
        <v/>
      </c>
    </row>
    <row r="450">
      <c r="A450" s="10" t="inlineStr">
        <is>
          <t>DN318663</t>
        </is>
      </c>
      <c r="B450" s="10" t="inlineStr">
        <is>
          <t>SO62421</t>
        </is>
      </c>
      <c r="C450" s="10" t="inlineStr">
        <is>
          <t>C12490</t>
        </is>
      </c>
      <c r="D450" s="10">
        <f>INDEX(Customers!$B:$B,MATCH(C450,Customers!$A:$A,0))</f>
        <v/>
      </c>
      <c r="E450" s="10">
        <f>INDEX(Customers!$D:$D,MATCH(C450,Customers!$A:$A,0))</f>
        <v/>
      </c>
      <c r="F450" s="10" t="inlineStr">
        <is>
          <t>Carrier A</t>
        </is>
      </c>
      <c r="G450" s="5" t="n">
        <v>46251</v>
      </c>
      <c r="H450" s="5" t="n">
        <v>46252</v>
      </c>
      <c r="I450" s="5" t="n">
        <v>46252</v>
      </c>
      <c r="J450" s="10" t="inlineStr">
        <is>
          <t>11:30</t>
        </is>
      </c>
      <c r="K450" s="10" t="inlineStr">
        <is>
          <t>On time</t>
        </is>
      </c>
      <c r="L450" s="6" t="n">
        <v>0</v>
      </c>
      <c r="M450" s="10" t="n"/>
      <c r="N450" s="6" t="n">
        <v>31</v>
      </c>
      <c r="O450" s="6" t="n">
        <v>3720</v>
      </c>
      <c r="P450" s="6" t="n">
        <v>1</v>
      </c>
      <c r="Q450" s="6">
        <f>IF(OR(K450="On time",K450="Late",K450="Very late"),1,0)</f>
        <v/>
      </c>
    </row>
    <row r="451">
      <c r="A451" s="10" t="inlineStr">
        <is>
          <t>DN318664</t>
        </is>
      </c>
      <c r="B451" s="10" t="inlineStr">
        <is>
          <t>SO62422</t>
        </is>
      </c>
      <c r="C451" s="10" t="inlineStr">
        <is>
          <t>C12527</t>
        </is>
      </c>
      <c r="D451" s="10">
        <f>INDEX(Customers!$B:$B,MATCH(C451,Customers!$A:$A,0))</f>
        <v/>
      </c>
      <c r="E451" s="10">
        <f>INDEX(Customers!$D:$D,MATCH(C451,Customers!$A:$A,0))</f>
        <v/>
      </c>
      <c r="F451" s="10" t="inlineStr">
        <is>
          <t>Carrier A</t>
        </is>
      </c>
      <c r="G451" s="5" t="n">
        <v>46251</v>
      </c>
      <c r="H451" s="5" t="n">
        <v>46252</v>
      </c>
      <c r="I451" s="5" t="n">
        <v>46252</v>
      </c>
      <c r="J451" s="10" t="inlineStr">
        <is>
          <t>12:10</t>
        </is>
      </c>
      <c r="K451" s="10" t="inlineStr">
        <is>
          <t>On time</t>
        </is>
      </c>
      <c r="L451" s="6" t="n">
        <v>0</v>
      </c>
      <c r="M451" s="10" t="n"/>
      <c r="N451" s="6" t="n">
        <v>8</v>
      </c>
      <c r="O451" s="6" t="n">
        <v>712</v>
      </c>
      <c r="P451" s="6" t="n">
        <v>1</v>
      </c>
      <c r="Q451" s="6">
        <f>IF(OR(K451="On time",K451="Late",K451="Very late"),1,0)</f>
        <v/>
      </c>
    </row>
    <row r="452">
      <c r="A452" s="10" t="inlineStr">
        <is>
          <t>DN318665</t>
        </is>
      </c>
      <c r="B452" s="10" t="inlineStr">
        <is>
          <t>SO62424</t>
        </is>
      </c>
      <c r="C452" s="10" t="inlineStr">
        <is>
          <t>C12543</t>
        </is>
      </c>
      <c r="D452" s="10">
        <f>INDEX(Customers!$B:$B,MATCH(C452,Customers!$A:$A,0))</f>
        <v/>
      </c>
      <c r="E452" s="10">
        <f>INDEX(Customers!$D:$D,MATCH(C452,Customers!$A:$A,0))</f>
        <v/>
      </c>
      <c r="F452" s="10" t="inlineStr">
        <is>
          <t>Carrier B</t>
        </is>
      </c>
      <c r="G452" s="5" t="n">
        <v>46248</v>
      </c>
      <c r="H452" s="5" t="n">
        <v>46252</v>
      </c>
      <c r="I452" s="5" t="n">
        <v>46252</v>
      </c>
      <c r="J452" s="10" t="inlineStr">
        <is>
          <t>11:20</t>
        </is>
      </c>
      <c r="K452" s="10" t="inlineStr">
        <is>
          <t>On time</t>
        </is>
      </c>
      <c r="L452" s="6" t="n">
        <v>0</v>
      </c>
      <c r="M452" s="10" t="n"/>
      <c r="N452" s="6" t="n">
        <v>7</v>
      </c>
      <c r="O452" s="6" t="n">
        <v>945</v>
      </c>
      <c r="P452" s="6" t="n">
        <v>1</v>
      </c>
      <c r="Q452" s="6">
        <f>IF(OR(K452="On time",K452="Late",K452="Very late"),1,0)</f>
        <v/>
      </c>
    </row>
    <row r="453">
      <c r="A453" s="10" t="inlineStr">
        <is>
          <t>DN318666</t>
        </is>
      </c>
      <c r="B453" s="10" t="inlineStr">
        <is>
          <t>SO62426</t>
        </is>
      </c>
      <c r="C453" s="10" t="inlineStr">
        <is>
          <t>C12617</t>
        </is>
      </c>
      <c r="D453" s="10">
        <f>INDEX(Customers!$B:$B,MATCH(C453,Customers!$A:$A,0))</f>
        <v/>
      </c>
      <c r="E453" s="10">
        <f>INDEX(Customers!$D:$D,MATCH(C453,Customers!$A:$A,0))</f>
        <v/>
      </c>
      <c r="F453" s="10" t="inlineStr">
        <is>
          <t>Carrier B</t>
        </is>
      </c>
      <c r="G453" s="5" t="n">
        <v>46248</v>
      </c>
      <c r="H453" s="5" t="n">
        <v>46252</v>
      </c>
      <c r="I453" s="5" t="n">
        <v>46252</v>
      </c>
      <c r="J453" s="10" t="inlineStr">
        <is>
          <t>07:20</t>
        </is>
      </c>
      <c r="K453" s="10" t="inlineStr">
        <is>
          <t>On time</t>
        </is>
      </c>
      <c r="L453" s="6" t="n">
        <v>0</v>
      </c>
      <c r="M453" s="10" t="n"/>
      <c r="N453" s="6" t="n">
        <v>22</v>
      </c>
      <c r="O453" s="6" t="n">
        <v>1980</v>
      </c>
      <c r="P453" s="6" t="n">
        <v>1</v>
      </c>
      <c r="Q453" s="6">
        <f>IF(OR(K453="On time",K453="Late",K453="Very late"),1,0)</f>
        <v/>
      </c>
    </row>
    <row r="454">
      <c r="A454" s="10" t="inlineStr">
        <is>
          <t>DN318667</t>
        </is>
      </c>
      <c r="B454" s="10" t="inlineStr">
        <is>
          <t>SO62428</t>
        </is>
      </c>
      <c r="C454" s="10" t="inlineStr">
        <is>
          <t>C12639</t>
        </is>
      </c>
      <c r="D454" s="10">
        <f>INDEX(Customers!$B:$B,MATCH(C454,Customers!$A:$A,0))</f>
        <v/>
      </c>
      <c r="E454" s="10">
        <f>INDEX(Customers!$D:$D,MATCH(C454,Customers!$A:$A,0))</f>
        <v/>
      </c>
      <c r="F454" s="10" t="inlineStr">
        <is>
          <t>Carrier B</t>
        </is>
      </c>
      <c r="G454" s="5" t="n">
        <v>46248</v>
      </c>
      <c r="H454" s="5" t="n">
        <v>46252</v>
      </c>
      <c r="I454" s="5" t="n">
        <v>46252</v>
      </c>
      <c r="J454" s="10" t="inlineStr">
        <is>
          <t>07:20</t>
        </is>
      </c>
      <c r="K454" s="10" t="inlineStr">
        <is>
          <t>On time</t>
        </is>
      </c>
      <c r="L454" s="6" t="n">
        <v>0</v>
      </c>
      <c r="M454" s="10" t="n"/>
      <c r="N454" s="6" t="n">
        <v>28</v>
      </c>
      <c r="O454" s="6" t="n">
        <v>3444</v>
      </c>
      <c r="P454" s="6" t="n">
        <v>1</v>
      </c>
      <c r="Q454" s="6">
        <f>IF(OR(K454="On time",K454="Late",K454="Very late"),1,0)</f>
        <v/>
      </c>
    </row>
    <row r="455">
      <c r="A455" s="10" t="inlineStr">
        <is>
          <t>DN318668</t>
        </is>
      </c>
      <c r="B455" s="10" t="inlineStr">
        <is>
          <t>SO62429</t>
        </is>
      </c>
      <c r="C455" s="10" t="inlineStr">
        <is>
          <t>C12675</t>
        </is>
      </c>
      <c r="D455" s="10">
        <f>INDEX(Customers!$B:$B,MATCH(C455,Customers!$A:$A,0))</f>
        <v/>
      </c>
      <c r="E455" s="10">
        <f>INDEX(Customers!$D:$D,MATCH(C455,Customers!$A:$A,0))</f>
        <v/>
      </c>
      <c r="F455" s="10" t="inlineStr">
        <is>
          <t>Carrier B</t>
        </is>
      </c>
      <c r="G455" s="5" t="n">
        <v>46248</v>
      </c>
      <c r="H455" s="5" t="n">
        <v>46252</v>
      </c>
      <c r="I455" s="5" t="n">
        <v>46254</v>
      </c>
      <c r="J455" s="10" t="inlineStr">
        <is>
          <t>12:30</t>
        </is>
      </c>
      <c r="K455" s="10" t="inlineStr">
        <is>
          <t>Very late</t>
        </is>
      </c>
      <c r="L455" s="6" t="n">
        <v>2</v>
      </c>
      <c r="M455" s="10" t="inlineStr">
        <is>
          <t>Carrier delay</t>
        </is>
      </c>
      <c r="N455" s="6" t="n">
        <v>36</v>
      </c>
      <c r="O455" s="6" t="n">
        <v>4824</v>
      </c>
      <c r="P455" s="6" t="n">
        <v>1</v>
      </c>
      <c r="Q455" s="6">
        <f>IF(OR(K455="On time",K455="Late",K455="Very late"),1,0)</f>
        <v/>
      </c>
    </row>
    <row r="456">
      <c r="A456" s="10" t="inlineStr">
        <is>
          <t>DN318669</t>
        </is>
      </c>
      <c r="B456" s="10" t="inlineStr">
        <is>
          <t>SO62430</t>
        </is>
      </c>
      <c r="C456" s="10" t="inlineStr">
        <is>
          <t>C10322</t>
        </is>
      </c>
      <c r="D456" s="10">
        <f>INDEX(Customers!$B:$B,MATCH(C456,Customers!$A:$A,0))</f>
        <v/>
      </c>
      <c r="E456" s="10">
        <f>INDEX(Customers!$D:$D,MATCH(C456,Customers!$A:$A,0))</f>
        <v/>
      </c>
      <c r="F456" s="10" t="inlineStr">
        <is>
          <t>Own trucks</t>
        </is>
      </c>
      <c r="G456" s="5" t="n">
        <v>46252</v>
      </c>
      <c r="H456" s="5" t="n">
        <v>46253</v>
      </c>
      <c r="I456" s="5" t="n">
        <v>46253</v>
      </c>
      <c r="J456" s="10" t="inlineStr">
        <is>
          <t>11:00</t>
        </is>
      </c>
      <c r="K456" s="10" t="inlineStr">
        <is>
          <t>On time</t>
        </is>
      </c>
      <c r="L456" s="6" t="n">
        <v>0</v>
      </c>
      <c r="M456" s="10" t="n"/>
      <c r="N456" s="6" t="n">
        <v>13</v>
      </c>
      <c r="O456" s="6" t="n">
        <v>1378</v>
      </c>
      <c r="P456" s="6" t="n">
        <v>1</v>
      </c>
      <c r="Q456" s="6">
        <f>IF(OR(K456="On time",K456="Late",K456="Very late"),1,0)</f>
        <v/>
      </c>
    </row>
    <row r="457">
      <c r="A457" s="10" t="inlineStr">
        <is>
          <t>DN318670</t>
        </is>
      </c>
      <c r="B457" s="10" t="inlineStr">
        <is>
          <t>SO62431</t>
        </is>
      </c>
      <c r="C457" s="10" t="inlineStr">
        <is>
          <t>C10343</t>
        </is>
      </c>
      <c r="D457" s="10">
        <f>INDEX(Customers!$B:$B,MATCH(C457,Customers!$A:$A,0))</f>
        <v/>
      </c>
      <c r="E457" s="10">
        <f>INDEX(Customers!$D:$D,MATCH(C457,Customers!$A:$A,0))</f>
        <v/>
      </c>
      <c r="F457" s="10" t="inlineStr">
        <is>
          <t>Own trucks</t>
        </is>
      </c>
      <c r="G457" s="5" t="n">
        <v>46252</v>
      </c>
      <c r="H457" s="5" t="n">
        <v>46253</v>
      </c>
      <c r="I457" s="5" t="n">
        <v>46253</v>
      </c>
      <c r="J457" s="10" t="inlineStr">
        <is>
          <t>15:20</t>
        </is>
      </c>
      <c r="K457" s="10" t="inlineStr">
        <is>
          <t>On time</t>
        </is>
      </c>
      <c r="L457" s="6" t="n">
        <v>0</v>
      </c>
      <c r="M457" s="10" t="n"/>
      <c r="N457" s="6" t="n">
        <v>7</v>
      </c>
      <c r="O457" s="6" t="n">
        <v>952</v>
      </c>
      <c r="P457" s="6" t="n">
        <v>1</v>
      </c>
      <c r="Q457" s="6">
        <f>IF(OR(K457="On time",K457="Late",K457="Very late"),1,0)</f>
        <v/>
      </c>
    </row>
    <row r="458">
      <c r="A458" s="10" t="inlineStr">
        <is>
          <t>DN318671</t>
        </is>
      </c>
      <c r="B458" s="10" t="inlineStr">
        <is>
          <t>SO62432</t>
        </is>
      </c>
      <c r="C458" s="10" t="inlineStr">
        <is>
          <t>C10413</t>
        </is>
      </c>
      <c r="D458" s="10">
        <f>INDEX(Customers!$B:$B,MATCH(C458,Customers!$A:$A,0))</f>
        <v/>
      </c>
      <c r="E458" s="10">
        <f>INDEX(Customers!$D:$D,MATCH(C458,Customers!$A:$A,0))</f>
        <v/>
      </c>
      <c r="F458" s="10" t="inlineStr">
        <is>
          <t>Own trucks</t>
        </is>
      </c>
      <c r="G458" s="5" t="n">
        <v>46252</v>
      </c>
      <c r="H458" s="5" t="n">
        <v>46253</v>
      </c>
      <c r="I458" s="5" t="n">
        <v>46253</v>
      </c>
      <c r="J458" s="10" t="inlineStr">
        <is>
          <t>16:50</t>
        </is>
      </c>
      <c r="K458" s="10" t="inlineStr">
        <is>
          <t>On time</t>
        </is>
      </c>
      <c r="L458" s="6" t="n">
        <v>0</v>
      </c>
      <c r="M458" s="10" t="n"/>
      <c r="N458" s="6" t="n">
        <v>3</v>
      </c>
      <c r="O458" s="6" t="n">
        <v>252</v>
      </c>
      <c r="P458" s="6" t="n">
        <v>1</v>
      </c>
      <c r="Q458" s="6">
        <f>IF(OR(K458="On time",K458="Late",K458="Very late"),1,0)</f>
        <v/>
      </c>
    </row>
    <row r="459">
      <c r="A459" s="10" t="inlineStr">
        <is>
          <t>DN318672</t>
        </is>
      </c>
      <c r="B459" s="10" t="inlineStr">
        <is>
          <t>SO62433</t>
        </is>
      </c>
      <c r="C459" s="10" t="inlineStr">
        <is>
          <t>C10446</t>
        </is>
      </c>
      <c r="D459" s="10">
        <f>INDEX(Customers!$B:$B,MATCH(C459,Customers!$A:$A,0))</f>
        <v/>
      </c>
      <c r="E459" s="10">
        <f>INDEX(Customers!$D:$D,MATCH(C459,Customers!$A:$A,0))</f>
        <v/>
      </c>
      <c r="F459" s="10" t="inlineStr">
        <is>
          <t>Own trucks</t>
        </is>
      </c>
      <c r="G459" s="5" t="n">
        <v>46252</v>
      </c>
      <c r="H459" s="5" t="n">
        <v>46253</v>
      </c>
      <c r="I459" s="5" t="n">
        <v>46253</v>
      </c>
      <c r="J459" s="10" t="inlineStr">
        <is>
          <t>16:30</t>
        </is>
      </c>
      <c r="K459" s="10" t="inlineStr">
        <is>
          <t>On time</t>
        </is>
      </c>
      <c r="L459" s="6" t="n">
        <v>0</v>
      </c>
      <c r="M459" s="10" t="n"/>
      <c r="N459" s="6" t="n">
        <v>39</v>
      </c>
      <c r="O459" s="6" t="n">
        <v>3822</v>
      </c>
      <c r="P459" s="6" t="n">
        <v>1</v>
      </c>
      <c r="Q459" s="6">
        <f>IF(OR(K459="On time",K459="Late",K459="Very late"),1,0)</f>
        <v/>
      </c>
    </row>
    <row r="460">
      <c r="A460" s="10" t="inlineStr">
        <is>
          <t>DN318673</t>
        </is>
      </c>
      <c r="B460" s="10" t="inlineStr">
        <is>
          <t>SO62434</t>
        </is>
      </c>
      <c r="C460" s="10" t="inlineStr">
        <is>
          <t>C10515</t>
        </is>
      </c>
      <c r="D460" s="10">
        <f>INDEX(Customers!$B:$B,MATCH(C460,Customers!$A:$A,0))</f>
        <v/>
      </c>
      <c r="E460" s="10">
        <f>INDEX(Customers!$D:$D,MATCH(C460,Customers!$A:$A,0))</f>
        <v/>
      </c>
      <c r="F460" s="10" t="inlineStr">
        <is>
          <t>Own trucks</t>
        </is>
      </c>
      <c r="G460" s="5" t="n">
        <v>46252</v>
      </c>
      <c r="H460" s="5" t="n">
        <v>46253</v>
      </c>
      <c r="I460" s="5" t="n">
        <v>46253</v>
      </c>
      <c r="J460" s="10" t="inlineStr">
        <is>
          <t>16:40</t>
        </is>
      </c>
      <c r="K460" s="10" t="inlineStr">
        <is>
          <t>On time</t>
        </is>
      </c>
      <c r="L460" s="6" t="n">
        <v>0</v>
      </c>
      <c r="M460" s="10" t="n"/>
      <c r="N460" s="6" t="n">
        <v>27</v>
      </c>
      <c r="O460" s="6" t="n">
        <v>2619</v>
      </c>
      <c r="P460" s="6" t="n">
        <v>1</v>
      </c>
      <c r="Q460" s="6">
        <f>IF(OR(K460="On time",K460="Late",K460="Very late"),1,0)</f>
        <v/>
      </c>
    </row>
    <row r="461">
      <c r="A461" s="10" t="inlineStr">
        <is>
          <t>DN318674</t>
        </is>
      </c>
      <c r="B461" s="10" t="inlineStr">
        <is>
          <t>SO62435</t>
        </is>
      </c>
      <c r="C461" s="10" t="inlineStr">
        <is>
          <t>C10522</t>
        </is>
      </c>
      <c r="D461" s="10">
        <f>INDEX(Customers!$B:$B,MATCH(C461,Customers!$A:$A,0))</f>
        <v/>
      </c>
      <c r="E461" s="10">
        <f>INDEX(Customers!$D:$D,MATCH(C461,Customers!$A:$A,0))</f>
        <v/>
      </c>
      <c r="F461" s="10" t="inlineStr">
        <is>
          <t>Own trucks</t>
        </is>
      </c>
      <c r="G461" s="5" t="n">
        <v>46252</v>
      </c>
      <c r="H461" s="5" t="n">
        <v>46253</v>
      </c>
      <c r="I461" s="5" t="n">
        <v>46253</v>
      </c>
      <c r="J461" s="10" t="inlineStr">
        <is>
          <t>16:20</t>
        </is>
      </c>
      <c r="K461" s="10" t="inlineStr">
        <is>
          <t>On time</t>
        </is>
      </c>
      <c r="L461" s="6" t="n">
        <v>0</v>
      </c>
      <c r="M461" s="10" t="n"/>
      <c r="N461" s="6" t="n">
        <v>33</v>
      </c>
      <c r="O461" s="6" t="n">
        <v>2640</v>
      </c>
      <c r="P461" s="6" t="n">
        <v>1</v>
      </c>
      <c r="Q461" s="6">
        <f>IF(OR(K461="On time",K461="Late",K461="Very late"),1,0)</f>
        <v/>
      </c>
    </row>
    <row r="462">
      <c r="A462" s="10" t="inlineStr">
        <is>
          <t>DN318675</t>
        </is>
      </c>
      <c r="B462" s="10" t="inlineStr">
        <is>
          <t>SO62437</t>
        </is>
      </c>
      <c r="C462" s="10" t="inlineStr">
        <is>
          <t>C10536</t>
        </is>
      </c>
      <c r="D462" s="10">
        <f>INDEX(Customers!$B:$B,MATCH(C462,Customers!$A:$A,0))</f>
        <v/>
      </c>
      <c r="E462" s="10">
        <f>INDEX(Customers!$D:$D,MATCH(C462,Customers!$A:$A,0))</f>
        <v/>
      </c>
      <c r="F462" s="10" t="inlineStr">
        <is>
          <t>Own trucks</t>
        </is>
      </c>
      <c r="G462" s="5" t="n">
        <v>46252</v>
      </c>
      <c r="H462" s="5" t="n">
        <v>46253</v>
      </c>
      <c r="I462" s="5" t="n">
        <v>46253</v>
      </c>
      <c r="J462" s="10" t="inlineStr">
        <is>
          <t>14:40</t>
        </is>
      </c>
      <c r="K462" s="10" t="inlineStr">
        <is>
          <t>On time</t>
        </is>
      </c>
      <c r="L462" s="6" t="n">
        <v>0</v>
      </c>
      <c r="M462" s="10" t="n"/>
      <c r="N462" s="6" t="n">
        <v>22</v>
      </c>
      <c r="O462" s="6" t="n">
        <v>1760</v>
      </c>
      <c r="P462" s="6" t="n">
        <v>1</v>
      </c>
      <c r="Q462" s="6">
        <f>IF(OR(K462="On time",K462="Late",K462="Very late"),1,0)</f>
        <v/>
      </c>
    </row>
    <row r="463">
      <c r="A463" s="10" t="inlineStr">
        <is>
          <t>DN318676</t>
        </is>
      </c>
      <c r="B463" s="10" t="inlineStr">
        <is>
          <t>SO62438</t>
        </is>
      </c>
      <c r="C463" s="10" t="inlineStr">
        <is>
          <t>C10589</t>
        </is>
      </c>
      <c r="D463" s="10">
        <f>INDEX(Customers!$B:$B,MATCH(C463,Customers!$A:$A,0))</f>
        <v/>
      </c>
      <c r="E463" s="10">
        <f>INDEX(Customers!$D:$D,MATCH(C463,Customers!$A:$A,0))</f>
        <v/>
      </c>
      <c r="F463" s="10" t="inlineStr">
        <is>
          <t>Own trucks</t>
        </is>
      </c>
      <c r="G463" s="5" t="n">
        <v>46252</v>
      </c>
      <c r="H463" s="5" t="n">
        <v>46253</v>
      </c>
      <c r="I463" s="5" t="n">
        <v>46253</v>
      </c>
      <c r="J463" s="10" t="inlineStr">
        <is>
          <t>11:30</t>
        </is>
      </c>
      <c r="K463" s="10" t="inlineStr">
        <is>
          <t>On time</t>
        </is>
      </c>
      <c r="L463" s="6" t="n">
        <v>0</v>
      </c>
      <c r="M463" s="10" t="n"/>
      <c r="N463" s="6" t="n">
        <v>27</v>
      </c>
      <c r="O463" s="6" t="n">
        <v>3726</v>
      </c>
      <c r="P463" s="6" t="n">
        <v>1</v>
      </c>
      <c r="Q463" s="6">
        <f>IF(OR(K463="On time",K463="Late",K463="Very late"),1,0)</f>
        <v/>
      </c>
    </row>
    <row r="464">
      <c r="A464" s="10" t="inlineStr">
        <is>
          <t>DN318677</t>
        </is>
      </c>
      <c r="B464" s="10" t="inlineStr">
        <is>
          <t>SO62439</t>
        </is>
      </c>
      <c r="C464" s="10" t="inlineStr">
        <is>
          <t>C10622</t>
        </is>
      </c>
      <c r="D464" s="10">
        <f>INDEX(Customers!$B:$B,MATCH(C464,Customers!$A:$A,0))</f>
        <v/>
      </c>
      <c r="E464" s="10">
        <f>INDEX(Customers!$D:$D,MATCH(C464,Customers!$A:$A,0))</f>
        <v/>
      </c>
      <c r="F464" s="10" t="inlineStr">
        <is>
          <t>Own trucks</t>
        </is>
      </c>
      <c r="G464" s="5" t="n">
        <v>46252</v>
      </c>
      <c r="H464" s="5" t="n">
        <v>46253</v>
      </c>
      <c r="I464" s="5" t="n">
        <v>46253</v>
      </c>
      <c r="J464" s="10" t="inlineStr">
        <is>
          <t>08:20</t>
        </is>
      </c>
      <c r="K464" s="10" t="inlineStr">
        <is>
          <t>On time</t>
        </is>
      </c>
      <c r="L464" s="6" t="n">
        <v>0</v>
      </c>
      <c r="M464" s="10" t="n"/>
      <c r="N464" s="6" t="n">
        <v>34</v>
      </c>
      <c r="O464" s="6" t="n">
        <v>3638</v>
      </c>
      <c r="P464" s="6" t="n">
        <v>1</v>
      </c>
      <c r="Q464" s="6">
        <f>IF(OR(K464="On time",K464="Late",K464="Very late"),1,0)</f>
        <v/>
      </c>
    </row>
    <row r="465">
      <c r="A465" s="10" t="inlineStr">
        <is>
          <t>DN318678</t>
        </is>
      </c>
      <c r="B465" s="10" t="inlineStr">
        <is>
          <t>SO62440</t>
        </is>
      </c>
      <c r="C465" s="10" t="inlineStr">
        <is>
          <t>C10676</t>
        </is>
      </c>
      <c r="D465" s="10">
        <f>INDEX(Customers!$B:$B,MATCH(C465,Customers!$A:$A,0))</f>
        <v/>
      </c>
      <c r="E465" s="10">
        <f>INDEX(Customers!$D:$D,MATCH(C465,Customers!$A:$A,0))</f>
        <v/>
      </c>
      <c r="F465" s="10" t="inlineStr">
        <is>
          <t>Own trucks</t>
        </is>
      </c>
      <c r="G465" s="5" t="n">
        <v>46252</v>
      </c>
      <c r="H465" s="5" t="n">
        <v>46253</v>
      </c>
      <c r="I465" s="5" t="n">
        <v>46253</v>
      </c>
      <c r="J465" s="10" t="inlineStr">
        <is>
          <t>08:20</t>
        </is>
      </c>
      <c r="K465" s="10" t="inlineStr">
        <is>
          <t>On time</t>
        </is>
      </c>
      <c r="L465" s="6" t="n">
        <v>0</v>
      </c>
      <c r="M465" s="10" t="n"/>
      <c r="N465" s="6" t="n">
        <v>31</v>
      </c>
      <c r="O465" s="6" t="n">
        <v>2759</v>
      </c>
      <c r="P465" s="6" t="n">
        <v>1</v>
      </c>
      <c r="Q465" s="6">
        <f>IF(OR(K465="On time",K465="Late",K465="Very late"),1,0)</f>
        <v/>
      </c>
    </row>
    <row r="466">
      <c r="A466" s="10" t="inlineStr">
        <is>
          <t>DN318679</t>
        </is>
      </c>
      <c r="B466" s="10" t="inlineStr">
        <is>
          <t>SO62441</t>
        </is>
      </c>
      <c r="C466" s="10" t="inlineStr">
        <is>
          <t>C10796</t>
        </is>
      </c>
      <c r="D466" s="10">
        <f>INDEX(Customers!$B:$B,MATCH(C466,Customers!$A:$A,0))</f>
        <v/>
      </c>
      <c r="E466" s="10">
        <f>INDEX(Customers!$D:$D,MATCH(C466,Customers!$A:$A,0))</f>
        <v/>
      </c>
      <c r="F466" s="10" t="inlineStr">
        <is>
          <t>Own trucks</t>
        </is>
      </c>
      <c r="G466" s="5" t="n">
        <v>46252</v>
      </c>
      <c r="H466" s="5" t="n">
        <v>46253</v>
      </c>
      <c r="I466" s="5" t="n">
        <v>46253</v>
      </c>
      <c r="J466" s="10" t="inlineStr">
        <is>
          <t>14:00</t>
        </is>
      </c>
      <c r="K466" s="10" t="inlineStr">
        <is>
          <t>On time</t>
        </is>
      </c>
      <c r="L466" s="6" t="n">
        <v>0</v>
      </c>
      <c r="M466" s="10" t="n"/>
      <c r="N466" s="6" t="n">
        <v>28</v>
      </c>
      <c r="O466" s="6" t="n">
        <v>3752</v>
      </c>
      <c r="P466" s="6" t="n">
        <v>1</v>
      </c>
      <c r="Q466" s="6">
        <f>IF(OR(K466="On time",K466="Late",K466="Very late"),1,0)</f>
        <v/>
      </c>
    </row>
    <row r="467">
      <c r="A467" s="10" t="inlineStr">
        <is>
          <t>DN318680</t>
        </is>
      </c>
      <c r="B467" s="10" t="inlineStr">
        <is>
          <t>SO62443</t>
        </is>
      </c>
      <c r="C467" s="10" t="inlineStr">
        <is>
          <t>C10847</t>
        </is>
      </c>
      <c r="D467" s="10">
        <f>INDEX(Customers!$B:$B,MATCH(C467,Customers!$A:$A,0))</f>
        <v/>
      </c>
      <c r="E467" s="10">
        <f>INDEX(Customers!$D:$D,MATCH(C467,Customers!$A:$A,0))</f>
        <v/>
      </c>
      <c r="F467" s="10" t="inlineStr">
        <is>
          <t>Own trucks</t>
        </is>
      </c>
      <c r="G467" s="5" t="n">
        <v>46252</v>
      </c>
      <c r="H467" s="5" t="n">
        <v>46253</v>
      </c>
      <c r="I467" s="5" t="n">
        <v>46253</v>
      </c>
      <c r="J467" s="10" t="inlineStr">
        <is>
          <t>07:10</t>
        </is>
      </c>
      <c r="K467" s="10" t="inlineStr">
        <is>
          <t>On time</t>
        </is>
      </c>
      <c r="L467" s="6" t="n">
        <v>0</v>
      </c>
      <c r="M467" s="10" t="n"/>
      <c r="N467" s="6" t="n">
        <v>13</v>
      </c>
      <c r="O467" s="6" t="n">
        <v>1534</v>
      </c>
      <c r="P467" s="6" t="n">
        <v>1</v>
      </c>
      <c r="Q467" s="6">
        <f>IF(OR(K467="On time",K467="Late",K467="Very late"),1,0)</f>
        <v/>
      </c>
    </row>
    <row r="468">
      <c r="A468" s="10" t="inlineStr">
        <is>
          <t>DN318681</t>
        </is>
      </c>
      <c r="B468" s="10" t="inlineStr">
        <is>
          <t>SO62444</t>
        </is>
      </c>
      <c r="C468" s="10" t="inlineStr">
        <is>
          <t>C10915</t>
        </is>
      </c>
      <c r="D468" s="10">
        <f>INDEX(Customers!$B:$B,MATCH(C468,Customers!$A:$A,0))</f>
        <v/>
      </c>
      <c r="E468" s="10">
        <f>INDEX(Customers!$D:$D,MATCH(C468,Customers!$A:$A,0))</f>
        <v/>
      </c>
      <c r="F468" s="10" t="inlineStr">
        <is>
          <t>Own trucks</t>
        </is>
      </c>
      <c r="G468" s="5" t="n">
        <v>46252</v>
      </c>
      <c r="H468" s="5" t="n">
        <v>46253</v>
      </c>
      <c r="I468" s="5" t="n">
        <v>46253</v>
      </c>
      <c r="J468" s="10" t="inlineStr">
        <is>
          <t>11:10</t>
        </is>
      </c>
      <c r="K468" s="10" t="inlineStr">
        <is>
          <t>On time</t>
        </is>
      </c>
      <c r="L468" s="6" t="n">
        <v>0</v>
      </c>
      <c r="M468" s="10" t="n"/>
      <c r="N468" s="6" t="n">
        <v>12</v>
      </c>
      <c r="O468" s="6" t="n">
        <v>1596</v>
      </c>
      <c r="P468" s="6" t="n">
        <v>1</v>
      </c>
      <c r="Q468" s="6">
        <f>IF(OR(K468="On time",K468="Late",K468="Very late"),1,0)</f>
        <v/>
      </c>
    </row>
    <row r="469">
      <c r="A469" s="10" t="inlineStr">
        <is>
          <t>DN318682</t>
        </is>
      </c>
      <c r="B469" s="10" t="inlineStr">
        <is>
          <t>SO62445</t>
        </is>
      </c>
      <c r="C469" s="10" t="inlineStr">
        <is>
          <t>C10982</t>
        </is>
      </c>
      <c r="D469" s="10">
        <f>INDEX(Customers!$B:$B,MATCH(C469,Customers!$A:$A,0))</f>
        <v/>
      </c>
      <c r="E469" s="10">
        <f>INDEX(Customers!$D:$D,MATCH(C469,Customers!$A:$A,0))</f>
        <v/>
      </c>
      <c r="F469" s="10" t="inlineStr">
        <is>
          <t>Own trucks</t>
        </is>
      </c>
      <c r="G469" s="5" t="n">
        <v>46252</v>
      </c>
      <c r="H469" s="5" t="n">
        <v>46253</v>
      </c>
      <c r="I469" s="5" t="n">
        <v>46253</v>
      </c>
      <c r="J469" s="10" t="inlineStr">
        <is>
          <t>15:30</t>
        </is>
      </c>
      <c r="K469" s="10" t="inlineStr">
        <is>
          <t>On time</t>
        </is>
      </c>
      <c r="L469" s="6" t="n">
        <v>0</v>
      </c>
      <c r="M469" s="10" t="n"/>
      <c r="N469" s="6" t="n">
        <v>32</v>
      </c>
      <c r="O469" s="6" t="n">
        <v>1888</v>
      </c>
      <c r="P469" s="6" t="n">
        <v>1</v>
      </c>
      <c r="Q469" s="6">
        <f>IF(OR(K469="On time",K469="Late",K469="Very late"),1,0)</f>
        <v/>
      </c>
    </row>
    <row r="470">
      <c r="A470" s="10" t="inlineStr">
        <is>
          <t>DN318683</t>
        </is>
      </c>
      <c r="B470" s="10" t="inlineStr">
        <is>
          <t>SO62447</t>
        </is>
      </c>
      <c r="C470" s="10" t="inlineStr">
        <is>
          <t>C11107</t>
        </is>
      </c>
      <c r="D470" s="10">
        <f>INDEX(Customers!$B:$B,MATCH(C470,Customers!$A:$A,0))</f>
        <v/>
      </c>
      <c r="E470" s="10">
        <f>INDEX(Customers!$D:$D,MATCH(C470,Customers!$A:$A,0))</f>
        <v/>
      </c>
      <c r="F470" s="10" t="inlineStr">
        <is>
          <t>Own trucks</t>
        </is>
      </c>
      <c r="G470" s="5" t="n">
        <v>46252</v>
      </c>
      <c r="H470" s="5" t="n">
        <v>46253</v>
      </c>
      <c r="I470" s="5" t="n">
        <v>46253</v>
      </c>
      <c r="J470" s="10" t="inlineStr">
        <is>
          <t>07:20</t>
        </is>
      </c>
      <c r="K470" s="10" t="inlineStr">
        <is>
          <t>On time</t>
        </is>
      </c>
      <c r="L470" s="6" t="n">
        <v>0</v>
      </c>
      <c r="M470" s="10" t="n"/>
      <c r="N470" s="6" t="n">
        <v>33</v>
      </c>
      <c r="O470" s="6" t="n">
        <v>3135</v>
      </c>
      <c r="P470" s="6" t="n">
        <v>1</v>
      </c>
      <c r="Q470" s="6">
        <f>IF(OR(K470="On time",K470="Late",K470="Very late"),1,0)</f>
        <v/>
      </c>
    </row>
    <row r="471">
      <c r="A471" s="10" t="inlineStr">
        <is>
          <t>DN318684</t>
        </is>
      </c>
      <c r="B471" s="10" t="inlineStr">
        <is>
          <t>SO62448</t>
        </is>
      </c>
      <c r="C471" s="10" t="inlineStr">
        <is>
          <t>C11143</t>
        </is>
      </c>
      <c r="D471" s="10">
        <f>INDEX(Customers!$B:$B,MATCH(C471,Customers!$A:$A,0))</f>
        <v/>
      </c>
      <c r="E471" s="10">
        <f>INDEX(Customers!$D:$D,MATCH(C471,Customers!$A:$A,0))</f>
        <v/>
      </c>
      <c r="F471" s="10" t="inlineStr">
        <is>
          <t>Own trucks</t>
        </is>
      </c>
      <c r="G471" s="5" t="n">
        <v>46252</v>
      </c>
      <c r="H471" s="5" t="n">
        <v>46253</v>
      </c>
      <c r="I471" s="5" t="n">
        <v>46253</v>
      </c>
      <c r="J471" s="10" t="inlineStr">
        <is>
          <t>16:50</t>
        </is>
      </c>
      <c r="K471" s="10" t="inlineStr">
        <is>
          <t>On time</t>
        </is>
      </c>
      <c r="L471" s="6" t="n">
        <v>0</v>
      </c>
      <c r="M471" s="10" t="n"/>
      <c r="N471" s="6" t="n">
        <v>23</v>
      </c>
      <c r="O471" s="6" t="n">
        <v>1265</v>
      </c>
      <c r="P471" s="6" t="n">
        <v>1</v>
      </c>
      <c r="Q471" s="6">
        <f>IF(OR(K471="On time",K471="Late",K471="Very late"),1,0)</f>
        <v/>
      </c>
    </row>
    <row r="472">
      <c r="A472" s="10" t="inlineStr">
        <is>
          <t>DN318685</t>
        </is>
      </c>
      <c r="B472" s="10" t="inlineStr">
        <is>
          <t>SO62449</t>
        </is>
      </c>
      <c r="C472" s="10" t="inlineStr">
        <is>
          <t>C11247</t>
        </is>
      </c>
      <c r="D472" s="10">
        <f>INDEX(Customers!$B:$B,MATCH(C472,Customers!$A:$A,0))</f>
        <v/>
      </c>
      <c r="E472" s="10">
        <f>INDEX(Customers!$D:$D,MATCH(C472,Customers!$A:$A,0))</f>
        <v/>
      </c>
      <c r="F472" s="10" t="inlineStr">
        <is>
          <t>Own trucks</t>
        </is>
      </c>
      <c r="G472" s="5" t="n">
        <v>46252</v>
      </c>
      <c r="H472" s="5" t="n">
        <v>46253</v>
      </c>
      <c r="I472" s="5" t="n">
        <v>46253</v>
      </c>
      <c r="J472" s="10" t="inlineStr">
        <is>
          <t>09:10</t>
        </is>
      </c>
      <c r="K472" s="10" t="inlineStr">
        <is>
          <t>On time</t>
        </is>
      </c>
      <c r="L472" s="6" t="n">
        <v>0</v>
      </c>
      <c r="M472" s="10" t="n"/>
      <c r="N472" s="6" t="n">
        <v>38</v>
      </c>
      <c r="O472" s="6" t="n">
        <v>2660</v>
      </c>
      <c r="P472" s="6" t="n">
        <v>1</v>
      </c>
      <c r="Q472" s="6">
        <f>IF(OR(K472="On time",K472="Late",K472="Very late"),1,0)</f>
        <v/>
      </c>
    </row>
    <row r="473">
      <c r="A473" s="10" t="inlineStr">
        <is>
          <t>DN318686</t>
        </is>
      </c>
      <c r="B473" s="10" t="inlineStr">
        <is>
          <t>SO62450</t>
        </is>
      </c>
      <c r="C473" s="10" t="inlineStr">
        <is>
          <t>C11264</t>
        </is>
      </c>
      <c r="D473" s="10">
        <f>INDEX(Customers!$B:$B,MATCH(C473,Customers!$A:$A,0))</f>
        <v/>
      </c>
      <c r="E473" s="10">
        <f>INDEX(Customers!$D:$D,MATCH(C473,Customers!$A:$A,0))</f>
        <v/>
      </c>
      <c r="F473" s="10" t="inlineStr">
        <is>
          <t>Own trucks</t>
        </is>
      </c>
      <c r="G473" s="5" t="n">
        <v>46252</v>
      </c>
      <c r="H473" s="5" t="n">
        <v>46253</v>
      </c>
      <c r="I473" s="5" t="n">
        <v>46253</v>
      </c>
      <c r="J473" s="10" t="inlineStr">
        <is>
          <t>07:40</t>
        </is>
      </c>
      <c r="K473" s="10" t="inlineStr">
        <is>
          <t>On time</t>
        </is>
      </c>
      <c r="L473" s="6" t="n">
        <v>0</v>
      </c>
      <c r="M473" s="10" t="n"/>
      <c r="N473" s="6" t="n">
        <v>5</v>
      </c>
      <c r="O473" s="6" t="n">
        <v>500</v>
      </c>
      <c r="P473" s="6" t="n">
        <v>1</v>
      </c>
      <c r="Q473" s="6">
        <f>IF(OR(K473="On time",K473="Late",K473="Very late"),1,0)</f>
        <v/>
      </c>
    </row>
    <row r="474">
      <c r="A474" s="10" t="inlineStr">
        <is>
          <t>DN318687</t>
        </is>
      </c>
      <c r="B474" s="10" t="inlineStr">
        <is>
          <t>SO62451</t>
        </is>
      </c>
      <c r="C474" s="10" t="inlineStr">
        <is>
          <t>C11314</t>
        </is>
      </c>
      <c r="D474" s="10">
        <f>INDEX(Customers!$B:$B,MATCH(C474,Customers!$A:$A,0))</f>
        <v/>
      </c>
      <c r="E474" s="10">
        <f>INDEX(Customers!$D:$D,MATCH(C474,Customers!$A:$A,0))</f>
        <v/>
      </c>
      <c r="F474" s="10" t="inlineStr">
        <is>
          <t>Own trucks</t>
        </is>
      </c>
      <c r="G474" s="5" t="n">
        <v>46252</v>
      </c>
      <c r="H474" s="5" t="n">
        <v>46253</v>
      </c>
      <c r="I474" s="5" t="n">
        <v>46253</v>
      </c>
      <c r="J474" s="10" t="inlineStr">
        <is>
          <t>14:00</t>
        </is>
      </c>
      <c r="K474" s="10" t="inlineStr">
        <is>
          <t>On time</t>
        </is>
      </c>
      <c r="L474" s="6" t="n">
        <v>0</v>
      </c>
      <c r="M474" s="10" t="n"/>
      <c r="N474" s="6" t="n">
        <v>38</v>
      </c>
      <c r="O474" s="6" t="n">
        <v>4104</v>
      </c>
      <c r="P474" s="6" t="n">
        <v>1</v>
      </c>
      <c r="Q474" s="6">
        <f>IF(OR(K474="On time",K474="Late",K474="Very late"),1,0)</f>
        <v/>
      </c>
    </row>
    <row r="475">
      <c r="A475" s="10" t="inlineStr">
        <is>
          <t>DN318688</t>
        </is>
      </c>
      <c r="B475" s="10" t="inlineStr">
        <is>
          <t>SO62452</t>
        </is>
      </c>
      <c r="C475" s="10" t="inlineStr">
        <is>
          <t>C11333</t>
        </is>
      </c>
      <c r="D475" s="10">
        <f>INDEX(Customers!$B:$B,MATCH(C475,Customers!$A:$A,0))</f>
        <v/>
      </c>
      <c r="E475" s="10">
        <f>INDEX(Customers!$D:$D,MATCH(C475,Customers!$A:$A,0))</f>
        <v/>
      </c>
      <c r="F475" s="10" t="inlineStr">
        <is>
          <t>Own trucks</t>
        </is>
      </c>
      <c r="G475" s="5" t="n">
        <v>46252</v>
      </c>
      <c r="H475" s="5" t="n">
        <v>46253</v>
      </c>
      <c r="I475" s="5" t="n">
        <v>46253</v>
      </c>
      <c r="J475" s="10" t="inlineStr">
        <is>
          <t>16:50</t>
        </is>
      </c>
      <c r="K475" s="10" t="inlineStr">
        <is>
          <t>On time</t>
        </is>
      </c>
      <c r="L475" s="6" t="n">
        <v>0</v>
      </c>
      <c r="M475" s="10" t="n"/>
      <c r="N475" s="6" t="n">
        <v>37</v>
      </c>
      <c r="O475" s="6" t="n">
        <v>3663</v>
      </c>
      <c r="P475" s="6" t="n">
        <v>0</v>
      </c>
      <c r="Q475" s="6">
        <f>IF(OR(K475="On time",K475="Late",K475="Very late"),1,0)</f>
        <v/>
      </c>
    </row>
    <row r="476">
      <c r="A476" s="10" t="inlineStr">
        <is>
          <t>DN318689</t>
        </is>
      </c>
      <c r="B476" s="10" t="inlineStr">
        <is>
          <t>SO62453</t>
        </is>
      </c>
      <c r="C476" s="10" t="inlineStr">
        <is>
          <t>C11463</t>
        </is>
      </c>
      <c r="D476" s="10">
        <f>INDEX(Customers!$B:$B,MATCH(C476,Customers!$A:$A,0))</f>
        <v/>
      </c>
      <c r="E476" s="10">
        <f>INDEX(Customers!$D:$D,MATCH(C476,Customers!$A:$A,0))</f>
        <v/>
      </c>
      <c r="F476" s="10" t="inlineStr">
        <is>
          <t>Own trucks</t>
        </is>
      </c>
      <c r="G476" s="5" t="n">
        <v>46252</v>
      </c>
      <c r="H476" s="5" t="n">
        <v>46253</v>
      </c>
      <c r="I476" s="5" t="n">
        <v>46253</v>
      </c>
      <c r="J476" s="10" t="inlineStr">
        <is>
          <t>10:00</t>
        </is>
      </c>
      <c r="K476" s="10" t="inlineStr">
        <is>
          <t>On time</t>
        </is>
      </c>
      <c r="L476" s="6" t="n">
        <v>0</v>
      </c>
      <c r="M476" s="10" t="n"/>
      <c r="N476" s="6" t="n">
        <v>20</v>
      </c>
      <c r="O476" s="6" t="n">
        <v>1140</v>
      </c>
      <c r="P476" s="6" t="n">
        <v>1</v>
      </c>
      <c r="Q476" s="6">
        <f>IF(OR(K476="On time",K476="Late",K476="Very late"),1,0)</f>
        <v/>
      </c>
    </row>
    <row r="477">
      <c r="A477" s="10" t="inlineStr">
        <is>
          <t>DN318690</t>
        </is>
      </c>
      <c r="B477" s="10" t="inlineStr">
        <is>
          <t>SO62454</t>
        </is>
      </c>
      <c r="C477" s="10" t="inlineStr">
        <is>
          <t>C11518</t>
        </is>
      </c>
      <c r="D477" s="10">
        <f>INDEX(Customers!$B:$B,MATCH(C477,Customers!$A:$A,0))</f>
        <v/>
      </c>
      <c r="E477" s="10">
        <f>INDEX(Customers!$D:$D,MATCH(C477,Customers!$A:$A,0))</f>
        <v/>
      </c>
      <c r="F477" s="10" t="inlineStr">
        <is>
          <t>Own trucks</t>
        </is>
      </c>
      <c r="G477" s="5" t="n">
        <v>46252</v>
      </c>
      <c r="H477" s="5" t="n">
        <v>46253</v>
      </c>
      <c r="I477" s="5" t="n">
        <v>46253</v>
      </c>
      <c r="J477" s="10" t="inlineStr">
        <is>
          <t>10:20</t>
        </is>
      </c>
      <c r="K477" s="10" t="inlineStr">
        <is>
          <t>On time</t>
        </is>
      </c>
      <c r="L477" s="6" t="n">
        <v>0</v>
      </c>
      <c r="M477" s="10" t="n"/>
      <c r="N477" s="6" t="n">
        <v>12</v>
      </c>
      <c r="O477" s="6" t="n">
        <v>1476</v>
      </c>
      <c r="P477" s="6" t="n">
        <v>1</v>
      </c>
      <c r="Q477" s="6">
        <f>IF(OR(K477="On time",K477="Late",K477="Very late"),1,0)</f>
        <v/>
      </c>
    </row>
    <row r="478">
      <c r="A478" s="10" t="inlineStr">
        <is>
          <t>DN318691</t>
        </is>
      </c>
      <c r="B478" s="10" t="inlineStr">
        <is>
          <t>SO62455</t>
        </is>
      </c>
      <c r="C478" s="10" t="inlineStr">
        <is>
          <t>C11579</t>
        </is>
      </c>
      <c r="D478" s="10">
        <f>INDEX(Customers!$B:$B,MATCH(C478,Customers!$A:$A,0))</f>
        <v/>
      </c>
      <c r="E478" s="10">
        <f>INDEX(Customers!$D:$D,MATCH(C478,Customers!$A:$A,0))</f>
        <v/>
      </c>
      <c r="F478" s="10" t="inlineStr">
        <is>
          <t>Own trucks</t>
        </is>
      </c>
      <c r="G478" s="5" t="n">
        <v>46252</v>
      </c>
      <c r="H478" s="5" t="n">
        <v>46253</v>
      </c>
      <c r="I478" s="5" t="n">
        <v>46253</v>
      </c>
      <c r="J478" s="10" t="inlineStr">
        <is>
          <t>09:00</t>
        </is>
      </c>
      <c r="K478" s="10" t="inlineStr">
        <is>
          <t>On time</t>
        </is>
      </c>
      <c r="L478" s="6" t="n">
        <v>0</v>
      </c>
      <c r="M478" s="10" t="n"/>
      <c r="N478" s="6" t="n">
        <v>11</v>
      </c>
      <c r="O478" s="6" t="n">
        <v>1232</v>
      </c>
      <c r="P478" s="6" t="n">
        <v>1</v>
      </c>
      <c r="Q478" s="6">
        <f>IF(OR(K478="On time",K478="Late",K478="Very late"),1,0)</f>
        <v/>
      </c>
    </row>
    <row r="479">
      <c r="A479" s="10" t="inlineStr">
        <is>
          <t>DN318692</t>
        </is>
      </c>
      <c r="B479" s="10" t="inlineStr">
        <is>
          <t>SO62457</t>
        </is>
      </c>
      <c r="C479" s="10" t="inlineStr">
        <is>
          <t>C11616</t>
        </is>
      </c>
      <c r="D479" s="10">
        <f>INDEX(Customers!$B:$B,MATCH(C479,Customers!$A:$A,0))</f>
        <v/>
      </c>
      <c r="E479" s="10">
        <f>INDEX(Customers!$D:$D,MATCH(C479,Customers!$A:$A,0))</f>
        <v/>
      </c>
      <c r="F479" s="10" t="inlineStr">
        <is>
          <t>Own trucks</t>
        </is>
      </c>
      <c r="G479" s="5" t="n">
        <v>46252</v>
      </c>
      <c r="H479" s="5" t="n">
        <v>46253</v>
      </c>
      <c r="I479" s="5" t="n">
        <v>46253</v>
      </c>
      <c r="J479" s="10" t="inlineStr">
        <is>
          <t>09:30</t>
        </is>
      </c>
      <c r="K479" s="10" t="inlineStr">
        <is>
          <t>On time</t>
        </is>
      </c>
      <c r="L479" s="6" t="n">
        <v>0</v>
      </c>
      <c r="M479" s="10" t="n"/>
      <c r="N479" s="6" t="n">
        <v>5</v>
      </c>
      <c r="O479" s="6" t="n">
        <v>330</v>
      </c>
      <c r="P479" s="6" t="n">
        <v>1</v>
      </c>
      <c r="Q479" s="6">
        <f>IF(OR(K479="On time",K479="Late",K479="Very late"),1,0)</f>
        <v/>
      </c>
    </row>
    <row r="480">
      <c r="A480" s="10" t="inlineStr">
        <is>
          <t>DN318693</t>
        </is>
      </c>
      <c r="B480" s="10" t="inlineStr">
        <is>
          <t>SO62458</t>
        </is>
      </c>
      <c r="C480" s="10" t="inlineStr">
        <is>
          <t>C11666</t>
        </is>
      </c>
      <c r="D480" s="10">
        <f>INDEX(Customers!$B:$B,MATCH(C480,Customers!$A:$A,0))</f>
        <v/>
      </c>
      <c r="E480" s="10">
        <f>INDEX(Customers!$D:$D,MATCH(C480,Customers!$A:$A,0))</f>
        <v/>
      </c>
      <c r="F480" s="10" t="inlineStr">
        <is>
          <t>Own trucks</t>
        </is>
      </c>
      <c r="G480" s="5" t="n">
        <v>46252</v>
      </c>
      <c r="H480" s="5" t="n">
        <v>46253</v>
      </c>
      <c r="I480" s="5" t="n">
        <v>46253</v>
      </c>
      <c r="J480" s="10" t="inlineStr">
        <is>
          <t>11:20</t>
        </is>
      </c>
      <c r="K480" s="10" t="inlineStr">
        <is>
          <t>On time</t>
        </is>
      </c>
      <c r="L480" s="6" t="n">
        <v>0</v>
      </c>
      <c r="M480" s="10" t="n"/>
      <c r="N480" s="6" t="n">
        <v>29</v>
      </c>
      <c r="O480" s="6" t="n">
        <v>2958</v>
      </c>
      <c r="P480" s="6" t="n">
        <v>1</v>
      </c>
      <c r="Q480" s="6">
        <f>IF(OR(K480="On time",K480="Late",K480="Very late"),1,0)</f>
        <v/>
      </c>
    </row>
    <row r="481">
      <c r="A481" s="10" t="inlineStr">
        <is>
          <t>DN318694</t>
        </is>
      </c>
      <c r="B481" s="10" t="inlineStr">
        <is>
          <t>SO62459</t>
        </is>
      </c>
      <c r="C481" s="10" t="inlineStr">
        <is>
          <t>C11790</t>
        </is>
      </c>
      <c r="D481" s="10">
        <f>INDEX(Customers!$B:$B,MATCH(C481,Customers!$A:$A,0))</f>
        <v/>
      </c>
      <c r="E481" s="10">
        <f>INDEX(Customers!$D:$D,MATCH(C481,Customers!$A:$A,0))</f>
        <v/>
      </c>
      <c r="F481" s="10" t="inlineStr">
        <is>
          <t>Carrier A</t>
        </is>
      </c>
      <c r="G481" s="5" t="n">
        <v>46252</v>
      </c>
      <c r="H481" s="5" t="n">
        <v>46253</v>
      </c>
      <c r="I481" s="5" t="n">
        <v>46253</v>
      </c>
      <c r="J481" s="10" t="inlineStr">
        <is>
          <t>07:40</t>
        </is>
      </c>
      <c r="K481" s="10" t="inlineStr">
        <is>
          <t>On time</t>
        </is>
      </c>
      <c r="L481" s="6" t="n">
        <v>0</v>
      </c>
      <c r="M481" s="10" t="n"/>
      <c r="N481" s="6" t="n">
        <v>7</v>
      </c>
      <c r="O481" s="6" t="n">
        <v>798</v>
      </c>
      <c r="P481" s="6" t="n">
        <v>1</v>
      </c>
      <c r="Q481" s="6">
        <f>IF(OR(K481="On time",K481="Late",K481="Very late"),1,0)</f>
        <v/>
      </c>
    </row>
    <row r="482">
      <c r="A482" s="10" t="inlineStr">
        <is>
          <t>DN318695</t>
        </is>
      </c>
      <c r="B482" s="10" t="inlineStr">
        <is>
          <t>SO62460</t>
        </is>
      </c>
      <c r="C482" s="10" t="inlineStr">
        <is>
          <t>C11798</t>
        </is>
      </c>
      <c r="D482" s="10">
        <f>INDEX(Customers!$B:$B,MATCH(C482,Customers!$A:$A,0))</f>
        <v/>
      </c>
      <c r="E482" s="10">
        <f>INDEX(Customers!$D:$D,MATCH(C482,Customers!$A:$A,0))</f>
        <v/>
      </c>
      <c r="F482" s="10" t="inlineStr">
        <is>
          <t>Carrier A</t>
        </is>
      </c>
      <c r="G482" s="5" t="n">
        <v>46252</v>
      </c>
      <c r="H482" s="5" t="n">
        <v>46253</v>
      </c>
      <c r="I482" s="5" t="n">
        <v>46253</v>
      </c>
      <c r="J482" s="10" t="inlineStr">
        <is>
          <t>11:00</t>
        </is>
      </c>
      <c r="K482" s="10" t="inlineStr">
        <is>
          <t>On time</t>
        </is>
      </c>
      <c r="L482" s="6" t="n">
        <v>0</v>
      </c>
      <c r="M482" s="10" t="n"/>
      <c r="N482" s="6" t="n">
        <v>23</v>
      </c>
      <c r="O482" s="6" t="n">
        <v>2208</v>
      </c>
      <c r="P482" s="6" t="n">
        <v>1</v>
      </c>
      <c r="Q482" s="6">
        <f>IF(OR(K482="On time",K482="Late",K482="Very late"),1,0)</f>
        <v/>
      </c>
    </row>
    <row r="483">
      <c r="A483" s="10" t="inlineStr">
        <is>
          <t>DN318696</t>
        </is>
      </c>
      <c r="B483" s="10" t="inlineStr">
        <is>
          <t>SO62462</t>
        </is>
      </c>
      <c r="C483" s="10" t="inlineStr">
        <is>
          <t>C11866</t>
        </is>
      </c>
      <c r="D483" s="10">
        <f>INDEX(Customers!$B:$B,MATCH(C483,Customers!$A:$A,0))</f>
        <v/>
      </c>
      <c r="E483" s="10">
        <f>INDEX(Customers!$D:$D,MATCH(C483,Customers!$A:$A,0))</f>
        <v/>
      </c>
      <c r="F483" s="10" t="inlineStr">
        <is>
          <t>Carrier A</t>
        </is>
      </c>
      <c r="G483" s="5" t="n">
        <v>46252</v>
      </c>
      <c r="H483" s="5" t="n">
        <v>46253</v>
      </c>
      <c r="I483" s="5" t="n">
        <v>46253</v>
      </c>
      <c r="J483" s="10" t="inlineStr">
        <is>
          <t>07:50</t>
        </is>
      </c>
      <c r="K483" s="10" t="inlineStr">
        <is>
          <t>On time</t>
        </is>
      </c>
      <c r="L483" s="6" t="n">
        <v>0</v>
      </c>
      <c r="M483" s="10" t="n"/>
      <c r="N483" s="6" t="n">
        <v>11</v>
      </c>
      <c r="O483" s="6" t="n">
        <v>847</v>
      </c>
      <c r="P483" s="6" t="n">
        <v>1</v>
      </c>
      <c r="Q483" s="6">
        <f>IF(OR(K483="On time",K483="Late",K483="Very late"),1,0)</f>
        <v/>
      </c>
    </row>
    <row r="484">
      <c r="A484" s="10" t="inlineStr">
        <is>
          <t>DN318697</t>
        </is>
      </c>
      <c r="B484" s="10" t="inlineStr">
        <is>
          <t>SO62463</t>
        </is>
      </c>
      <c r="C484" s="10" t="inlineStr">
        <is>
          <t>C11971</t>
        </is>
      </c>
      <c r="D484" s="10">
        <f>INDEX(Customers!$B:$B,MATCH(C484,Customers!$A:$A,0))</f>
        <v/>
      </c>
      <c r="E484" s="10">
        <f>INDEX(Customers!$D:$D,MATCH(C484,Customers!$A:$A,0))</f>
        <v/>
      </c>
      <c r="F484" s="10" t="inlineStr">
        <is>
          <t>Own trucks</t>
        </is>
      </c>
      <c r="G484" s="5" t="n">
        <v>46252</v>
      </c>
      <c r="H484" s="5" t="n">
        <v>46253</v>
      </c>
      <c r="I484" s="5" t="n">
        <v>46253</v>
      </c>
      <c r="J484" s="10" t="inlineStr">
        <is>
          <t>11:20</t>
        </is>
      </c>
      <c r="K484" s="10" t="inlineStr">
        <is>
          <t>On time</t>
        </is>
      </c>
      <c r="L484" s="6" t="n">
        <v>0</v>
      </c>
      <c r="M484" s="10" t="n"/>
      <c r="N484" s="6" t="n">
        <v>28</v>
      </c>
      <c r="O484" s="6" t="n">
        <v>2688</v>
      </c>
      <c r="P484" s="6" t="n">
        <v>1</v>
      </c>
      <c r="Q484" s="6">
        <f>IF(OR(K484="On time",K484="Late",K484="Very late"),1,0)</f>
        <v/>
      </c>
    </row>
    <row r="485">
      <c r="A485" s="10" t="inlineStr">
        <is>
          <t>DN318698</t>
        </is>
      </c>
      <c r="B485" s="10" t="inlineStr">
        <is>
          <t>SO62464</t>
        </is>
      </c>
      <c r="C485" s="10" t="inlineStr">
        <is>
          <t>C11982</t>
        </is>
      </c>
      <c r="D485" s="10">
        <f>INDEX(Customers!$B:$B,MATCH(C485,Customers!$A:$A,0))</f>
        <v/>
      </c>
      <c r="E485" s="10">
        <f>INDEX(Customers!$D:$D,MATCH(C485,Customers!$A:$A,0))</f>
        <v/>
      </c>
      <c r="F485" s="10" t="inlineStr">
        <is>
          <t>Own trucks</t>
        </is>
      </c>
      <c r="G485" s="5" t="n">
        <v>46252</v>
      </c>
      <c r="H485" s="5" t="n">
        <v>46253</v>
      </c>
      <c r="I485" s="5" t="n">
        <v>46253</v>
      </c>
      <c r="J485" s="10" t="inlineStr">
        <is>
          <t>11:20</t>
        </is>
      </c>
      <c r="K485" s="10" t="inlineStr">
        <is>
          <t>On time</t>
        </is>
      </c>
      <c r="L485" s="6" t="n">
        <v>0</v>
      </c>
      <c r="M485" s="10" t="n"/>
      <c r="N485" s="6" t="n">
        <v>11</v>
      </c>
      <c r="O485" s="6" t="n">
        <v>1056</v>
      </c>
      <c r="P485" s="6" t="n">
        <v>1</v>
      </c>
      <c r="Q485" s="6">
        <f>IF(OR(K485="On time",K485="Late",K485="Very late"),1,0)</f>
        <v/>
      </c>
    </row>
    <row r="486">
      <c r="A486" s="10" t="inlineStr">
        <is>
          <t>DN318699</t>
        </is>
      </c>
      <c r="B486" s="10" t="inlineStr">
        <is>
          <t>SO62465</t>
        </is>
      </c>
      <c r="C486" s="10" t="inlineStr">
        <is>
          <t>C12103</t>
        </is>
      </c>
      <c r="D486" s="10">
        <f>INDEX(Customers!$B:$B,MATCH(C486,Customers!$A:$A,0))</f>
        <v/>
      </c>
      <c r="E486" s="10">
        <f>INDEX(Customers!$D:$D,MATCH(C486,Customers!$A:$A,0))</f>
        <v/>
      </c>
      <c r="F486" s="10" t="inlineStr">
        <is>
          <t>Own trucks</t>
        </is>
      </c>
      <c r="G486" s="5" t="n">
        <v>46252</v>
      </c>
      <c r="H486" s="5" t="n">
        <v>46253</v>
      </c>
      <c r="I486" s="5" t="n">
        <v>46253</v>
      </c>
      <c r="J486" s="10" t="inlineStr">
        <is>
          <t>11:50</t>
        </is>
      </c>
      <c r="K486" s="10" t="inlineStr">
        <is>
          <t>On time</t>
        </is>
      </c>
      <c r="L486" s="6" t="n">
        <v>0</v>
      </c>
      <c r="M486" s="10" t="n"/>
      <c r="N486" s="6" t="n">
        <v>8</v>
      </c>
      <c r="O486" s="6" t="n">
        <v>584</v>
      </c>
      <c r="P486" s="6" t="n">
        <v>1</v>
      </c>
      <c r="Q486" s="6">
        <f>IF(OR(K486="On time",K486="Late",K486="Very late"),1,0)</f>
        <v/>
      </c>
    </row>
    <row r="487">
      <c r="A487" s="10" t="inlineStr">
        <is>
          <t>DN318700</t>
        </is>
      </c>
      <c r="B487" s="10" t="inlineStr">
        <is>
          <t>SO62466</t>
        </is>
      </c>
      <c r="C487" s="10" t="inlineStr">
        <is>
          <t>C12239</t>
        </is>
      </c>
      <c r="D487" s="10">
        <f>INDEX(Customers!$B:$B,MATCH(C487,Customers!$A:$A,0))</f>
        <v/>
      </c>
      <c r="E487" s="10">
        <f>INDEX(Customers!$D:$D,MATCH(C487,Customers!$A:$A,0))</f>
        <v/>
      </c>
      <c r="F487" s="10" t="inlineStr">
        <is>
          <t>Carrier B</t>
        </is>
      </c>
      <c r="G487" s="5" t="n">
        <v>46252</v>
      </c>
      <c r="H487" s="5" t="n">
        <v>46253</v>
      </c>
      <c r="I487" s="5" t="n">
        <v>46253</v>
      </c>
      <c r="J487" s="10" t="inlineStr">
        <is>
          <t>12:10</t>
        </is>
      </c>
      <c r="K487" s="10" t="inlineStr">
        <is>
          <t>On time</t>
        </is>
      </c>
      <c r="L487" s="6" t="n">
        <v>0</v>
      </c>
      <c r="M487" s="10" t="n"/>
      <c r="N487" s="6" t="n">
        <v>14</v>
      </c>
      <c r="O487" s="6" t="n">
        <v>1708</v>
      </c>
      <c r="P487" s="6" t="n">
        <v>1</v>
      </c>
      <c r="Q487" s="6">
        <f>IF(OR(K487="On time",K487="Late",K487="Very late"),1,0)</f>
        <v/>
      </c>
    </row>
    <row r="488">
      <c r="A488" s="10" t="inlineStr">
        <is>
          <t>DN318701</t>
        </is>
      </c>
      <c r="B488" s="10" t="inlineStr">
        <is>
          <t>SO62467</t>
        </is>
      </c>
      <c r="C488" s="10" t="inlineStr">
        <is>
          <t>C12262</t>
        </is>
      </c>
      <c r="D488" s="10">
        <f>INDEX(Customers!$B:$B,MATCH(C488,Customers!$A:$A,0))</f>
        <v/>
      </c>
      <c r="E488" s="10">
        <f>INDEX(Customers!$D:$D,MATCH(C488,Customers!$A:$A,0))</f>
        <v/>
      </c>
      <c r="F488" s="10" t="inlineStr">
        <is>
          <t>Carrier B</t>
        </is>
      </c>
      <c r="G488" s="5" t="n">
        <v>46252</v>
      </c>
      <c r="H488" s="5" t="n">
        <v>46253</v>
      </c>
      <c r="I488" s="5" t="n">
        <v>46253</v>
      </c>
      <c r="J488" s="10" t="inlineStr">
        <is>
          <t>09:40</t>
        </is>
      </c>
      <c r="K488" s="10" t="inlineStr">
        <is>
          <t>On time</t>
        </is>
      </c>
      <c r="L488" s="6" t="n">
        <v>0</v>
      </c>
      <c r="M488" s="10" t="n"/>
      <c r="N488" s="6" t="n">
        <v>16</v>
      </c>
      <c r="O488" s="6" t="n">
        <v>1872</v>
      </c>
      <c r="P488" s="6" t="n">
        <v>1</v>
      </c>
      <c r="Q488" s="6">
        <f>IF(OR(K488="On time",K488="Late",K488="Very late"),1,0)</f>
        <v/>
      </c>
    </row>
    <row r="489">
      <c r="A489" s="10" t="inlineStr">
        <is>
          <t>DN318702</t>
        </is>
      </c>
      <c r="B489" s="10" t="inlineStr">
        <is>
          <t>SO62468</t>
        </is>
      </c>
      <c r="C489" s="10" t="inlineStr">
        <is>
          <t>C12305</t>
        </is>
      </c>
      <c r="D489" s="10">
        <f>INDEX(Customers!$B:$B,MATCH(C489,Customers!$A:$A,0))</f>
        <v/>
      </c>
      <c r="E489" s="10">
        <f>INDEX(Customers!$D:$D,MATCH(C489,Customers!$A:$A,0))</f>
        <v/>
      </c>
      <c r="F489" s="10" t="inlineStr">
        <is>
          <t>Carrier B</t>
        </is>
      </c>
      <c r="G489" s="5" t="n">
        <v>46252</v>
      </c>
      <c r="H489" s="5" t="n">
        <v>46253</v>
      </c>
      <c r="I489" s="5" t="n">
        <v>46253</v>
      </c>
      <c r="J489" s="10" t="inlineStr">
        <is>
          <t>07:00</t>
        </is>
      </c>
      <c r="K489" s="10" t="inlineStr">
        <is>
          <t>On time</t>
        </is>
      </c>
      <c r="L489" s="6" t="n">
        <v>0</v>
      </c>
      <c r="M489" s="10" t="n"/>
      <c r="N489" s="6" t="n">
        <v>13</v>
      </c>
      <c r="O489" s="6" t="n">
        <v>1001</v>
      </c>
      <c r="P489" s="6" t="n">
        <v>1</v>
      </c>
      <c r="Q489" s="6">
        <f>IF(OR(K489="On time",K489="Late",K489="Very late"),1,0)</f>
        <v/>
      </c>
    </row>
    <row r="490">
      <c r="A490" s="10" t="inlineStr">
        <is>
          <t>DN318703</t>
        </is>
      </c>
      <c r="B490" s="10" t="inlineStr">
        <is>
          <t>SO62469</t>
        </is>
      </c>
      <c r="C490" s="10" t="inlineStr">
        <is>
          <t>C12365</t>
        </is>
      </c>
      <c r="D490" s="10">
        <f>INDEX(Customers!$B:$B,MATCH(C490,Customers!$A:$A,0))</f>
        <v/>
      </c>
      <c r="E490" s="10">
        <f>INDEX(Customers!$D:$D,MATCH(C490,Customers!$A:$A,0))</f>
        <v/>
      </c>
      <c r="F490" s="10" t="inlineStr">
        <is>
          <t>Carrier B</t>
        </is>
      </c>
      <c r="G490" s="5" t="n">
        <v>46252</v>
      </c>
      <c r="H490" s="5" t="n">
        <v>46253</v>
      </c>
      <c r="I490" s="5" t="n">
        <v>46253</v>
      </c>
      <c r="J490" s="10" t="inlineStr">
        <is>
          <t>11:40</t>
        </is>
      </c>
      <c r="K490" s="10" t="inlineStr">
        <is>
          <t>On time</t>
        </is>
      </c>
      <c r="L490" s="6" t="n">
        <v>0</v>
      </c>
      <c r="M490" s="10" t="n"/>
      <c r="N490" s="6" t="n">
        <v>37</v>
      </c>
      <c r="O490" s="6" t="n">
        <v>2257</v>
      </c>
      <c r="P490" s="6" t="n">
        <v>1</v>
      </c>
      <c r="Q490" s="6">
        <f>IF(OR(K490="On time",K490="Late",K490="Very late"),1,0)</f>
        <v/>
      </c>
    </row>
    <row r="491">
      <c r="A491" s="10" t="inlineStr">
        <is>
          <t>DN318704</t>
        </is>
      </c>
      <c r="B491" s="10" t="inlineStr">
        <is>
          <t>SO62470</t>
        </is>
      </c>
      <c r="C491" s="10" t="inlineStr">
        <is>
          <t>C12389</t>
        </is>
      </c>
      <c r="D491" s="10">
        <f>INDEX(Customers!$B:$B,MATCH(C491,Customers!$A:$A,0))</f>
        <v/>
      </c>
      <c r="E491" s="10">
        <f>INDEX(Customers!$D:$D,MATCH(C491,Customers!$A:$A,0))</f>
        <v/>
      </c>
      <c r="F491" s="10" t="inlineStr">
        <is>
          <t>Carrier A</t>
        </is>
      </c>
      <c r="G491" s="5" t="n">
        <v>46252</v>
      </c>
      <c r="H491" s="5" t="n">
        <v>46253</v>
      </c>
      <c r="I491" s="5" t="n">
        <v>46253</v>
      </c>
      <c r="J491" s="10" t="inlineStr">
        <is>
          <t>12:10</t>
        </is>
      </c>
      <c r="K491" s="10" t="inlineStr">
        <is>
          <t>On time</t>
        </is>
      </c>
      <c r="L491" s="6" t="n">
        <v>0</v>
      </c>
      <c r="M491" s="10" t="n"/>
      <c r="N491" s="6" t="n">
        <v>16</v>
      </c>
      <c r="O491" s="6" t="n">
        <v>2064</v>
      </c>
      <c r="P491" s="6" t="n">
        <v>1</v>
      </c>
      <c r="Q491" s="6">
        <f>IF(OR(K491="On time",K491="Late",K491="Very late"),1,0)</f>
        <v/>
      </c>
    </row>
    <row r="492">
      <c r="A492" s="10" t="inlineStr">
        <is>
          <t>DN318705</t>
        </is>
      </c>
      <c r="B492" s="10" t="inlineStr">
        <is>
          <t>SO62471</t>
        </is>
      </c>
      <c r="C492" s="10" t="inlineStr">
        <is>
          <t>C12393</t>
        </is>
      </c>
      <c r="D492" s="10">
        <f>INDEX(Customers!$B:$B,MATCH(C492,Customers!$A:$A,0))</f>
        <v/>
      </c>
      <c r="E492" s="10">
        <f>INDEX(Customers!$D:$D,MATCH(C492,Customers!$A:$A,0))</f>
        <v/>
      </c>
      <c r="F492" s="10" t="inlineStr">
        <is>
          <t>Carrier A</t>
        </is>
      </c>
      <c r="G492" s="5" t="n">
        <v>46252</v>
      </c>
      <c r="H492" s="5" t="n">
        <v>46253</v>
      </c>
      <c r="I492" s="5" t="n">
        <v>46253</v>
      </c>
      <c r="J492" s="10" t="inlineStr">
        <is>
          <t>15:20</t>
        </is>
      </c>
      <c r="K492" s="10" t="inlineStr">
        <is>
          <t>On time</t>
        </is>
      </c>
      <c r="L492" s="6" t="n">
        <v>0</v>
      </c>
      <c r="M492" s="10" t="n"/>
      <c r="N492" s="6" t="n">
        <v>22</v>
      </c>
      <c r="O492" s="6" t="n">
        <v>1958</v>
      </c>
      <c r="P492" s="6" t="n">
        <v>1</v>
      </c>
      <c r="Q492" s="6">
        <f>IF(OR(K492="On time",K492="Late",K492="Very late"),1,0)</f>
        <v/>
      </c>
    </row>
    <row r="493">
      <c r="A493" s="10" t="inlineStr">
        <is>
          <t>DN318706</t>
        </is>
      </c>
      <c r="B493" s="10" t="inlineStr">
        <is>
          <t>SO62472</t>
        </is>
      </c>
      <c r="C493" s="10" t="inlineStr">
        <is>
          <t>C12420</t>
        </is>
      </c>
      <c r="D493" s="10">
        <f>INDEX(Customers!$B:$B,MATCH(C493,Customers!$A:$A,0))</f>
        <v/>
      </c>
      <c r="E493" s="10">
        <f>INDEX(Customers!$D:$D,MATCH(C493,Customers!$A:$A,0))</f>
        <v/>
      </c>
      <c r="F493" s="10" t="inlineStr">
        <is>
          <t>Carrier A</t>
        </is>
      </c>
      <c r="G493" s="5" t="n">
        <v>46252</v>
      </c>
      <c r="H493" s="5" t="n">
        <v>46253</v>
      </c>
      <c r="I493" s="5" t="n">
        <v>46253</v>
      </c>
      <c r="J493" s="10" t="inlineStr">
        <is>
          <t>12:20</t>
        </is>
      </c>
      <c r="K493" s="10" t="inlineStr">
        <is>
          <t>On time</t>
        </is>
      </c>
      <c r="L493" s="6" t="n">
        <v>0</v>
      </c>
      <c r="M493" s="10" t="n"/>
      <c r="N493" s="6" t="n">
        <v>17</v>
      </c>
      <c r="O493" s="6" t="n">
        <v>1394</v>
      </c>
      <c r="P493" s="6" t="n">
        <v>1</v>
      </c>
      <c r="Q493" s="6">
        <f>IF(OR(K493="On time",K493="Late",K493="Very late"),1,0)</f>
        <v/>
      </c>
    </row>
    <row r="494">
      <c r="A494" s="10" t="inlineStr">
        <is>
          <t>DN318707</t>
        </is>
      </c>
      <c r="B494" s="10" t="inlineStr">
        <is>
          <t>SO62474</t>
        </is>
      </c>
      <c r="C494" s="10" t="inlineStr">
        <is>
          <t>C12490</t>
        </is>
      </c>
      <c r="D494" s="10">
        <f>INDEX(Customers!$B:$B,MATCH(C494,Customers!$A:$A,0))</f>
        <v/>
      </c>
      <c r="E494" s="10">
        <f>INDEX(Customers!$D:$D,MATCH(C494,Customers!$A:$A,0))</f>
        <v/>
      </c>
      <c r="F494" s="10" t="inlineStr">
        <is>
          <t>Carrier A</t>
        </is>
      </c>
      <c r="G494" s="5" t="n">
        <v>46252</v>
      </c>
      <c r="H494" s="5" t="n">
        <v>46253</v>
      </c>
      <c r="I494" s="5" t="n">
        <v>46253</v>
      </c>
      <c r="J494" s="10" t="inlineStr">
        <is>
          <t>07:40</t>
        </is>
      </c>
      <c r="K494" s="10" t="inlineStr">
        <is>
          <t>On time</t>
        </is>
      </c>
      <c r="L494" s="6" t="n">
        <v>0</v>
      </c>
      <c r="M494" s="10" t="n"/>
      <c r="N494" s="6" t="n">
        <v>21</v>
      </c>
      <c r="O494" s="6" t="n">
        <v>1407</v>
      </c>
      <c r="P494" s="6" t="n">
        <v>1</v>
      </c>
      <c r="Q494" s="6">
        <f>IF(OR(K494="On time",K494="Late",K494="Very late"),1,0)</f>
        <v/>
      </c>
    </row>
    <row r="495">
      <c r="A495" s="10" t="inlineStr">
        <is>
          <t>DN318708</t>
        </is>
      </c>
      <c r="B495" s="10" t="inlineStr">
        <is>
          <t>SO62475</t>
        </is>
      </c>
      <c r="C495" s="10" t="inlineStr">
        <is>
          <t>C12527</t>
        </is>
      </c>
      <c r="D495" s="10">
        <f>INDEX(Customers!$B:$B,MATCH(C495,Customers!$A:$A,0))</f>
        <v/>
      </c>
      <c r="E495" s="10">
        <f>INDEX(Customers!$D:$D,MATCH(C495,Customers!$A:$A,0))</f>
        <v/>
      </c>
      <c r="F495" s="10" t="inlineStr">
        <is>
          <t>Carrier A</t>
        </is>
      </c>
      <c r="G495" s="5" t="n">
        <v>46252</v>
      </c>
      <c r="H495" s="5" t="n">
        <v>46253</v>
      </c>
      <c r="I495" s="5" t="n">
        <v>46253</v>
      </c>
      <c r="J495" s="10" t="inlineStr">
        <is>
          <t>11:00</t>
        </is>
      </c>
      <c r="K495" s="10" t="inlineStr">
        <is>
          <t>On time</t>
        </is>
      </c>
      <c r="L495" s="6" t="n">
        <v>0</v>
      </c>
      <c r="M495" s="10" t="n"/>
      <c r="N495" s="6" t="n">
        <v>15</v>
      </c>
      <c r="O495" s="6" t="n">
        <v>1155</v>
      </c>
      <c r="P495" s="6" t="n">
        <v>0</v>
      </c>
      <c r="Q495" s="6">
        <f>IF(OR(K495="On time",K495="Late",K495="Very late"),1,0)</f>
        <v/>
      </c>
    </row>
    <row r="496">
      <c r="A496" s="10" t="inlineStr">
        <is>
          <t>DN318709</t>
        </is>
      </c>
      <c r="B496" s="10" t="inlineStr">
        <is>
          <t>SO62476</t>
        </is>
      </c>
      <c r="C496" s="10" t="inlineStr">
        <is>
          <t>C12543</t>
        </is>
      </c>
      <c r="D496" s="10">
        <f>INDEX(Customers!$B:$B,MATCH(C496,Customers!$A:$A,0))</f>
        <v/>
      </c>
      <c r="E496" s="10">
        <f>INDEX(Customers!$D:$D,MATCH(C496,Customers!$A:$A,0))</f>
        <v/>
      </c>
      <c r="F496" s="10" t="inlineStr">
        <is>
          <t>Carrier B</t>
        </is>
      </c>
      <c r="G496" s="5" t="n">
        <v>46251</v>
      </c>
      <c r="H496" s="5" t="n">
        <v>46253</v>
      </c>
      <c r="I496" s="5" t="n">
        <v>46253</v>
      </c>
      <c r="J496" s="10" t="inlineStr">
        <is>
          <t>13:20</t>
        </is>
      </c>
      <c r="K496" s="10" t="inlineStr">
        <is>
          <t>On time</t>
        </is>
      </c>
      <c r="L496" s="6" t="n">
        <v>0</v>
      </c>
      <c r="M496" s="10" t="n"/>
      <c r="N496" s="6" t="n">
        <v>27</v>
      </c>
      <c r="O496" s="6" t="n">
        <v>1647</v>
      </c>
      <c r="P496" s="6" t="n">
        <v>1</v>
      </c>
      <c r="Q496" s="6">
        <f>IF(OR(K496="On time",K496="Late",K496="Very late"),1,0)</f>
        <v/>
      </c>
    </row>
    <row r="497">
      <c r="A497" s="10" t="inlineStr">
        <is>
          <t>DN318710</t>
        </is>
      </c>
      <c r="B497" s="10" t="inlineStr">
        <is>
          <t>SO62477</t>
        </is>
      </c>
      <c r="C497" s="10" t="inlineStr">
        <is>
          <t>C12617</t>
        </is>
      </c>
      <c r="D497" s="10">
        <f>INDEX(Customers!$B:$B,MATCH(C497,Customers!$A:$A,0))</f>
        <v/>
      </c>
      <c r="E497" s="10">
        <f>INDEX(Customers!$D:$D,MATCH(C497,Customers!$A:$A,0))</f>
        <v/>
      </c>
      <c r="F497" s="10" t="inlineStr">
        <is>
          <t>Carrier B</t>
        </is>
      </c>
      <c r="G497" s="5" t="n">
        <v>46251</v>
      </c>
      <c r="H497" s="5" t="n">
        <v>46253</v>
      </c>
      <c r="I497" s="5" t="n">
        <v>46253</v>
      </c>
      <c r="J497" s="10" t="inlineStr">
        <is>
          <t>08:30</t>
        </is>
      </c>
      <c r="K497" s="10" t="inlineStr">
        <is>
          <t>On time</t>
        </is>
      </c>
      <c r="L497" s="6" t="n">
        <v>0</v>
      </c>
      <c r="M497" s="10" t="n"/>
      <c r="N497" s="6" t="n">
        <v>37</v>
      </c>
      <c r="O497" s="6" t="n">
        <v>3256</v>
      </c>
      <c r="P497" s="6" t="n">
        <v>1</v>
      </c>
      <c r="Q497" s="6">
        <f>IF(OR(K497="On time",K497="Late",K497="Very late"),1,0)</f>
        <v/>
      </c>
    </row>
    <row r="498">
      <c r="A498" s="10" t="inlineStr">
        <is>
          <t>DN318711</t>
        </is>
      </c>
      <c r="B498" s="10" t="inlineStr">
        <is>
          <t>SO62478</t>
        </is>
      </c>
      <c r="C498" s="10" t="inlineStr">
        <is>
          <t>C12639</t>
        </is>
      </c>
      <c r="D498" s="10">
        <f>INDEX(Customers!$B:$B,MATCH(C498,Customers!$A:$A,0))</f>
        <v/>
      </c>
      <c r="E498" s="10">
        <f>INDEX(Customers!$D:$D,MATCH(C498,Customers!$A:$A,0))</f>
        <v/>
      </c>
      <c r="F498" s="10" t="inlineStr">
        <is>
          <t>Carrier B</t>
        </is>
      </c>
      <c r="G498" s="5" t="n">
        <v>46251</v>
      </c>
      <c r="H498" s="5" t="n">
        <v>46253</v>
      </c>
      <c r="I498" s="5" t="n">
        <v>46253</v>
      </c>
      <c r="J498" s="10" t="inlineStr">
        <is>
          <t>11:30</t>
        </is>
      </c>
      <c r="K498" s="10" t="inlineStr">
        <is>
          <t>On time</t>
        </is>
      </c>
      <c r="L498" s="6" t="n">
        <v>0</v>
      </c>
      <c r="M498" s="10" t="n"/>
      <c r="N498" s="6" t="n">
        <v>5</v>
      </c>
      <c r="O498" s="6" t="n">
        <v>535</v>
      </c>
      <c r="P498" s="6" t="n">
        <v>1</v>
      </c>
      <c r="Q498" s="6">
        <f>IF(OR(K498="On time",K498="Late",K498="Very late"),1,0)</f>
        <v/>
      </c>
    </row>
    <row r="499">
      <c r="A499" s="10" t="inlineStr">
        <is>
          <t>DN318712</t>
        </is>
      </c>
      <c r="B499" s="10" t="inlineStr">
        <is>
          <t>SO62479</t>
        </is>
      </c>
      <c r="C499" s="10" t="inlineStr">
        <is>
          <t>C12675</t>
        </is>
      </c>
      <c r="D499" s="10">
        <f>INDEX(Customers!$B:$B,MATCH(C499,Customers!$A:$A,0))</f>
        <v/>
      </c>
      <c r="E499" s="10">
        <f>INDEX(Customers!$D:$D,MATCH(C499,Customers!$A:$A,0))</f>
        <v/>
      </c>
      <c r="F499" s="10" t="inlineStr">
        <is>
          <t>Carrier B</t>
        </is>
      </c>
      <c r="G499" s="5" t="n">
        <v>46251</v>
      </c>
      <c r="H499" s="5" t="n">
        <v>46253</v>
      </c>
      <c r="I499" s="5" t="n">
        <v>46253</v>
      </c>
      <c r="J499" s="10" t="inlineStr">
        <is>
          <t>14:10</t>
        </is>
      </c>
      <c r="K499" s="10" t="inlineStr">
        <is>
          <t>On time</t>
        </is>
      </c>
      <c r="L499" s="6" t="n">
        <v>0</v>
      </c>
      <c r="M499" s="10" t="n"/>
      <c r="N499" s="6" t="n">
        <v>24</v>
      </c>
      <c r="O499" s="6" t="n">
        <v>2040</v>
      </c>
      <c r="P499" s="6" t="n">
        <v>1</v>
      </c>
      <c r="Q499" s="6">
        <f>IF(OR(K499="On time",K499="Late",K499="Very late"),1,0)</f>
        <v/>
      </c>
    </row>
    <row r="500">
      <c r="A500" s="10" t="inlineStr">
        <is>
          <t>DN318713</t>
        </is>
      </c>
      <c r="B500" s="10" t="inlineStr">
        <is>
          <t>SO62481</t>
        </is>
      </c>
      <c r="C500" s="10" t="inlineStr">
        <is>
          <t>C10268</t>
        </is>
      </c>
      <c r="D500" s="10">
        <f>INDEX(Customers!$B:$B,MATCH(C500,Customers!$A:$A,0))</f>
        <v/>
      </c>
      <c r="E500" s="10">
        <f>INDEX(Customers!$D:$D,MATCH(C500,Customers!$A:$A,0))</f>
        <v/>
      </c>
      <c r="F500" s="10" t="inlineStr">
        <is>
          <t>Same-day courier</t>
        </is>
      </c>
      <c r="G500" s="5" t="n">
        <v>46253</v>
      </c>
      <c r="H500" s="5" t="n">
        <v>46254</v>
      </c>
      <c r="I500" s="5" t="n">
        <v>46254</v>
      </c>
      <c r="J500" s="10" t="inlineStr">
        <is>
          <t>12:40</t>
        </is>
      </c>
      <c r="K500" s="10" t="inlineStr">
        <is>
          <t>On time</t>
        </is>
      </c>
      <c r="L500" s="6" t="n">
        <v>0</v>
      </c>
      <c r="M500" s="10" t="n"/>
      <c r="N500" s="6" t="n">
        <v>9</v>
      </c>
      <c r="O500" s="6" t="n">
        <v>630</v>
      </c>
      <c r="P500" s="6" t="n">
        <v>1</v>
      </c>
      <c r="Q500" s="6">
        <f>IF(OR(K500="On time",K500="Late",K500="Very late"),1,0)</f>
        <v/>
      </c>
    </row>
    <row r="501">
      <c r="A501" s="10" t="inlineStr">
        <is>
          <t>DN318714</t>
        </is>
      </c>
      <c r="B501" s="10" t="inlineStr">
        <is>
          <t>SO62482</t>
        </is>
      </c>
      <c r="C501" s="10" t="inlineStr">
        <is>
          <t>C10322</t>
        </is>
      </c>
      <c r="D501" s="10">
        <f>INDEX(Customers!$B:$B,MATCH(C501,Customers!$A:$A,0))</f>
        <v/>
      </c>
      <c r="E501" s="10">
        <f>INDEX(Customers!$D:$D,MATCH(C501,Customers!$A:$A,0))</f>
        <v/>
      </c>
      <c r="F501" s="10" t="inlineStr">
        <is>
          <t>Same-day courier</t>
        </is>
      </c>
      <c r="G501" s="5" t="n">
        <v>46253</v>
      </c>
      <c r="H501" s="5" t="n">
        <v>46254</v>
      </c>
      <c r="I501" s="5" t="n">
        <v>46254</v>
      </c>
      <c r="J501" s="10" t="inlineStr">
        <is>
          <t>07:10</t>
        </is>
      </c>
      <c r="K501" s="10" t="inlineStr">
        <is>
          <t>On time</t>
        </is>
      </c>
      <c r="L501" s="6" t="n">
        <v>0</v>
      </c>
      <c r="M501" s="10" t="n"/>
      <c r="N501" s="6" t="n">
        <v>7</v>
      </c>
      <c r="O501" s="6" t="n">
        <v>581</v>
      </c>
      <c r="P501" s="6" t="n">
        <v>1</v>
      </c>
      <c r="Q501" s="6">
        <f>IF(OR(K501="On time",K501="Late",K501="Very late"),1,0)</f>
        <v/>
      </c>
    </row>
    <row r="502">
      <c r="A502" s="10" t="inlineStr">
        <is>
          <t>DN318715</t>
        </is>
      </c>
      <c r="B502" s="10" t="inlineStr">
        <is>
          <t>SO62483</t>
        </is>
      </c>
      <c r="C502" s="10" t="inlineStr">
        <is>
          <t>C10343</t>
        </is>
      </c>
      <c r="D502" s="10">
        <f>INDEX(Customers!$B:$B,MATCH(C502,Customers!$A:$A,0))</f>
        <v/>
      </c>
      <c r="E502" s="10">
        <f>INDEX(Customers!$D:$D,MATCH(C502,Customers!$A:$A,0))</f>
        <v/>
      </c>
      <c r="F502" s="10" t="inlineStr">
        <is>
          <t>Own trucks</t>
        </is>
      </c>
      <c r="G502" s="5" t="n">
        <v>46253</v>
      </c>
      <c r="H502" s="5" t="n">
        <v>46254</v>
      </c>
      <c r="I502" s="5" t="n">
        <v>46254</v>
      </c>
      <c r="J502" s="10" t="inlineStr">
        <is>
          <t>16:20</t>
        </is>
      </c>
      <c r="K502" s="10" t="inlineStr">
        <is>
          <t>On time</t>
        </is>
      </c>
      <c r="L502" s="6" t="n">
        <v>0</v>
      </c>
      <c r="M502" s="10" t="n"/>
      <c r="N502" s="6" t="n">
        <v>22</v>
      </c>
      <c r="O502" s="6" t="n">
        <v>2816</v>
      </c>
      <c r="P502" s="6" t="n">
        <v>1</v>
      </c>
      <c r="Q502" s="6">
        <f>IF(OR(K502="On time",K502="Late",K502="Very late"),1,0)</f>
        <v/>
      </c>
    </row>
    <row r="503">
      <c r="A503" s="10" t="inlineStr">
        <is>
          <t>DN318716</t>
        </is>
      </c>
      <c r="B503" s="10" t="inlineStr">
        <is>
          <t>SO62485</t>
        </is>
      </c>
      <c r="C503" s="10" t="inlineStr">
        <is>
          <t>C10446</t>
        </is>
      </c>
      <c r="D503" s="10">
        <f>INDEX(Customers!$B:$B,MATCH(C503,Customers!$A:$A,0))</f>
        <v/>
      </c>
      <c r="E503" s="10">
        <f>INDEX(Customers!$D:$D,MATCH(C503,Customers!$A:$A,0))</f>
        <v/>
      </c>
      <c r="F503" s="10" t="inlineStr">
        <is>
          <t>Same-day courier</t>
        </is>
      </c>
      <c r="G503" s="5" t="n">
        <v>46253</v>
      </c>
      <c r="H503" s="5" t="n">
        <v>46254</v>
      </c>
      <c r="I503" s="5" t="n">
        <v>46254</v>
      </c>
      <c r="J503" s="10" t="inlineStr">
        <is>
          <t>10:10</t>
        </is>
      </c>
      <c r="K503" s="10" t="inlineStr">
        <is>
          <t>On time</t>
        </is>
      </c>
      <c r="L503" s="6" t="n">
        <v>0</v>
      </c>
      <c r="M503" s="10" t="n"/>
      <c r="N503" s="6" t="n">
        <v>2</v>
      </c>
      <c r="O503" s="6" t="n">
        <v>250</v>
      </c>
      <c r="P503" s="6" t="n">
        <v>1</v>
      </c>
      <c r="Q503" s="6">
        <f>IF(OR(K503="On time",K503="Late",K503="Very late"),1,0)</f>
        <v/>
      </c>
    </row>
    <row r="504">
      <c r="A504" s="10" t="inlineStr">
        <is>
          <t>DN318717</t>
        </is>
      </c>
      <c r="B504" s="10" t="inlineStr">
        <is>
          <t>SO62487</t>
        </is>
      </c>
      <c r="C504" s="10" t="inlineStr">
        <is>
          <t>C10522</t>
        </is>
      </c>
      <c r="D504" s="10">
        <f>INDEX(Customers!$B:$B,MATCH(C504,Customers!$A:$A,0))</f>
        <v/>
      </c>
      <c r="E504" s="10">
        <f>INDEX(Customers!$D:$D,MATCH(C504,Customers!$A:$A,0))</f>
        <v/>
      </c>
      <c r="F504" s="10" t="inlineStr">
        <is>
          <t>Own trucks</t>
        </is>
      </c>
      <c r="G504" s="5" t="n">
        <v>46253</v>
      </c>
      <c r="H504" s="5" t="n">
        <v>46254</v>
      </c>
      <c r="I504" s="5" t="n">
        <v>46254</v>
      </c>
      <c r="J504" s="10" t="inlineStr">
        <is>
          <t>11:20</t>
        </is>
      </c>
      <c r="K504" s="10" t="inlineStr">
        <is>
          <t>On time</t>
        </is>
      </c>
      <c r="L504" s="6" t="n">
        <v>0</v>
      </c>
      <c r="M504" s="10" t="n"/>
      <c r="N504" s="6" t="n">
        <v>26</v>
      </c>
      <c r="O504" s="6" t="n">
        <v>2522</v>
      </c>
      <c r="P504" s="6" t="n">
        <v>1</v>
      </c>
      <c r="Q504" s="6">
        <f>IF(OR(K504="On time",K504="Late",K504="Very late"),1,0)</f>
        <v/>
      </c>
    </row>
    <row r="505">
      <c r="A505" s="10" t="inlineStr">
        <is>
          <t>DN318718</t>
        </is>
      </c>
      <c r="B505" s="10" t="inlineStr">
        <is>
          <t>SO62488</t>
        </is>
      </c>
      <c r="C505" s="10" t="inlineStr">
        <is>
          <t>C10536</t>
        </is>
      </c>
      <c r="D505" s="10">
        <f>INDEX(Customers!$B:$B,MATCH(C505,Customers!$A:$A,0))</f>
        <v/>
      </c>
      <c r="E505" s="10">
        <f>INDEX(Customers!$D:$D,MATCH(C505,Customers!$A:$A,0))</f>
        <v/>
      </c>
      <c r="F505" s="10" t="inlineStr">
        <is>
          <t>Own trucks</t>
        </is>
      </c>
      <c r="G505" s="5" t="n">
        <v>46253</v>
      </c>
      <c r="H505" s="5" t="n">
        <v>46254</v>
      </c>
      <c r="I505" s="5" t="n">
        <v>46255</v>
      </c>
      <c r="J505" s="10" t="inlineStr">
        <is>
          <t>13:10</t>
        </is>
      </c>
      <c r="K505" s="10" t="inlineStr">
        <is>
          <t>Late</t>
        </is>
      </c>
      <c r="L505" s="6" t="n">
        <v>1</v>
      </c>
      <c r="M505" s="10" t="inlineStr">
        <is>
          <t>Stock not ready</t>
        </is>
      </c>
      <c r="N505" s="6" t="n">
        <v>2</v>
      </c>
      <c r="O505" s="6" t="n">
        <v>134</v>
      </c>
      <c r="P505" s="6" t="n">
        <v>1</v>
      </c>
      <c r="Q505" s="6">
        <f>IF(OR(K505="On time",K505="Late",K505="Very late"),1,0)</f>
        <v/>
      </c>
    </row>
    <row r="506">
      <c r="A506" s="10" t="inlineStr">
        <is>
          <t>DN318719</t>
        </is>
      </c>
      <c r="B506" s="10" t="inlineStr">
        <is>
          <t>SO62489</t>
        </is>
      </c>
      <c r="C506" s="10" t="inlineStr">
        <is>
          <t>C10589</t>
        </is>
      </c>
      <c r="D506" s="10">
        <f>INDEX(Customers!$B:$B,MATCH(C506,Customers!$A:$A,0))</f>
        <v/>
      </c>
      <c r="E506" s="10">
        <f>INDEX(Customers!$D:$D,MATCH(C506,Customers!$A:$A,0))</f>
        <v/>
      </c>
      <c r="F506" s="10" t="inlineStr">
        <is>
          <t>Own trucks</t>
        </is>
      </c>
      <c r="G506" s="5" t="n">
        <v>46253</v>
      </c>
      <c r="H506" s="5" t="n">
        <v>46254</v>
      </c>
      <c r="I506" s="5" t="n">
        <v>46254</v>
      </c>
      <c r="J506" s="10" t="inlineStr">
        <is>
          <t>10:10</t>
        </is>
      </c>
      <c r="K506" s="10" t="inlineStr">
        <is>
          <t>On time</t>
        </is>
      </c>
      <c r="L506" s="6" t="n">
        <v>0</v>
      </c>
      <c r="M506" s="10" t="n"/>
      <c r="N506" s="6" t="n">
        <v>24</v>
      </c>
      <c r="O506" s="6" t="n">
        <v>1488</v>
      </c>
      <c r="P506" s="6" t="n">
        <v>1</v>
      </c>
      <c r="Q506" s="6">
        <f>IF(OR(K506="On time",K506="Late",K506="Very late"),1,0)</f>
        <v/>
      </c>
    </row>
    <row r="507">
      <c r="A507" s="10" t="inlineStr">
        <is>
          <t>DN318720</t>
        </is>
      </c>
      <c r="B507" s="10" t="inlineStr">
        <is>
          <t>SO62491</t>
        </is>
      </c>
      <c r="C507" s="10" t="inlineStr">
        <is>
          <t>C10676</t>
        </is>
      </c>
      <c r="D507" s="10">
        <f>INDEX(Customers!$B:$B,MATCH(C507,Customers!$A:$A,0))</f>
        <v/>
      </c>
      <c r="E507" s="10">
        <f>INDEX(Customers!$D:$D,MATCH(C507,Customers!$A:$A,0))</f>
        <v/>
      </c>
      <c r="F507" s="10" t="inlineStr">
        <is>
          <t>Own trucks</t>
        </is>
      </c>
      <c r="G507" s="5" t="n">
        <v>46253</v>
      </c>
      <c r="H507" s="5" t="n">
        <v>46254</v>
      </c>
      <c r="I507" s="5" t="n">
        <v>46254</v>
      </c>
      <c r="J507" s="10" t="inlineStr">
        <is>
          <t>09:30</t>
        </is>
      </c>
      <c r="K507" s="10" t="inlineStr">
        <is>
          <t>On time</t>
        </is>
      </c>
      <c r="L507" s="6" t="n">
        <v>0</v>
      </c>
      <c r="M507" s="10" t="n"/>
      <c r="N507" s="6" t="n">
        <v>17</v>
      </c>
      <c r="O507" s="6" t="n">
        <v>1343</v>
      </c>
      <c r="P507" s="6" t="n">
        <v>1</v>
      </c>
      <c r="Q507" s="6">
        <f>IF(OR(K507="On time",K507="Late",K507="Very late"),1,0)</f>
        <v/>
      </c>
    </row>
    <row r="508">
      <c r="A508" s="10" t="inlineStr">
        <is>
          <t>DN318721</t>
        </is>
      </c>
      <c r="B508" s="10" t="inlineStr">
        <is>
          <t>SO62492</t>
        </is>
      </c>
      <c r="C508" s="10" t="inlineStr">
        <is>
          <t>C10746</t>
        </is>
      </c>
      <c r="D508" s="10">
        <f>INDEX(Customers!$B:$B,MATCH(C508,Customers!$A:$A,0))</f>
        <v/>
      </c>
      <c r="E508" s="10">
        <f>INDEX(Customers!$D:$D,MATCH(C508,Customers!$A:$A,0))</f>
        <v/>
      </c>
      <c r="F508" s="10" t="inlineStr">
        <is>
          <t>Own trucks</t>
        </is>
      </c>
      <c r="G508" s="5" t="n">
        <v>46253</v>
      </c>
      <c r="H508" s="5" t="n">
        <v>46254</v>
      </c>
      <c r="I508" s="5" t="n">
        <v>46254</v>
      </c>
      <c r="J508" s="10" t="inlineStr">
        <is>
          <t>13:50</t>
        </is>
      </c>
      <c r="K508" s="10" t="inlineStr">
        <is>
          <t>On time</t>
        </is>
      </c>
      <c r="L508" s="6" t="n">
        <v>0</v>
      </c>
      <c r="M508" s="10" t="n"/>
      <c r="N508" s="6" t="n">
        <v>21</v>
      </c>
      <c r="O508" s="6" t="n">
        <v>2604</v>
      </c>
      <c r="P508" s="6" t="n">
        <v>1</v>
      </c>
      <c r="Q508" s="6">
        <f>IF(OR(K508="On time",K508="Late",K508="Very late"),1,0)</f>
        <v/>
      </c>
    </row>
    <row r="509">
      <c r="A509" s="10" t="inlineStr">
        <is>
          <t>DN318722</t>
        </is>
      </c>
      <c r="B509" s="10" t="inlineStr">
        <is>
          <t>SO62493</t>
        </is>
      </c>
      <c r="C509" s="10" t="inlineStr">
        <is>
          <t>C10847</t>
        </is>
      </c>
      <c r="D509" s="10">
        <f>INDEX(Customers!$B:$B,MATCH(C509,Customers!$A:$A,0))</f>
        <v/>
      </c>
      <c r="E509" s="10">
        <f>INDEX(Customers!$D:$D,MATCH(C509,Customers!$A:$A,0))</f>
        <v/>
      </c>
      <c r="F509" s="10" t="inlineStr">
        <is>
          <t>Own trucks</t>
        </is>
      </c>
      <c r="G509" s="5" t="n">
        <v>46253</v>
      </c>
      <c r="H509" s="5" t="n">
        <v>46254</v>
      </c>
      <c r="I509" s="5" t="n">
        <v>46254</v>
      </c>
      <c r="J509" s="10" t="inlineStr">
        <is>
          <t>08:10</t>
        </is>
      </c>
      <c r="K509" s="10" t="inlineStr">
        <is>
          <t>On time</t>
        </is>
      </c>
      <c r="L509" s="6" t="n">
        <v>0</v>
      </c>
      <c r="M509" s="10" t="n"/>
      <c r="N509" s="6" t="n">
        <v>21</v>
      </c>
      <c r="O509" s="6" t="n">
        <v>1575</v>
      </c>
      <c r="P509" s="6" t="n">
        <v>0</v>
      </c>
      <c r="Q509" s="6">
        <f>IF(OR(K509="On time",K509="Late",K509="Very late"),1,0)</f>
        <v/>
      </c>
    </row>
    <row r="510">
      <c r="A510" s="10" t="inlineStr">
        <is>
          <t>DN318723</t>
        </is>
      </c>
      <c r="B510" s="10" t="inlineStr">
        <is>
          <t>SO62494</t>
        </is>
      </c>
      <c r="C510" s="10" t="inlineStr">
        <is>
          <t>C10982</t>
        </is>
      </c>
      <c r="D510" s="10">
        <f>INDEX(Customers!$B:$B,MATCH(C510,Customers!$A:$A,0))</f>
        <v/>
      </c>
      <c r="E510" s="10">
        <f>INDEX(Customers!$D:$D,MATCH(C510,Customers!$A:$A,0))</f>
        <v/>
      </c>
      <c r="F510" s="10" t="inlineStr">
        <is>
          <t>Own trucks</t>
        </is>
      </c>
      <c r="G510" s="5" t="n">
        <v>46253</v>
      </c>
      <c r="H510" s="5" t="n">
        <v>46254</v>
      </c>
      <c r="I510" s="5" t="n">
        <v>46254</v>
      </c>
      <c r="J510" s="10" t="inlineStr">
        <is>
          <t>16:20</t>
        </is>
      </c>
      <c r="K510" s="10" t="inlineStr">
        <is>
          <t>On time</t>
        </is>
      </c>
      <c r="L510" s="6" t="n">
        <v>0</v>
      </c>
      <c r="M510" s="10" t="n"/>
      <c r="N510" s="6" t="n">
        <v>9</v>
      </c>
      <c r="O510" s="6" t="n">
        <v>1260</v>
      </c>
      <c r="P510" s="6" t="n">
        <v>1</v>
      </c>
      <c r="Q510" s="6">
        <f>IF(OR(K510="On time",K510="Late",K510="Very late"),1,0)</f>
        <v/>
      </c>
    </row>
    <row r="511">
      <c r="A511" s="10" t="inlineStr">
        <is>
          <t>DN318724</t>
        </is>
      </c>
      <c r="B511" s="10" t="inlineStr">
        <is>
          <t>SO62495</t>
        </is>
      </c>
      <c r="C511" s="10" t="inlineStr">
        <is>
          <t>C11049</t>
        </is>
      </c>
      <c r="D511" s="10">
        <f>INDEX(Customers!$B:$B,MATCH(C511,Customers!$A:$A,0))</f>
        <v/>
      </c>
      <c r="E511" s="10">
        <f>INDEX(Customers!$D:$D,MATCH(C511,Customers!$A:$A,0))</f>
        <v/>
      </c>
      <c r="F511" s="10" t="inlineStr">
        <is>
          <t>Own trucks</t>
        </is>
      </c>
      <c r="G511" s="5" t="n">
        <v>46253</v>
      </c>
      <c r="H511" s="5" t="n">
        <v>46254</v>
      </c>
      <c r="I511" s="5" t="n">
        <v>46254</v>
      </c>
      <c r="J511" s="10" t="inlineStr">
        <is>
          <t>12:20</t>
        </is>
      </c>
      <c r="K511" s="10" t="inlineStr">
        <is>
          <t>On time</t>
        </is>
      </c>
      <c r="L511" s="6" t="n">
        <v>0</v>
      </c>
      <c r="M511" s="10" t="n"/>
      <c r="N511" s="6" t="n">
        <v>32</v>
      </c>
      <c r="O511" s="6" t="n">
        <v>3360</v>
      </c>
      <c r="P511" s="6" t="n">
        <v>1</v>
      </c>
      <c r="Q511" s="6">
        <f>IF(OR(K511="On time",K511="Late",K511="Very late"),1,0)</f>
        <v/>
      </c>
    </row>
    <row r="512">
      <c r="A512" s="10" t="inlineStr">
        <is>
          <t>DN318725</t>
        </is>
      </c>
      <c r="B512" s="10" t="inlineStr">
        <is>
          <t>SO62496</t>
        </is>
      </c>
      <c r="C512" s="10" t="inlineStr">
        <is>
          <t>C11107</t>
        </is>
      </c>
      <c r="D512" s="10">
        <f>INDEX(Customers!$B:$B,MATCH(C512,Customers!$A:$A,0))</f>
        <v/>
      </c>
      <c r="E512" s="10">
        <f>INDEX(Customers!$D:$D,MATCH(C512,Customers!$A:$A,0))</f>
        <v/>
      </c>
      <c r="F512" s="10" t="inlineStr">
        <is>
          <t>Own trucks</t>
        </is>
      </c>
      <c r="G512" s="5" t="n">
        <v>46253</v>
      </c>
      <c r="H512" s="5" t="n">
        <v>46254</v>
      </c>
      <c r="I512" s="5" t="n">
        <v>46254</v>
      </c>
      <c r="J512" s="10" t="inlineStr">
        <is>
          <t>13:10</t>
        </is>
      </c>
      <c r="K512" s="10" t="inlineStr">
        <is>
          <t>On time</t>
        </is>
      </c>
      <c r="L512" s="6" t="n">
        <v>0</v>
      </c>
      <c r="M512" s="10" t="n"/>
      <c r="N512" s="6" t="n">
        <v>19</v>
      </c>
      <c r="O512" s="6" t="n">
        <v>1672</v>
      </c>
      <c r="P512" s="6" t="n">
        <v>1</v>
      </c>
      <c r="Q512" s="6">
        <f>IF(OR(K512="On time",K512="Late",K512="Very late"),1,0)</f>
        <v/>
      </c>
    </row>
    <row r="513">
      <c r="A513" s="10" t="inlineStr">
        <is>
          <t>DN318726</t>
        </is>
      </c>
      <c r="B513" s="10" t="inlineStr">
        <is>
          <t>SO62497</t>
        </is>
      </c>
      <c r="C513" s="10" t="inlineStr">
        <is>
          <t>C11143</t>
        </is>
      </c>
      <c r="D513" s="10">
        <f>INDEX(Customers!$B:$B,MATCH(C513,Customers!$A:$A,0))</f>
        <v/>
      </c>
      <c r="E513" s="10">
        <f>INDEX(Customers!$D:$D,MATCH(C513,Customers!$A:$A,0))</f>
        <v/>
      </c>
      <c r="F513" s="10" t="inlineStr">
        <is>
          <t>Own trucks</t>
        </is>
      </c>
      <c r="G513" s="5" t="n">
        <v>46253</v>
      </c>
      <c r="H513" s="5" t="n">
        <v>46254</v>
      </c>
      <c r="I513" s="5" t="n">
        <v>46254</v>
      </c>
      <c r="J513" s="10" t="inlineStr">
        <is>
          <t>10:40</t>
        </is>
      </c>
      <c r="K513" s="10" t="inlineStr">
        <is>
          <t>On time</t>
        </is>
      </c>
      <c r="L513" s="6" t="n">
        <v>0</v>
      </c>
      <c r="M513" s="10" t="n"/>
      <c r="N513" s="6" t="n">
        <v>16</v>
      </c>
      <c r="O513" s="6" t="n">
        <v>1584</v>
      </c>
      <c r="P513" s="6" t="n">
        <v>1</v>
      </c>
      <c r="Q513" s="6">
        <f>IF(OR(K513="On time",K513="Late",K513="Very late"),1,0)</f>
        <v/>
      </c>
    </row>
    <row r="514">
      <c r="A514" s="10" t="inlineStr">
        <is>
          <t>DN318727</t>
        </is>
      </c>
      <c r="B514" s="10" t="inlineStr">
        <is>
          <t>SO62498</t>
        </is>
      </c>
      <c r="C514" s="10" t="inlineStr">
        <is>
          <t>C11247</t>
        </is>
      </c>
      <c r="D514" s="10">
        <f>INDEX(Customers!$B:$B,MATCH(C514,Customers!$A:$A,0))</f>
        <v/>
      </c>
      <c r="E514" s="10">
        <f>INDEX(Customers!$D:$D,MATCH(C514,Customers!$A:$A,0))</f>
        <v/>
      </c>
      <c r="F514" s="10" t="inlineStr">
        <is>
          <t>Own trucks</t>
        </is>
      </c>
      <c r="G514" s="5" t="n">
        <v>46253</v>
      </c>
      <c r="H514" s="5" t="n">
        <v>46254</v>
      </c>
      <c r="I514" s="5" t="n">
        <v>46254</v>
      </c>
      <c r="J514" s="10" t="inlineStr">
        <is>
          <t>13:10</t>
        </is>
      </c>
      <c r="K514" s="10" t="inlineStr">
        <is>
          <t>On time</t>
        </is>
      </c>
      <c r="L514" s="6" t="n">
        <v>0</v>
      </c>
      <c r="M514" s="10" t="n"/>
      <c r="N514" s="6" t="n">
        <v>25</v>
      </c>
      <c r="O514" s="6" t="n">
        <v>2325</v>
      </c>
      <c r="P514" s="6" t="n">
        <v>1</v>
      </c>
      <c r="Q514" s="6">
        <f>IF(OR(K514="On time",K514="Late",K514="Very late"),1,0)</f>
        <v/>
      </c>
    </row>
    <row r="515">
      <c r="A515" s="10" t="inlineStr">
        <is>
          <t>DN318728</t>
        </is>
      </c>
      <c r="B515" s="10" t="inlineStr">
        <is>
          <t>SO62499</t>
        </is>
      </c>
      <c r="C515" s="10" t="inlineStr">
        <is>
          <t>C11264</t>
        </is>
      </c>
      <c r="D515" s="10">
        <f>INDEX(Customers!$B:$B,MATCH(C515,Customers!$A:$A,0))</f>
        <v/>
      </c>
      <c r="E515" s="10">
        <f>INDEX(Customers!$D:$D,MATCH(C515,Customers!$A:$A,0))</f>
        <v/>
      </c>
      <c r="F515" s="10" t="inlineStr">
        <is>
          <t>Own trucks</t>
        </is>
      </c>
      <c r="G515" s="5" t="n">
        <v>46253</v>
      </c>
      <c r="H515" s="5" t="n">
        <v>46254</v>
      </c>
      <c r="I515" s="5" t="n">
        <v>46254</v>
      </c>
      <c r="J515" s="10" t="inlineStr">
        <is>
          <t>10:10</t>
        </is>
      </c>
      <c r="K515" s="10" t="inlineStr">
        <is>
          <t>On time</t>
        </is>
      </c>
      <c r="L515" s="6" t="n">
        <v>0</v>
      </c>
      <c r="M515" s="10" t="n"/>
      <c r="N515" s="6" t="n">
        <v>13</v>
      </c>
      <c r="O515" s="6" t="n">
        <v>1677</v>
      </c>
      <c r="P515" s="6" t="n">
        <v>1</v>
      </c>
      <c r="Q515" s="6">
        <f>IF(OR(K515="On time",K515="Late",K515="Very late"),1,0)</f>
        <v/>
      </c>
    </row>
    <row r="516">
      <c r="A516" s="10" t="inlineStr">
        <is>
          <t>DN318729</t>
        </is>
      </c>
      <c r="B516" s="10" t="inlineStr">
        <is>
          <t>SO62500</t>
        </is>
      </c>
      <c r="C516" s="10" t="inlineStr">
        <is>
          <t>C11314</t>
        </is>
      </c>
      <c r="D516" s="10">
        <f>INDEX(Customers!$B:$B,MATCH(C516,Customers!$A:$A,0))</f>
        <v/>
      </c>
      <c r="E516" s="10">
        <f>INDEX(Customers!$D:$D,MATCH(C516,Customers!$A:$A,0))</f>
        <v/>
      </c>
      <c r="F516" s="10" t="inlineStr">
        <is>
          <t>Own trucks</t>
        </is>
      </c>
      <c r="G516" s="5" t="n">
        <v>46253</v>
      </c>
      <c r="H516" s="5" t="n">
        <v>46254</v>
      </c>
      <c r="I516" s="5" t="n">
        <v>46255</v>
      </c>
      <c r="J516" s="10" t="inlineStr">
        <is>
          <t>11:00</t>
        </is>
      </c>
      <c r="K516" s="10" t="inlineStr">
        <is>
          <t>Late</t>
        </is>
      </c>
      <c r="L516" s="6" t="n">
        <v>1</v>
      </c>
      <c r="M516" s="10" t="inlineStr">
        <is>
          <t>Customer closed (failed attempt)</t>
        </is>
      </c>
      <c r="N516" s="6" t="n">
        <v>33</v>
      </c>
      <c r="O516" s="6" t="n">
        <v>2838</v>
      </c>
      <c r="P516" s="6" t="n">
        <v>1</v>
      </c>
      <c r="Q516" s="6">
        <f>IF(OR(K516="On time",K516="Late",K516="Very late"),1,0)</f>
        <v/>
      </c>
    </row>
    <row r="517">
      <c r="A517" s="10" t="inlineStr">
        <is>
          <t>DN318730</t>
        </is>
      </c>
      <c r="B517" s="10" t="inlineStr">
        <is>
          <t>SO62501</t>
        </is>
      </c>
      <c r="C517" s="10" t="inlineStr">
        <is>
          <t>C11333</t>
        </is>
      </c>
      <c r="D517" s="10">
        <f>INDEX(Customers!$B:$B,MATCH(C517,Customers!$A:$A,0))</f>
        <v/>
      </c>
      <c r="E517" s="10">
        <f>INDEX(Customers!$D:$D,MATCH(C517,Customers!$A:$A,0))</f>
        <v/>
      </c>
      <c r="F517" s="10" t="inlineStr">
        <is>
          <t>Own trucks</t>
        </is>
      </c>
      <c r="G517" s="5" t="n">
        <v>46253</v>
      </c>
      <c r="H517" s="5" t="n">
        <v>46254</v>
      </c>
      <c r="I517" s="5" t="n">
        <v>46254</v>
      </c>
      <c r="J517" s="10" t="inlineStr">
        <is>
          <t>09:00</t>
        </is>
      </c>
      <c r="K517" s="10" t="inlineStr">
        <is>
          <t>On time</t>
        </is>
      </c>
      <c r="L517" s="6" t="n">
        <v>0</v>
      </c>
      <c r="M517" s="10" t="n"/>
      <c r="N517" s="6" t="n">
        <v>32</v>
      </c>
      <c r="O517" s="6" t="n">
        <v>2240</v>
      </c>
      <c r="P517" s="6" t="n">
        <v>0</v>
      </c>
      <c r="Q517" s="6">
        <f>IF(OR(K517="On time",K517="Late",K517="Very late"),1,0)</f>
        <v/>
      </c>
    </row>
    <row r="518">
      <c r="A518" s="10" t="inlineStr">
        <is>
          <t>DN318731</t>
        </is>
      </c>
      <c r="B518" s="10" t="inlineStr">
        <is>
          <t>SO62502</t>
        </is>
      </c>
      <c r="C518" s="10" t="inlineStr">
        <is>
          <t>C11463</t>
        </is>
      </c>
      <c r="D518" s="10">
        <f>INDEX(Customers!$B:$B,MATCH(C518,Customers!$A:$A,0))</f>
        <v/>
      </c>
      <c r="E518" s="10">
        <f>INDEX(Customers!$D:$D,MATCH(C518,Customers!$A:$A,0))</f>
        <v/>
      </c>
      <c r="F518" s="10" t="inlineStr">
        <is>
          <t>Own trucks</t>
        </is>
      </c>
      <c r="G518" s="5" t="n">
        <v>46253</v>
      </c>
      <c r="H518" s="5" t="n">
        <v>46254</v>
      </c>
      <c r="I518" s="5" t="n">
        <v>46254</v>
      </c>
      <c r="J518" s="10" t="inlineStr">
        <is>
          <t>09:30</t>
        </is>
      </c>
      <c r="K518" s="10" t="inlineStr">
        <is>
          <t>On time</t>
        </is>
      </c>
      <c r="L518" s="6" t="n">
        <v>0</v>
      </c>
      <c r="M518" s="10" t="n"/>
      <c r="N518" s="6" t="n">
        <v>2</v>
      </c>
      <c r="O518" s="6" t="n">
        <v>160</v>
      </c>
      <c r="P518" s="6" t="n">
        <v>1</v>
      </c>
      <c r="Q518" s="6">
        <f>IF(OR(K518="On time",K518="Late",K518="Very late"),1,0)</f>
        <v/>
      </c>
    </row>
    <row r="519">
      <c r="A519" s="10" t="inlineStr">
        <is>
          <t>DN318732</t>
        </is>
      </c>
      <c r="B519" s="10" t="inlineStr">
        <is>
          <t>SO62503</t>
        </is>
      </c>
      <c r="C519" s="10" t="inlineStr">
        <is>
          <t>C11579</t>
        </is>
      </c>
      <c r="D519" s="10">
        <f>INDEX(Customers!$B:$B,MATCH(C519,Customers!$A:$A,0))</f>
        <v/>
      </c>
      <c r="E519" s="10">
        <f>INDEX(Customers!$D:$D,MATCH(C519,Customers!$A:$A,0))</f>
        <v/>
      </c>
      <c r="F519" s="10" t="inlineStr">
        <is>
          <t>Own trucks</t>
        </is>
      </c>
      <c r="G519" s="5" t="n">
        <v>46253</v>
      </c>
      <c r="H519" s="5" t="n">
        <v>46254</v>
      </c>
      <c r="I519" s="5" t="n">
        <v>46254</v>
      </c>
      <c r="J519" s="10" t="inlineStr">
        <is>
          <t>08:50</t>
        </is>
      </c>
      <c r="K519" s="10" t="inlineStr">
        <is>
          <t>On time</t>
        </is>
      </c>
      <c r="L519" s="6" t="n">
        <v>0</v>
      </c>
      <c r="M519" s="10" t="n"/>
      <c r="N519" s="6" t="n">
        <v>35</v>
      </c>
      <c r="O519" s="6" t="n">
        <v>3815</v>
      </c>
      <c r="P519" s="6" t="n">
        <v>1</v>
      </c>
      <c r="Q519" s="6">
        <f>IF(OR(K519="On time",K519="Late",K519="Very late"),1,0)</f>
        <v/>
      </c>
    </row>
    <row r="520">
      <c r="A520" s="10" t="inlineStr">
        <is>
          <t>DN318733</t>
        </is>
      </c>
      <c r="B520" s="10" t="inlineStr">
        <is>
          <t>SO62504</t>
        </is>
      </c>
      <c r="C520" s="10" t="inlineStr">
        <is>
          <t>C11616</t>
        </is>
      </c>
      <c r="D520" s="10">
        <f>INDEX(Customers!$B:$B,MATCH(C520,Customers!$A:$A,0))</f>
        <v/>
      </c>
      <c r="E520" s="10">
        <f>INDEX(Customers!$D:$D,MATCH(C520,Customers!$A:$A,0))</f>
        <v/>
      </c>
      <c r="F520" s="10" t="inlineStr">
        <is>
          <t>Own trucks</t>
        </is>
      </c>
      <c r="G520" s="5" t="n">
        <v>46253</v>
      </c>
      <c r="H520" s="5" t="n">
        <v>46254</v>
      </c>
      <c r="I520" s="5" t="n">
        <v>46254</v>
      </c>
      <c r="J520" s="10" t="inlineStr">
        <is>
          <t>10:50</t>
        </is>
      </c>
      <c r="K520" s="10" t="inlineStr">
        <is>
          <t>On time</t>
        </is>
      </c>
      <c r="L520" s="6" t="n">
        <v>0</v>
      </c>
      <c r="M520" s="10" t="n"/>
      <c r="N520" s="6" t="n">
        <v>28</v>
      </c>
      <c r="O520" s="6" t="n">
        <v>2240</v>
      </c>
      <c r="P520" s="6" t="n">
        <v>1</v>
      </c>
      <c r="Q520" s="6">
        <f>IF(OR(K520="On time",K520="Late",K520="Very late"),1,0)</f>
        <v/>
      </c>
    </row>
    <row r="521">
      <c r="A521" s="10" t="inlineStr">
        <is>
          <t>DN318734</t>
        </is>
      </c>
      <c r="B521" s="10" t="inlineStr">
        <is>
          <t>SO62505</t>
        </is>
      </c>
      <c r="C521" s="10" t="inlineStr">
        <is>
          <t>C11666</t>
        </is>
      </c>
      <c r="D521" s="10">
        <f>INDEX(Customers!$B:$B,MATCH(C521,Customers!$A:$A,0))</f>
        <v/>
      </c>
      <c r="E521" s="10">
        <f>INDEX(Customers!$D:$D,MATCH(C521,Customers!$A:$A,0))</f>
        <v/>
      </c>
      <c r="F521" s="10" t="inlineStr">
        <is>
          <t>Own trucks</t>
        </is>
      </c>
      <c r="G521" s="5" t="n">
        <v>46253</v>
      </c>
      <c r="H521" s="5" t="n">
        <v>46254</v>
      </c>
      <c r="I521" s="5" t="n">
        <v>46254</v>
      </c>
      <c r="J521" s="10" t="inlineStr">
        <is>
          <t>07:40</t>
        </is>
      </c>
      <c r="K521" s="10" t="inlineStr">
        <is>
          <t>On time</t>
        </is>
      </c>
      <c r="L521" s="6" t="n">
        <v>0</v>
      </c>
      <c r="M521" s="10" t="n"/>
      <c r="N521" s="6" t="n">
        <v>36</v>
      </c>
      <c r="O521" s="6" t="n">
        <v>3816</v>
      </c>
      <c r="P521" s="6" t="n">
        <v>1</v>
      </c>
      <c r="Q521" s="6">
        <f>IF(OR(K521="On time",K521="Late",K521="Very late"),1,0)</f>
        <v/>
      </c>
    </row>
    <row r="522">
      <c r="A522" s="10" t="inlineStr">
        <is>
          <t>DN318735</t>
        </is>
      </c>
      <c r="B522" s="10" t="inlineStr">
        <is>
          <t>SO62507</t>
        </is>
      </c>
      <c r="C522" s="10" t="inlineStr">
        <is>
          <t>C11718</t>
        </is>
      </c>
      <c r="D522" s="10">
        <f>INDEX(Customers!$B:$B,MATCH(C522,Customers!$A:$A,0))</f>
        <v/>
      </c>
      <c r="E522" s="10">
        <f>INDEX(Customers!$D:$D,MATCH(C522,Customers!$A:$A,0))</f>
        <v/>
      </c>
      <c r="F522" s="10" t="inlineStr">
        <is>
          <t>Own trucks</t>
        </is>
      </c>
      <c r="G522" s="5" t="n">
        <v>46253</v>
      </c>
      <c r="H522" s="5" t="n">
        <v>46254</v>
      </c>
      <c r="I522" s="5" t="n">
        <v>46254</v>
      </c>
      <c r="J522" s="10" t="inlineStr">
        <is>
          <t>11:30</t>
        </is>
      </c>
      <c r="K522" s="10" t="inlineStr">
        <is>
          <t>On time</t>
        </is>
      </c>
      <c r="L522" s="6" t="n">
        <v>0</v>
      </c>
      <c r="M522" s="10" t="n"/>
      <c r="N522" s="6" t="n">
        <v>32</v>
      </c>
      <c r="O522" s="6" t="n">
        <v>2144</v>
      </c>
      <c r="P522" s="6" t="n">
        <v>1</v>
      </c>
      <c r="Q522" s="6">
        <f>IF(OR(K522="On time",K522="Late",K522="Very late"),1,0)</f>
        <v/>
      </c>
    </row>
    <row r="523">
      <c r="A523" s="10" t="inlineStr">
        <is>
          <t>DN318736</t>
        </is>
      </c>
      <c r="B523" s="10" t="inlineStr">
        <is>
          <t>SO62508</t>
        </is>
      </c>
      <c r="C523" s="10" t="inlineStr">
        <is>
          <t>C11745</t>
        </is>
      </c>
      <c r="D523" s="10">
        <f>INDEX(Customers!$B:$B,MATCH(C523,Customers!$A:$A,0))</f>
        <v/>
      </c>
      <c r="E523" s="10">
        <f>INDEX(Customers!$D:$D,MATCH(C523,Customers!$A:$A,0))</f>
        <v/>
      </c>
      <c r="F523" s="10" t="inlineStr">
        <is>
          <t>Own trucks</t>
        </is>
      </c>
      <c r="G523" s="5" t="n">
        <v>46253</v>
      </c>
      <c r="H523" s="5" t="n">
        <v>46254</v>
      </c>
      <c r="I523" s="5" t="n">
        <v>46254</v>
      </c>
      <c r="J523" s="10" t="inlineStr">
        <is>
          <t>11:30</t>
        </is>
      </c>
      <c r="K523" s="10" t="inlineStr">
        <is>
          <t>On time</t>
        </is>
      </c>
      <c r="L523" s="6" t="n">
        <v>0</v>
      </c>
      <c r="M523" s="10" t="n"/>
      <c r="N523" s="6" t="n">
        <v>11</v>
      </c>
      <c r="O523" s="6" t="n">
        <v>803</v>
      </c>
      <c r="P523" s="6" t="n">
        <v>1</v>
      </c>
      <c r="Q523" s="6">
        <f>IF(OR(K523="On time",K523="Late",K523="Very late"),1,0)</f>
        <v/>
      </c>
    </row>
    <row r="524">
      <c r="A524" s="10" t="inlineStr">
        <is>
          <t>DN318737</t>
        </is>
      </c>
      <c r="B524" s="10" t="inlineStr">
        <is>
          <t>SO62509</t>
        </is>
      </c>
      <c r="C524" s="10" t="inlineStr">
        <is>
          <t>C11790</t>
        </is>
      </c>
      <c r="D524" s="10">
        <f>INDEX(Customers!$B:$B,MATCH(C524,Customers!$A:$A,0))</f>
        <v/>
      </c>
      <c r="E524" s="10">
        <f>INDEX(Customers!$D:$D,MATCH(C524,Customers!$A:$A,0))</f>
        <v/>
      </c>
      <c r="F524" s="10" t="inlineStr">
        <is>
          <t>Carrier A</t>
        </is>
      </c>
      <c r="G524" s="5" t="n">
        <v>46253</v>
      </c>
      <c r="H524" s="5" t="n">
        <v>46254</v>
      </c>
      <c r="I524" s="5" t="n">
        <v>46254</v>
      </c>
      <c r="J524" s="10" t="inlineStr">
        <is>
          <t>16:40</t>
        </is>
      </c>
      <c r="K524" s="10" t="inlineStr">
        <is>
          <t>On time</t>
        </is>
      </c>
      <c r="L524" s="6" t="n">
        <v>0</v>
      </c>
      <c r="M524" s="10" t="n"/>
      <c r="N524" s="6" t="n">
        <v>23</v>
      </c>
      <c r="O524" s="6" t="n">
        <v>2829</v>
      </c>
      <c r="P524" s="6" t="n">
        <v>1</v>
      </c>
      <c r="Q524" s="6">
        <f>IF(OR(K524="On time",K524="Late",K524="Very late"),1,0)</f>
        <v/>
      </c>
    </row>
    <row r="525">
      <c r="A525" s="10" t="inlineStr">
        <is>
          <t>DN318738</t>
        </is>
      </c>
      <c r="B525" s="10" t="inlineStr">
        <is>
          <t>SO62511</t>
        </is>
      </c>
      <c r="C525" s="10" t="inlineStr">
        <is>
          <t>C11798</t>
        </is>
      </c>
      <c r="D525" s="10">
        <f>INDEX(Customers!$B:$B,MATCH(C525,Customers!$A:$A,0))</f>
        <v/>
      </c>
      <c r="E525" s="10">
        <f>INDEX(Customers!$D:$D,MATCH(C525,Customers!$A:$A,0))</f>
        <v/>
      </c>
      <c r="F525" s="10" t="inlineStr">
        <is>
          <t>Carrier A</t>
        </is>
      </c>
      <c r="G525" s="5" t="n">
        <v>46253</v>
      </c>
      <c r="H525" s="5" t="n">
        <v>46254</v>
      </c>
      <c r="I525" s="5" t="n">
        <v>46254</v>
      </c>
      <c r="J525" s="10" t="inlineStr">
        <is>
          <t>08:00</t>
        </is>
      </c>
      <c r="K525" s="10" t="inlineStr">
        <is>
          <t>On time</t>
        </is>
      </c>
      <c r="L525" s="6" t="n">
        <v>0</v>
      </c>
      <c r="M525" s="10" t="n"/>
      <c r="N525" s="6" t="n">
        <v>35</v>
      </c>
      <c r="O525" s="6" t="n">
        <v>4305</v>
      </c>
      <c r="P525" s="6" t="n">
        <v>1</v>
      </c>
      <c r="Q525" s="6">
        <f>IF(OR(K525="On time",K525="Late",K525="Very late"),1,0)</f>
        <v/>
      </c>
    </row>
    <row r="526">
      <c r="A526" s="10" t="inlineStr">
        <is>
          <t>DN318739</t>
        </is>
      </c>
      <c r="B526" s="10" t="inlineStr">
        <is>
          <t>SO62513</t>
        </is>
      </c>
      <c r="C526" s="10" t="inlineStr">
        <is>
          <t>C11858</t>
        </is>
      </c>
      <c r="D526" s="10">
        <f>INDEX(Customers!$B:$B,MATCH(C526,Customers!$A:$A,0))</f>
        <v/>
      </c>
      <c r="E526" s="10">
        <f>INDEX(Customers!$D:$D,MATCH(C526,Customers!$A:$A,0))</f>
        <v/>
      </c>
      <c r="F526" s="10" t="inlineStr">
        <is>
          <t>Carrier A</t>
        </is>
      </c>
      <c r="G526" s="5" t="n">
        <v>46253</v>
      </c>
      <c r="H526" s="5" t="n">
        <v>46254</v>
      </c>
      <c r="I526" s="5" t="n">
        <v>46254</v>
      </c>
      <c r="J526" s="10" t="inlineStr">
        <is>
          <t>16:20</t>
        </is>
      </c>
      <c r="K526" s="10" t="inlineStr">
        <is>
          <t>On time</t>
        </is>
      </c>
      <c r="L526" s="6" t="n">
        <v>0</v>
      </c>
      <c r="M526" s="10" t="n"/>
      <c r="N526" s="6" t="n">
        <v>36</v>
      </c>
      <c r="O526" s="6" t="n">
        <v>4824</v>
      </c>
      <c r="P526" s="6" t="n">
        <v>1</v>
      </c>
      <c r="Q526" s="6">
        <f>IF(OR(K526="On time",K526="Late",K526="Very late"),1,0)</f>
        <v/>
      </c>
    </row>
    <row r="527">
      <c r="A527" s="10" t="inlineStr">
        <is>
          <t>DN318740</t>
        </is>
      </c>
      <c r="B527" s="10" t="inlineStr">
        <is>
          <t>SO62514</t>
        </is>
      </c>
      <c r="C527" s="10" t="inlineStr">
        <is>
          <t>C11950</t>
        </is>
      </c>
      <c r="D527" s="10">
        <f>INDEX(Customers!$B:$B,MATCH(C527,Customers!$A:$A,0))</f>
        <v/>
      </c>
      <c r="E527" s="10">
        <f>INDEX(Customers!$D:$D,MATCH(C527,Customers!$A:$A,0))</f>
        <v/>
      </c>
      <c r="F527" s="10" t="inlineStr">
        <is>
          <t>Carrier A</t>
        </is>
      </c>
      <c r="G527" s="5" t="n">
        <v>46253</v>
      </c>
      <c r="H527" s="5" t="n">
        <v>46254</v>
      </c>
      <c r="I527" s="5" t="n">
        <v>46254</v>
      </c>
      <c r="J527" s="10" t="inlineStr">
        <is>
          <t>11:30</t>
        </is>
      </c>
      <c r="K527" s="10" t="inlineStr">
        <is>
          <t>On time</t>
        </is>
      </c>
      <c r="L527" s="6" t="n">
        <v>0</v>
      </c>
      <c r="M527" s="10" t="n"/>
      <c r="N527" s="6" t="n">
        <v>25</v>
      </c>
      <c r="O527" s="6" t="n">
        <v>1825</v>
      </c>
      <c r="P527" s="6" t="n">
        <v>1</v>
      </c>
      <c r="Q527" s="6">
        <f>IF(OR(K527="On time",K527="Late",K527="Very late"),1,0)</f>
        <v/>
      </c>
    </row>
    <row r="528">
      <c r="A528" s="10" t="inlineStr">
        <is>
          <t>DN318741</t>
        </is>
      </c>
      <c r="B528" s="10" t="inlineStr">
        <is>
          <t>SO62516</t>
        </is>
      </c>
      <c r="C528" s="10" t="inlineStr">
        <is>
          <t>C11971</t>
        </is>
      </c>
      <c r="D528" s="10">
        <f>INDEX(Customers!$B:$B,MATCH(C528,Customers!$A:$A,0))</f>
        <v/>
      </c>
      <c r="E528" s="10">
        <f>INDEX(Customers!$D:$D,MATCH(C528,Customers!$A:$A,0))</f>
        <v/>
      </c>
      <c r="F528" s="10" t="inlineStr">
        <is>
          <t>Own trucks</t>
        </is>
      </c>
      <c r="G528" s="5" t="n">
        <v>46253</v>
      </c>
      <c r="H528" s="5" t="n">
        <v>46254</v>
      </c>
      <c r="I528" s="5" t="n">
        <v>46254</v>
      </c>
      <c r="J528" s="10" t="inlineStr">
        <is>
          <t>10:30</t>
        </is>
      </c>
      <c r="K528" s="10" t="inlineStr">
        <is>
          <t>On time</t>
        </is>
      </c>
      <c r="L528" s="6" t="n">
        <v>0</v>
      </c>
      <c r="M528" s="10" t="n"/>
      <c r="N528" s="6" t="n">
        <v>16</v>
      </c>
      <c r="O528" s="6" t="n">
        <v>1008</v>
      </c>
      <c r="P528" s="6" t="n">
        <v>1</v>
      </c>
      <c r="Q528" s="6">
        <f>IF(OR(K528="On time",K528="Late",K528="Very late"),1,0)</f>
        <v/>
      </c>
    </row>
    <row r="529">
      <c r="A529" s="10" t="inlineStr">
        <is>
          <t>DN318742</t>
        </is>
      </c>
      <c r="B529" s="10" t="inlineStr">
        <is>
          <t>SO62517</t>
        </is>
      </c>
      <c r="C529" s="10" t="inlineStr">
        <is>
          <t>C12103</t>
        </is>
      </c>
      <c r="D529" s="10">
        <f>INDEX(Customers!$B:$B,MATCH(C529,Customers!$A:$A,0))</f>
        <v/>
      </c>
      <c r="E529" s="10">
        <f>INDEX(Customers!$D:$D,MATCH(C529,Customers!$A:$A,0))</f>
        <v/>
      </c>
      <c r="F529" s="10" t="inlineStr">
        <is>
          <t>Own trucks</t>
        </is>
      </c>
      <c r="G529" s="5" t="n">
        <v>46253</v>
      </c>
      <c r="H529" s="5" t="n">
        <v>46254</v>
      </c>
      <c r="I529" s="5" t="n">
        <v>46254</v>
      </c>
      <c r="J529" s="10" t="inlineStr">
        <is>
          <t>15:20</t>
        </is>
      </c>
      <c r="K529" s="10" t="inlineStr">
        <is>
          <t>On time</t>
        </is>
      </c>
      <c r="L529" s="6" t="n">
        <v>0</v>
      </c>
      <c r="M529" s="10" t="n"/>
      <c r="N529" s="6" t="n">
        <v>12</v>
      </c>
      <c r="O529" s="6" t="n">
        <v>1080</v>
      </c>
      <c r="P529" s="6" t="n">
        <v>1</v>
      </c>
      <c r="Q529" s="6">
        <f>IF(OR(K529="On time",K529="Late",K529="Very late"),1,0)</f>
        <v/>
      </c>
    </row>
    <row r="530">
      <c r="A530" s="10" t="inlineStr">
        <is>
          <t>DN318743</t>
        </is>
      </c>
      <c r="B530" s="10" t="inlineStr">
        <is>
          <t>SO62518</t>
        </is>
      </c>
      <c r="C530" s="10" t="inlineStr">
        <is>
          <t>C12239</t>
        </is>
      </c>
      <c r="D530" s="10">
        <f>INDEX(Customers!$B:$B,MATCH(C530,Customers!$A:$A,0))</f>
        <v/>
      </c>
      <c r="E530" s="10">
        <f>INDEX(Customers!$D:$D,MATCH(C530,Customers!$A:$A,0))</f>
        <v/>
      </c>
      <c r="F530" s="10" t="inlineStr">
        <is>
          <t>Carrier B</t>
        </is>
      </c>
      <c r="G530" s="5" t="n">
        <v>46253</v>
      </c>
      <c r="H530" s="5" t="n">
        <v>46254</v>
      </c>
      <c r="I530" s="5" t="n">
        <v>46254</v>
      </c>
      <c r="J530" s="10" t="inlineStr">
        <is>
          <t>08:40</t>
        </is>
      </c>
      <c r="K530" s="10" t="inlineStr">
        <is>
          <t>On time</t>
        </is>
      </c>
      <c r="L530" s="6" t="n">
        <v>0</v>
      </c>
      <c r="M530" s="10" t="n"/>
      <c r="N530" s="6" t="n">
        <v>2</v>
      </c>
      <c r="O530" s="6" t="n">
        <v>210</v>
      </c>
      <c r="P530" s="6" t="n">
        <v>1</v>
      </c>
      <c r="Q530" s="6">
        <f>IF(OR(K530="On time",K530="Late",K530="Very late"),1,0)</f>
        <v/>
      </c>
    </row>
    <row r="531">
      <c r="A531" s="10" t="inlineStr">
        <is>
          <t>DN318744</t>
        </is>
      </c>
      <c r="B531" s="10" t="inlineStr">
        <is>
          <t>SO62519</t>
        </is>
      </c>
      <c r="C531" s="10" t="inlineStr">
        <is>
          <t>C12262</t>
        </is>
      </c>
      <c r="D531" s="10">
        <f>INDEX(Customers!$B:$B,MATCH(C531,Customers!$A:$A,0))</f>
        <v/>
      </c>
      <c r="E531" s="10">
        <f>INDEX(Customers!$D:$D,MATCH(C531,Customers!$A:$A,0))</f>
        <v/>
      </c>
      <c r="F531" s="10" t="inlineStr">
        <is>
          <t>Carrier B</t>
        </is>
      </c>
      <c r="G531" s="5" t="n">
        <v>46253</v>
      </c>
      <c r="H531" s="5" t="n">
        <v>46254</v>
      </c>
      <c r="I531" s="5" t="n">
        <v>46254</v>
      </c>
      <c r="J531" s="10" t="inlineStr">
        <is>
          <t>08:00</t>
        </is>
      </c>
      <c r="K531" s="10" t="inlineStr">
        <is>
          <t>On time</t>
        </is>
      </c>
      <c r="L531" s="6" t="n">
        <v>0</v>
      </c>
      <c r="M531" s="10" t="n"/>
      <c r="N531" s="6" t="n">
        <v>31</v>
      </c>
      <c r="O531" s="6" t="n">
        <v>2232</v>
      </c>
      <c r="P531" s="6" t="n">
        <v>1</v>
      </c>
      <c r="Q531" s="6">
        <f>IF(OR(K531="On time",K531="Late",K531="Very late"),1,0)</f>
        <v/>
      </c>
    </row>
    <row r="532">
      <c r="A532" s="10" t="inlineStr">
        <is>
          <t>DN318746</t>
        </is>
      </c>
      <c r="B532" s="10" t="inlineStr">
        <is>
          <t>SO62521</t>
        </is>
      </c>
      <c r="C532" s="10" t="inlineStr">
        <is>
          <t>C12305</t>
        </is>
      </c>
      <c r="D532" s="10">
        <f>INDEX(Customers!$B:$B,MATCH(C532,Customers!$A:$A,0))</f>
        <v/>
      </c>
      <c r="E532" s="10">
        <f>INDEX(Customers!$D:$D,MATCH(C532,Customers!$A:$A,0))</f>
        <v/>
      </c>
      <c r="F532" s="10" t="inlineStr">
        <is>
          <t>Carrier B</t>
        </is>
      </c>
      <c r="G532" s="5" t="n">
        <v>46253</v>
      </c>
      <c r="H532" s="5" t="n">
        <v>46254</v>
      </c>
      <c r="I532" s="5" t="n">
        <v>46254</v>
      </c>
      <c r="J532" s="10" t="inlineStr">
        <is>
          <t>12:30</t>
        </is>
      </c>
      <c r="K532" s="10" t="inlineStr">
        <is>
          <t>On time</t>
        </is>
      </c>
      <c r="L532" s="6" t="n">
        <v>0</v>
      </c>
      <c r="M532" s="10" t="n"/>
      <c r="N532" s="6" t="n">
        <v>18</v>
      </c>
      <c r="O532" s="6" t="n">
        <v>2358</v>
      </c>
      <c r="P532" s="6" t="n">
        <v>1</v>
      </c>
      <c r="Q532" s="6">
        <f>IF(OR(K532="On time",K532="Late",K532="Very late"),1,0)</f>
        <v/>
      </c>
    </row>
    <row r="533">
      <c r="A533" s="10" t="inlineStr">
        <is>
          <t>DN318747</t>
        </is>
      </c>
      <c r="B533" s="10" t="inlineStr">
        <is>
          <t>SO62522</t>
        </is>
      </c>
      <c r="C533" s="10" t="inlineStr">
        <is>
          <t>C12365</t>
        </is>
      </c>
      <c r="D533" s="10">
        <f>INDEX(Customers!$B:$B,MATCH(C533,Customers!$A:$A,0))</f>
        <v/>
      </c>
      <c r="E533" s="10">
        <f>INDEX(Customers!$D:$D,MATCH(C533,Customers!$A:$A,0))</f>
        <v/>
      </c>
      <c r="F533" s="10" t="inlineStr">
        <is>
          <t>Carrier B</t>
        </is>
      </c>
      <c r="G533" s="5" t="n">
        <v>46253</v>
      </c>
      <c r="H533" s="5" t="n">
        <v>46254</v>
      </c>
      <c r="I533" s="5" t="n">
        <v>46254</v>
      </c>
      <c r="J533" s="10" t="inlineStr">
        <is>
          <t>12:50</t>
        </is>
      </c>
      <c r="K533" s="10" t="inlineStr">
        <is>
          <t>On time</t>
        </is>
      </c>
      <c r="L533" s="6" t="n">
        <v>0</v>
      </c>
      <c r="M533" s="10" t="n"/>
      <c r="N533" s="6" t="n">
        <v>28</v>
      </c>
      <c r="O533" s="6" t="n">
        <v>2184</v>
      </c>
      <c r="P533" s="6" t="n">
        <v>0</v>
      </c>
      <c r="Q533" s="6">
        <f>IF(OR(K533="On time",K533="Late",K533="Very late"),1,0)</f>
        <v/>
      </c>
    </row>
    <row r="534">
      <c r="A534" s="10" t="inlineStr">
        <is>
          <t>DN318748</t>
        </is>
      </c>
      <c r="B534" s="10" t="inlineStr">
        <is>
          <t>SO62523</t>
        </is>
      </c>
      <c r="C534" s="10" t="inlineStr">
        <is>
          <t>C12490</t>
        </is>
      </c>
      <c r="D534" s="10">
        <f>INDEX(Customers!$B:$B,MATCH(C534,Customers!$A:$A,0))</f>
        <v/>
      </c>
      <c r="E534" s="10">
        <f>INDEX(Customers!$D:$D,MATCH(C534,Customers!$A:$A,0))</f>
        <v/>
      </c>
      <c r="F534" s="10" t="inlineStr">
        <is>
          <t>Carrier A</t>
        </is>
      </c>
      <c r="G534" s="5" t="n">
        <v>46253</v>
      </c>
      <c r="H534" s="5" t="n">
        <v>46254</v>
      </c>
      <c r="I534" s="5" t="n">
        <v>46254</v>
      </c>
      <c r="J534" s="10" t="inlineStr">
        <is>
          <t>16:10</t>
        </is>
      </c>
      <c r="K534" s="10" t="inlineStr">
        <is>
          <t>On time</t>
        </is>
      </c>
      <c r="L534" s="6" t="n">
        <v>0</v>
      </c>
      <c r="M534" s="10" t="n"/>
      <c r="N534" s="6" t="n">
        <v>29</v>
      </c>
      <c r="O534" s="6" t="n">
        <v>1798</v>
      </c>
      <c r="P534" s="6" t="n">
        <v>1</v>
      </c>
      <c r="Q534" s="6">
        <f>IF(OR(K534="On time",K534="Late",K534="Very late"),1,0)</f>
        <v/>
      </c>
    </row>
    <row r="535">
      <c r="A535" s="10" t="inlineStr">
        <is>
          <t>DN318749</t>
        </is>
      </c>
      <c r="B535" s="10" t="inlineStr">
        <is>
          <t>SO62524</t>
        </is>
      </c>
      <c r="C535" s="10" t="inlineStr">
        <is>
          <t>C12543</t>
        </is>
      </c>
      <c r="D535" s="10">
        <f>INDEX(Customers!$B:$B,MATCH(C535,Customers!$A:$A,0))</f>
        <v/>
      </c>
      <c r="E535" s="10">
        <f>INDEX(Customers!$D:$D,MATCH(C535,Customers!$A:$A,0))</f>
        <v/>
      </c>
      <c r="F535" s="10" t="inlineStr">
        <is>
          <t>Carrier B</t>
        </is>
      </c>
      <c r="G535" s="5" t="n">
        <v>46252</v>
      </c>
      <c r="H535" s="5" t="n">
        <v>46254</v>
      </c>
      <c r="I535" s="5" t="n">
        <v>46254</v>
      </c>
      <c r="J535" s="10" t="inlineStr">
        <is>
          <t>15:10</t>
        </is>
      </c>
      <c r="K535" s="10" t="inlineStr">
        <is>
          <t>On time</t>
        </is>
      </c>
      <c r="L535" s="6" t="n">
        <v>0</v>
      </c>
      <c r="M535" s="10" t="n"/>
      <c r="N535" s="6" t="n">
        <v>36</v>
      </c>
      <c r="O535" s="6" t="n">
        <v>3492</v>
      </c>
      <c r="P535" s="6" t="n">
        <v>1</v>
      </c>
      <c r="Q535" s="6">
        <f>IF(OR(K535="On time",K535="Late",K535="Very late"),1,0)</f>
        <v/>
      </c>
    </row>
    <row r="536">
      <c r="A536" s="10" t="inlineStr">
        <is>
          <t>DN318750</t>
        </is>
      </c>
      <c r="B536" s="10" t="inlineStr">
        <is>
          <t>SO62525</t>
        </is>
      </c>
      <c r="C536" s="10" t="inlineStr">
        <is>
          <t>C12617</t>
        </is>
      </c>
      <c r="D536" s="10">
        <f>INDEX(Customers!$B:$B,MATCH(C536,Customers!$A:$A,0))</f>
        <v/>
      </c>
      <c r="E536" s="10">
        <f>INDEX(Customers!$D:$D,MATCH(C536,Customers!$A:$A,0))</f>
        <v/>
      </c>
      <c r="F536" s="10" t="inlineStr">
        <is>
          <t>Carrier B</t>
        </is>
      </c>
      <c r="G536" s="5" t="n">
        <v>46252</v>
      </c>
      <c r="H536" s="5" t="n">
        <v>46254</v>
      </c>
      <c r="I536" s="5" t="n">
        <v>46254</v>
      </c>
      <c r="J536" s="10" t="inlineStr">
        <is>
          <t>09:40</t>
        </is>
      </c>
      <c r="K536" s="10" t="inlineStr">
        <is>
          <t>On time</t>
        </is>
      </c>
      <c r="L536" s="6" t="n">
        <v>0</v>
      </c>
      <c r="M536" s="10" t="n"/>
      <c r="N536" s="6" t="n">
        <v>29</v>
      </c>
      <c r="O536" s="6" t="n">
        <v>2581</v>
      </c>
      <c r="P536" s="6" t="n">
        <v>1</v>
      </c>
      <c r="Q536" s="6">
        <f>IF(OR(K536="On time",K536="Late",K536="Very late"),1,0)</f>
        <v/>
      </c>
    </row>
    <row r="537">
      <c r="A537" s="10" t="inlineStr">
        <is>
          <t>DN318751</t>
        </is>
      </c>
      <c r="B537" s="10" t="inlineStr">
        <is>
          <t>SO62526</t>
        </is>
      </c>
      <c r="C537" s="10" t="inlineStr">
        <is>
          <t>C12631</t>
        </is>
      </c>
      <c r="D537" s="10">
        <f>INDEX(Customers!$B:$B,MATCH(C537,Customers!$A:$A,0))</f>
        <v/>
      </c>
      <c r="E537" s="10">
        <f>INDEX(Customers!$D:$D,MATCH(C537,Customers!$A:$A,0))</f>
        <v/>
      </c>
      <c r="F537" s="10" t="inlineStr">
        <is>
          <t>Carrier B</t>
        </is>
      </c>
      <c r="G537" s="5" t="n">
        <v>46252</v>
      </c>
      <c r="H537" s="5" t="n">
        <v>46254</v>
      </c>
      <c r="I537" s="5" t="n">
        <v>46254</v>
      </c>
      <c r="J537" s="10" t="inlineStr">
        <is>
          <t>15:40</t>
        </is>
      </c>
      <c r="K537" s="10" t="inlineStr">
        <is>
          <t>On time</t>
        </is>
      </c>
      <c r="L537" s="6" t="n">
        <v>0</v>
      </c>
      <c r="M537" s="10" t="n"/>
      <c r="N537" s="6" t="n">
        <v>21</v>
      </c>
      <c r="O537" s="6" t="n">
        <v>1638</v>
      </c>
      <c r="P537" s="6" t="n">
        <v>1</v>
      </c>
      <c r="Q537" s="6">
        <f>IF(OR(K537="On time",K537="Late",K537="Very late"),1,0)</f>
        <v/>
      </c>
    </row>
    <row r="538">
      <c r="A538" s="10" t="inlineStr">
        <is>
          <t>DN318752</t>
        </is>
      </c>
      <c r="B538" s="10" t="inlineStr">
        <is>
          <t>SO62527</t>
        </is>
      </c>
      <c r="C538" s="10" t="inlineStr">
        <is>
          <t>C12639</t>
        </is>
      </c>
      <c r="D538" s="10">
        <f>INDEX(Customers!$B:$B,MATCH(C538,Customers!$A:$A,0))</f>
        <v/>
      </c>
      <c r="E538" s="10">
        <f>INDEX(Customers!$D:$D,MATCH(C538,Customers!$A:$A,0))</f>
        <v/>
      </c>
      <c r="F538" s="10" t="inlineStr">
        <is>
          <t>Carrier B</t>
        </is>
      </c>
      <c r="G538" s="5" t="n">
        <v>46252</v>
      </c>
      <c r="H538" s="5" t="n">
        <v>46254</v>
      </c>
      <c r="I538" s="5" t="n">
        <v>46254</v>
      </c>
      <c r="J538" s="10" t="inlineStr">
        <is>
          <t>14:10</t>
        </is>
      </c>
      <c r="K538" s="10" t="inlineStr">
        <is>
          <t>On time</t>
        </is>
      </c>
      <c r="L538" s="6" t="n">
        <v>0</v>
      </c>
      <c r="M538" s="10" t="n"/>
      <c r="N538" s="6" t="n">
        <v>17</v>
      </c>
      <c r="O538" s="6" t="n">
        <v>2142</v>
      </c>
      <c r="P538" s="6" t="n">
        <v>1</v>
      </c>
      <c r="Q538" s="6">
        <f>IF(OR(K538="On time",K538="Late",K538="Very late"),1,0)</f>
        <v/>
      </c>
    </row>
    <row r="539">
      <c r="A539" s="10" t="inlineStr">
        <is>
          <t>DN318753</t>
        </is>
      </c>
      <c r="B539" s="10" t="inlineStr">
        <is>
          <t>SO62528</t>
        </is>
      </c>
      <c r="C539" s="10" t="inlineStr">
        <is>
          <t>C12675</t>
        </is>
      </c>
      <c r="D539" s="10">
        <f>INDEX(Customers!$B:$B,MATCH(C539,Customers!$A:$A,0))</f>
        <v/>
      </c>
      <c r="E539" s="10">
        <f>INDEX(Customers!$D:$D,MATCH(C539,Customers!$A:$A,0))</f>
        <v/>
      </c>
      <c r="F539" s="10" t="inlineStr">
        <is>
          <t>Carrier B</t>
        </is>
      </c>
      <c r="G539" s="5" t="n">
        <v>46252</v>
      </c>
      <c r="H539" s="5" t="n">
        <v>46254</v>
      </c>
      <c r="I539" s="5" t="n">
        <v>46254</v>
      </c>
      <c r="J539" s="10" t="inlineStr">
        <is>
          <t>07:10</t>
        </is>
      </c>
      <c r="K539" s="10" t="inlineStr">
        <is>
          <t>On time</t>
        </is>
      </c>
      <c r="L539" s="6" t="n">
        <v>0</v>
      </c>
      <c r="M539" s="10" t="n"/>
      <c r="N539" s="6" t="n">
        <v>11</v>
      </c>
      <c r="O539" s="6" t="n">
        <v>1463</v>
      </c>
      <c r="P539" s="6" t="n">
        <v>1</v>
      </c>
      <c r="Q539" s="6">
        <f>IF(OR(K539="On time",K539="Late",K539="Very late"),1,0)</f>
        <v/>
      </c>
    </row>
    <row r="540">
      <c r="A540" s="10" t="inlineStr">
        <is>
          <t>DN318754</t>
        </is>
      </c>
      <c r="B540" s="10" t="inlineStr">
        <is>
          <t>SO62529</t>
        </is>
      </c>
      <c r="C540" s="10" t="inlineStr">
        <is>
          <t>C10322</t>
        </is>
      </c>
      <c r="D540" s="10">
        <f>INDEX(Customers!$B:$B,MATCH(C540,Customers!$A:$A,0))</f>
        <v/>
      </c>
      <c r="E540" s="10">
        <f>INDEX(Customers!$D:$D,MATCH(C540,Customers!$A:$A,0))</f>
        <v/>
      </c>
      <c r="F540" s="10" t="inlineStr">
        <is>
          <t>Own trucks</t>
        </is>
      </c>
      <c r="G540" s="5" t="n">
        <v>46254</v>
      </c>
      <c r="H540" s="5" t="n">
        <v>46255</v>
      </c>
      <c r="I540" s="5" t="n">
        <v>46255</v>
      </c>
      <c r="J540" s="10" t="inlineStr">
        <is>
          <t>15:00</t>
        </is>
      </c>
      <c r="K540" s="10" t="inlineStr">
        <is>
          <t>On time</t>
        </is>
      </c>
      <c r="L540" s="6" t="n">
        <v>0</v>
      </c>
      <c r="M540" s="10" t="n"/>
      <c r="N540" s="6" t="n">
        <v>22</v>
      </c>
      <c r="O540" s="6" t="n">
        <v>2046</v>
      </c>
      <c r="P540" s="6" t="n">
        <v>1</v>
      </c>
      <c r="Q540" s="6">
        <f>IF(OR(K540="On time",K540="Late",K540="Very late"),1,0)</f>
        <v/>
      </c>
    </row>
    <row r="541">
      <c r="A541" s="10" t="inlineStr">
        <is>
          <t>DN318755</t>
        </is>
      </c>
      <c r="B541" s="10" t="inlineStr">
        <is>
          <t>SO62531</t>
        </is>
      </c>
      <c r="C541" s="10" t="inlineStr">
        <is>
          <t>C10343</t>
        </is>
      </c>
      <c r="D541" s="10">
        <f>INDEX(Customers!$B:$B,MATCH(C541,Customers!$A:$A,0))</f>
        <v/>
      </c>
      <c r="E541" s="10">
        <f>INDEX(Customers!$D:$D,MATCH(C541,Customers!$A:$A,0))</f>
        <v/>
      </c>
      <c r="F541" s="10" t="inlineStr">
        <is>
          <t>Own trucks</t>
        </is>
      </c>
      <c r="G541" s="5" t="n">
        <v>46254</v>
      </c>
      <c r="H541" s="5" t="n">
        <v>46255</v>
      </c>
      <c r="I541" s="5" t="n">
        <v>46255</v>
      </c>
      <c r="J541" s="10" t="inlineStr">
        <is>
          <t>07:10</t>
        </is>
      </c>
      <c r="K541" s="10" t="inlineStr">
        <is>
          <t>On time</t>
        </is>
      </c>
      <c r="L541" s="6" t="n">
        <v>0</v>
      </c>
      <c r="M541" s="10" t="n"/>
      <c r="N541" s="6" t="n">
        <v>31</v>
      </c>
      <c r="O541" s="6" t="n">
        <v>3534</v>
      </c>
      <c r="P541" s="6" t="n">
        <v>1</v>
      </c>
      <c r="Q541" s="6">
        <f>IF(OR(K541="On time",K541="Late",K541="Very late"),1,0)</f>
        <v/>
      </c>
    </row>
    <row r="542">
      <c r="A542" s="10" t="inlineStr">
        <is>
          <t>DN318756</t>
        </is>
      </c>
      <c r="B542" s="10" t="inlineStr">
        <is>
          <t>SO62532</t>
        </is>
      </c>
      <c r="C542" s="10" t="inlineStr">
        <is>
          <t>C10413</t>
        </is>
      </c>
      <c r="D542" s="10">
        <f>INDEX(Customers!$B:$B,MATCH(C542,Customers!$A:$A,0))</f>
        <v/>
      </c>
      <c r="E542" s="10">
        <f>INDEX(Customers!$D:$D,MATCH(C542,Customers!$A:$A,0))</f>
        <v/>
      </c>
      <c r="F542" s="10" t="inlineStr">
        <is>
          <t>Own trucks</t>
        </is>
      </c>
      <c r="G542" s="5" t="n">
        <v>46254</v>
      </c>
      <c r="H542" s="5" t="n">
        <v>46255</v>
      </c>
      <c r="I542" s="5" t="n">
        <v>46255</v>
      </c>
      <c r="J542" s="10" t="inlineStr">
        <is>
          <t>09:50</t>
        </is>
      </c>
      <c r="K542" s="10" t="inlineStr">
        <is>
          <t>On time</t>
        </is>
      </c>
      <c r="L542" s="6" t="n">
        <v>0</v>
      </c>
      <c r="M542" s="10" t="n"/>
      <c r="N542" s="6" t="n">
        <v>31</v>
      </c>
      <c r="O542" s="6" t="n">
        <v>1953</v>
      </c>
      <c r="P542" s="6" t="n">
        <v>1</v>
      </c>
      <c r="Q542" s="6">
        <f>IF(OR(K542="On time",K542="Late",K542="Very late"),1,0)</f>
        <v/>
      </c>
    </row>
    <row r="543">
      <c r="A543" s="10" t="inlineStr">
        <is>
          <t>DN318757</t>
        </is>
      </c>
      <c r="B543" s="10" t="inlineStr">
        <is>
          <t>SO62534</t>
        </is>
      </c>
      <c r="C543" s="10" t="inlineStr">
        <is>
          <t>C10446</t>
        </is>
      </c>
      <c r="D543" s="10">
        <f>INDEX(Customers!$B:$B,MATCH(C543,Customers!$A:$A,0))</f>
        <v/>
      </c>
      <c r="E543" s="10">
        <f>INDEX(Customers!$D:$D,MATCH(C543,Customers!$A:$A,0))</f>
        <v/>
      </c>
      <c r="F543" s="10" t="inlineStr">
        <is>
          <t>Own trucks</t>
        </is>
      </c>
      <c r="G543" s="5" t="n">
        <v>46254</v>
      </c>
      <c r="H543" s="5" t="n">
        <v>46255</v>
      </c>
      <c r="I543" s="5" t="n">
        <v>46255</v>
      </c>
      <c r="J543" s="10" t="inlineStr">
        <is>
          <t>08:50</t>
        </is>
      </c>
      <c r="K543" s="10" t="inlineStr">
        <is>
          <t>On time</t>
        </is>
      </c>
      <c r="L543" s="6" t="n">
        <v>0</v>
      </c>
      <c r="M543" s="10" t="n"/>
      <c r="N543" s="6" t="n">
        <v>30</v>
      </c>
      <c r="O543" s="6" t="n">
        <v>2100</v>
      </c>
      <c r="P543" s="6" t="n">
        <v>1</v>
      </c>
      <c r="Q543" s="6">
        <f>IF(OR(K543="On time",K543="Late",K543="Very late"),1,0)</f>
        <v/>
      </c>
    </row>
    <row r="544">
      <c r="A544" s="10" t="inlineStr">
        <is>
          <t>DN318758</t>
        </is>
      </c>
      <c r="B544" s="10" t="inlineStr">
        <is>
          <t>SO62536</t>
        </is>
      </c>
      <c r="C544" s="10" t="inlineStr">
        <is>
          <t>C10522</t>
        </is>
      </c>
      <c r="D544" s="10">
        <f>INDEX(Customers!$B:$B,MATCH(C544,Customers!$A:$A,0))</f>
        <v/>
      </c>
      <c r="E544" s="10">
        <f>INDEX(Customers!$D:$D,MATCH(C544,Customers!$A:$A,0))</f>
        <v/>
      </c>
      <c r="F544" s="10" t="inlineStr">
        <is>
          <t>Own trucks</t>
        </is>
      </c>
      <c r="G544" s="5" t="n">
        <v>46254</v>
      </c>
      <c r="H544" s="5" t="n">
        <v>46255</v>
      </c>
      <c r="I544" s="5" t="n">
        <v>46255</v>
      </c>
      <c r="J544" s="10" t="inlineStr">
        <is>
          <t>15:50</t>
        </is>
      </c>
      <c r="K544" s="10" t="inlineStr">
        <is>
          <t>On time</t>
        </is>
      </c>
      <c r="L544" s="6" t="n">
        <v>0</v>
      </c>
      <c r="M544" s="10" t="n"/>
      <c r="N544" s="6" t="n">
        <v>14</v>
      </c>
      <c r="O544" s="6" t="n">
        <v>1400</v>
      </c>
      <c r="P544" s="6" t="n">
        <v>1</v>
      </c>
      <c r="Q544" s="6">
        <f>IF(OR(K544="On time",K544="Late",K544="Very late"),1,0)</f>
        <v/>
      </c>
    </row>
    <row r="545">
      <c r="A545" s="10" t="inlineStr">
        <is>
          <t>DN318759</t>
        </is>
      </c>
      <c r="B545" s="10" t="inlineStr">
        <is>
          <t>SO62537</t>
        </is>
      </c>
      <c r="C545" s="10" t="inlineStr">
        <is>
          <t>C10536</t>
        </is>
      </c>
      <c r="D545" s="10">
        <f>INDEX(Customers!$B:$B,MATCH(C545,Customers!$A:$A,0))</f>
        <v/>
      </c>
      <c r="E545" s="10">
        <f>INDEX(Customers!$D:$D,MATCH(C545,Customers!$A:$A,0))</f>
        <v/>
      </c>
      <c r="F545" s="10" t="inlineStr">
        <is>
          <t>Own trucks</t>
        </is>
      </c>
      <c r="G545" s="5" t="n">
        <v>46254</v>
      </c>
      <c r="H545" s="5" t="n">
        <v>46255</v>
      </c>
      <c r="I545" s="5" t="n">
        <v>46255</v>
      </c>
      <c r="J545" s="10" t="inlineStr">
        <is>
          <t>13:00</t>
        </is>
      </c>
      <c r="K545" s="10" t="inlineStr">
        <is>
          <t>On time</t>
        </is>
      </c>
      <c r="L545" s="6" t="n">
        <v>0</v>
      </c>
      <c r="M545" s="10" t="n"/>
      <c r="N545" s="6" t="n">
        <v>35</v>
      </c>
      <c r="O545" s="6" t="n">
        <v>3955</v>
      </c>
      <c r="P545" s="6" t="n">
        <v>1</v>
      </c>
      <c r="Q545" s="6">
        <f>IF(OR(K545="On time",K545="Late",K545="Very late"),1,0)</f>
        <v/>
      </c>
    </row>
    <row r="546">
      <c r="A546" s="10" t="inlineStr">
        <is>
          <t>DN318760</t>
        </is>
      </c>
      <c r="B546" s="10" t="inlineStr">
        <is>
          <t>SO62538</t>
        </is>
      </c>
      <c r="C546" s="10" t="inlineStr">
        <is>
          <t>C10551</t>
        </is>
      </c>
      <c r="D546" s="10">
        <f>INDEX(Customers!$B:$B,MATCH(C546,Customers!$A:$A,0))</f>
        <v/>
      </c>
      <c r="E546" s="10">
        <f>INDEX(Customers!$D:$D,MATCH(C546,Customers!$A:$A,0))</f>
        <v/>
      </c>
      <c r="F546" s="10" t="inlineStr">
        <is>
          <t>Own trucks</t>
        </is>
      </c>
      <c r="G546" s="5" t="n">
        <v>46254</v>
      </c>
      <c r="H546" s="5" t="n">
        <v>46255</v>
      </c>
      <c r="I546" s="5" t="n">
        <v>46258</v>
      </c>
      <c r="J546" s="10" t="inlineStr">
        <is>
          <t>07:10</t>
        </is>
      </c>
      <c r="K546" s="10" t="inlineStr">
        <is>
          <t>Late</t>
        </is>
      </c>
      <c r="L546" s="6" t="n">
        <v>1</v>
      </c>
      <c r="M546" s="10" t="inlineStr">
        <is>
          <t>Run overloaded</t>
        </is>
      </c>
      <c r="N546" s="6" t="n">
        <v>33</v>
      </c>
      <c r="O546" s="6" t="n">
        <v>3036</v>
      </c>
      <c r="P546" s="6" t="n">
        <v>1</v>
      </c>
      <c r="Q546" s="6">
        <f>IF(OR(K546="On time",K546="Late",K546="Very late"),1,0)</f>
        <v/>
      </c>
    </row>
    <row r="547">
      <c r="A547" s="10" t="inlineStr">
        <is>
          <t>DN318761</t>
        </is>
      </c>
      <c r="B547" s="10" t="inlineStr">
        <is>
          <t>SO62539</t>
        </is>
      </c>
      <c r="C547" s="10" t="inlineStr">
        <is>
          <t>C10589</t>
        </is>
      </c>
      <c r="D547" s="10">
        <f>INDEX(Customers!$B:$B,MATCH(C547,Customers!$A:$A,0))</f>
        <v/>
      </c>
      <c r="E547" s="10">
        <f>INDEX(Customers!$D:$D,MATCH(C547,Customers!$A:$A,0))</f>
        <v/>
      </c>
      <c r="F547" s="10" t="inlineStr">
        <is>
          <t>Own trucks</t>
        </is>
      </c>
      <c r="G547" s="5" t="n">
        <v>46254</v>
      </c>
      <c r="H547" s="5" t="n">
        <v>46255</v>
      </c>
      <c r="I547" s="5" t="n">
        <v>46255</v>
      </c>
      <c r="J547" s="10" t="inlineStr">
        <is>
          <t>08:00</t>
        </is>
      </c>
      <c r="K547" s="10" t="inlineStr">
        <is>
          <t>On time</t>
        </is>
      </c>
      <c r="L547" s="6" t="n">
        <v>0</v>
      </c>
      <c r="M547" s="10" t="n"/>
      <c r="N547" s="6" t="n">
        <v>25</v>
      </c>
      <c r="O547" s="6" t="n">
        <v>3200</v>
      </c>
      <c r="P547" s="6" t="n">
        <v>1</v>
      </c>
      <c r="Q547" s="6">
        <f>IF(OR(K547="On time",K547="Late",K547="Very late"),1,0)</f>
        <v/>
      </c>
    </row>
    <row r="548">
      <c r="A548" s="10" t="inlineStr">
        <is>
          <t>DN318762</t>
        </is>
      </c>
      <c r="B548" s="10" t="inlineStr">
        <is>
          <t>SO62541</t>
        </is>
      </c>
      <c r="C548" s="10" t="inlineStr">
        <is>
          <t>C10622</t>
        </is>
      </c>
      <c r="D548" s="10">
        <f>INDEX(Customers!$B:$B,MATCH(C548,Customers!$A:$A,0))</f>
        <v/>
      </c>
      <c r="E548" s="10">
        <f>INDEX(Customers!$D:$D,MATCH(C548,Customers!$A:$A,0))</f>
        <v/>
      </c>
      <c r="F548" s="10" t="inlineStr">
        <is>
          <t>Own trucks</t>
        </is>
      </c>
      <c r="G548" s="5" t="n">
        <v>46254</v>
      </c>
      <c r="H548" s="5" t="n">
        <v>46255</v>
      </c>
      <c r="I548" s="5" t="n">
        <v>46255</v>
      </c>
      <c r="J548" s="10" t="inlineStr">
        <is>
          <t>14:00</t>
        </is>
      </c>
      <c r="K548" s="10" t="inlineStr">
        <is>
          <t>On time</t>
        </is>
      </c>
      <c r="L548" s="6" t="n">
        <v>0</v>
      </c>
      <c r="M548" s="10" t="n"/>
      <c r="N548" s="6" t="n">
        <v>17</v>
      </c>
      <c r="O548" s="6" t="n">
        <v>1071</v>
      </c>
      <c r="P548" s="6" t="n">
        <v>1</v>
      </c>
      <c r="Q548" s="6">
        <f>IF(OR(K548="On time",K548="Late",K548="Very late"),1,0)</f>
        <v/>
      </c>
    </row>
    <row r="549">
      <c r="A549" s="10" t="inlineStr">
        <is>
          <t>DN318763</t>
        </is>
      </c>
      <c r="B549" s="10" t="inlineStr">
        <is>
          <t>SO62543</t>
        </is>
      </c>
      <c r="C549" s="10" t="inlineStr">
        <is>
          <t>C10676</t>
        </is>
      </c>
      <c r="D549" s="10">
        <f>INDEX(Customers!$B:$B,MATCH(C549,Customers!$A:$A,0))</f>
        <v/>
      </c>
      <c r="E549" s="10">
        <f>INDEX(Customers!$D:$D,MATCH(C549,Customers!$A:$A,0))</f>
        <v/>
      </c>
      <c r="F549" s="10" t="inlineStr">
        <is>
          <t>Own trucks</t>
        </is>
      </c>
      <c r="G549" s="5" t="n">
        <v>46254</v>
      </c>
      <c r="H549" s="5" t="n">
        <v>46255</v>
      </c>
      <c r="I549" s="5" t="n">
        <v>46255</v>
      </c>
      <c r="J549" s="10" t="inlineStr">
        <is>
          <t>10:10</t>
        </is>
      </c>
      <c r="K549" s="10" t="inlineStr">
        <is>
          <t>On time</t>
        </is>
      </c>
      <c r="L549" s="6" t="n">
        <v>0</v>
      </c>
      <c r="M549" s="10" t="n"/>
      <c r="N549" s="6" t="n">
        <v>33</v>
      </c>
      <c r="O549" s="6" t="n">
        <v>4422</v>
      </c>
      <c r="P549" s="6" t="n">
        <v>1</v>
      </c>
      <c r="Q549" s="6">
        <f>IF(OR(K549="On time",K549="Late",K549="Very late"),1,0)</f>
        <v/>
      </c>
    </row>
    <row r="550">
      <c r="A550" s="10" t="inlineStr">
        <is>
          <t>DN318764</t>
        </is>
      </c>
      <c r="B550" s="10" t="inlineStr">
        <is>
          <t>SO62544</t>
        </is>
      </c>
      <c r="C550" s="10" t="inlineStr">
        <is>
          <t>C10684</t>
        </is>
      </c>
      <c r="D550" s="10">
        <f>INDEX(Customers!$B:$B,MATCH(C550,Customers!$A:$A,0))</f>
        <v/>
      </c>
      <c r="E550" s="10">
        <f>INDEX(Customers!$D:$D,MATCH(C550,Customers!$A:$A,0))</f>
        <v/>
      </c>
      <c r="F550" s="10" t="inlineStr">
        <is>
          <t>Own trucks</t>
        </is>
      </c>
      <c r="G550" s="5" t="n">
        <v>46254</v>
      </c>
      <c r="H550" s="5" t="n">
        <v>46255</v>
      </c>
      <c r="I550" s="5" t="n">
        <v>46255</v>
      </c>
      <c r="J550" s="10" t="inlineStr">
        <is>
          <t>12:30</t>
        </is>
      </c>
      <c r="K550" s="10" t="inlineStr">
        <is>
          <t>On time</t>
        </is>
      </c>
      <c r="L550" s="6" t="n">
        <v>0</v>
      </c>
      <c r="M550" s="10" t="n"/>
      <c r="N550" s="6" t="n">
        <v>27</v>
      </c>
      <c r="O550" s="6" t="n">
        <v>2241</v>
      </c>
      <c r="P550" s="6" t="n">
        <v>1</v>
      </c>
      <c r="Q550" s="6">
        <f>IF(OR(K550="On time",K550="Late",K550="Very late"),1,0)</f>
        <v/>
      </c>
    </row>
    <row r="551">
      <c r="A551" s="10" t="inlineStr">
        <is>
          <t>DN318765</t>
        </is>
      </c>
      <c r="B551" s="10" t="inlineStr">
        <is>
          <t>SO62545</t>
        </is>
      </c>
      <c r="C551" s="10" t="inlineStr">
        <is>
          <t>C10847</t>
        </is>
      </c>
      <c r="D551" s="10">
        <f>INDEX(Customers!$B:$B,MATCH(C551,Customers!$A:$A,0))</f>
        <v/>
      </c>
      <c r="E551" s="10">
        <f>INDEX(Customers!$D:$D,MATCH(C551,Customers!$A:$A,0))</f>
        <v/>
      </c>
      <c r="F551" s="10" t="inlineStr">
        <is>
          <t>Own trucks</t>
        </is>
      </c>
      <c r="G551" s="5" t="n">
        <v>46254</v>
      </c>
      <c r="H551" s="5" t="n">
        <v>46255</v>
      </c>
      <c r="I551" s="5" t="n">
        <v>46255</v>
      </c>
      <c r="J551" s="10" t="inlineStr">
        <is>
          <t>07:10</t>
        </is>
      </c>
      <c r="K551" s="10" t="inlineStr">
        <is>
          <t>On time</t>
        </is>
      </c>
      <c r="L551" s="6" t="n">
        <v>0</v>
      </c>
      <c r="M551" s="10" t="n"/>
      <c r="N551" s="6" t="n">
        <v>36</v>
      </c>
      <c r="O551" s="6" t="n">
        <v>3420</v>
      </c>
      <c r="P551" s="6" t="n">
        <v>1</v>
      </c>
      <c r="Q551" s="6">
        <f>IF(OR(K551="On time",K551="Late",K551="Very late"),1,0)</f>
        <v/>
      </c>
    </row>
    <row r="552">
      <c r="A552" s="10" t="inlineStr">
        <is>
          <t>DN318766</t>
        </is>
      </c>
      <c r="B552" s="10" t="inlineStr">
        <is>
          <t>SO62546</t>
        </is>
      </c>
      <c r="C552" s="10" t="inlineStr">
        <is>
          <t>C10915</t>
        </is>
      </c>
      <c r="D552" s="10">
        <f>INDEX(Customers!$B:$B,MATCH(C552,Customers!$A:$A,0))</f>
        <v/>
      </c>
      <c r="E552" s="10">
        <f>INDEX(Customers!$D:$D,MATCH(C552,Customers!$A:$A,0))</f>
        <v/>
      </c>
      <c r="F552" s="10" t="inlineStr">
        <is>
          <t>Own trucks</t>
        </is>
      </c>
      <c r="G552" s="5" t="n">
        <v>46254</v>
      </c>
      <c r="H552" s="5" t="n">
        <v>46255</v>
      </c>
      <c r="I552" s="5" t="n">
        <v>46255</v>
      </c>
      <c r="J552" s="10" t="inlineStr">
        <is>
          <t>10:10</t>
        </is>
      </c>
      <c r="K552" s="10" t="inlineStr">
        <is>
          <t>On time</t>
        </is>
      </c>
      <c r="L552" s="6" t="n">
        <v>0</v>
      </c>
      <c r="M552" s="10" t="n"/>
      <c r="N552" s="6" t="n">
        <v>19</v>
      </c>
      <c r="O552" s="6" t="n">
        <v>2261</v>
      </c>
      <c r="P552" s="6" t="n">
        <v>1</v>
      </c>
      <c r="Q552" s="6">
        <f>IF(OR(K552="On time",K552="Late",K552="Very late"),1,0)</f>
        <v/>
      </c>
    </row>
    <row r="553">
      <c r="A553" s="10" t="inlineStr">
        <is>
          <t>DN318768</t>
        </is>
      </c>
      <c r="B553" s="10" t="inlineStr">
        <is>
          <t>SO62547</t>
        </is>
      </c>
      <c r="C553" s="10" t="inlineStr">
        <is>
          <t>C10982</t>
        </is>
      </c>
      <c r="D553" s="10">
        <f>INDEX(Customers!$B:$B,MATCH(C553,Customers!$A:$A,0))</f>
        <v/>
      </c>
      <c r="E553" s="10">
        <f>INDEX(Customers!$D:$D,MATCH(C553,Customers!$A:$A,0))</f>
        <v/>
      </c>
      <c r="F553" s="10" t="inlineStr">
        <is>
          <t>Own trucks</t>
        </is>
      </c>
      <c r="G553" s="5" t="n">
        <v>46254</v>
      </c>
      <c r="H553" s="5" t="n">
        <v>46255</v>
      </c>
      <c r="I553" s="5" t="n">
        <v>46255</v>
      </c>
      <c r="J553" s="10" t="inlineStr">
        <is>
          <t>07:50</t>
        </is>
      </c>
      <c r="K553" s="10" t="inlineStr">
        <is>
          <t>On time</t>
        </is>
      </c>
      <c r="L553" s="6" t="n">
        <v>0</v>
      </c>
      <c r="M553" s="10" t="n"/>
      <c r="N553" s="6" t="n">
        <v>31</v>
      </c>
      <c r="O553" s="6" t="n">
        <v>3751</v>
      </c>
      <c r="P553" s="6" t="n">
        <v>1</v>
      </c>
      <c r="Q553" s="6">
        <f>IF(OR(K553="On time",K553="Late",K553="Very late"),1,0)</f>
        <v/>
      </c>
    </row>
    <row r="554">
      <c r="A554" s="10" t="inlineStr">
        <is>
          <t>DN318769</t>
        </is>
      </c>
      <c r="B554" s="10" t="inlineStr">
        <is>
          <t>SO62548</t>
        </is>
      </c>
      <c r="C554" s="10" t="inlineStr">
        <is>
          <t>C11049</t>
        </is>
      </c>
      <c r="D554" s="10">
        <f>INDEX(Customers!$B:$B,MATCH(C554,Customers!$A:$A,0))</f>
        <v/>
      </c>
      <c r="E554" s="10">
        <f>INDEX(Customers!$D:$D,MATCH(C554,Customers!$A:$A,0))</f>
        <v/>
      </c>
      <c r="F554" s="10" t="inlineStr">
        <is>
          <t>Own trucks</t>
        </is>
      </c>
      <c r="G554" s="5" t="n">
        <v>46254</v>
      </c>
      <c r="H554" s="5" t="n">
        <v>46255</v>
      </c>
      <c r="I554" s="5" t="n">
        <v>46255</v>
      </c>
      <c r="J554" s="10" t="inlineStr">
        <is>
          <t>11:00</t>
        </is>
      </c>
      <c r="K554" s="10" t="inlineStr">
        <is>
          <t>On time</t>
        </is>
      </c>
      <c r="L554" s="6" t="n">
        <v>0</v>
      </c>
      <c r="M554" s="10" t="n"/>
      <c r="N554" s="6" t="n">
        <v>24</v>
      </c>
      <c r="O554" s="6" t="n">
        <v>2136</v>
      </c>
      <c r="P554" s="6" t="n">
        <v>1</v>
      </c>
      <c r="Q554" s="6">
        <f>IF(OR(K554="On time",K554="Late",K554="Very late"),1,0)</f>
        <v/>
      </c>
    </row>
    <row r="555">
      <c r="A555" s="10" t="inlineStr">
        <is>
          <t>DN318770</t>
        </is>
      </c>
      <c r="B555" s="10" t="inlineStr">
        <is>
          <t>SO62550</t>
        </is>
      </c>
      <c r="C555" s="10" t="inlineStr">
        <is>
          <t>C11107</t>
        </is>
      </c>
      <c r="D555" s="10">
        <f>INDEX(Customers!$B:$B,MATCH(C555,Customers!$A:$A,0))</f>
        <v/>
      </c>
      <c r="E555" s="10">
        <f>INDEX(Customers!$D:$D,MATCH(C555,Customers!$A:$A,0))</f>
        <v/>
      </c>
      <c r="F555" s="10" t="inlineStr">
        <is>
          <t>Own trucks</t>
        </is>
      </c>
      <c r="G555" s="5" t="n">
        <v>46254</v>
      </c>
      <c r="H555" s="5" t="n">
        <v>46255</v>
      </c>
      <c r="I555" s="5" t="n">
        <v>46255</v>
      </c>
      <c r="J555" s="10" t="inlineStr">
        <is>
          <t>09:20</t>
        </is>
      </c>
      <c r="K555" s="10" t="inlineStr">
        <is>
          <t>On time</t>
        </is>
      </c>
      <c r="L555" s="6" t="n">
        <v>0</v>
      </c>
      <c r="M555" s="10" t="n"/>
      <c r="N555" s="6" t="n">
        <v>24</v>
      </c>
      <c r="O555" s="6" t="n">
        <v>2184</v>
      </c>
      <c r="P555" s="6" t="n">
        <v>1</v>
      </c>
      <c r="Q555" s="6">
        <f>IF(OR(K555="On time",K555="Late",K555="Very late"),1,0)</f>
        <v/>
      </c>
    </row>
    <row r="556">
      <c r="A556" s="10" t="inlineStr">
        <is>
          <t>DN318771</t>
        </is>
      </c>
      <c r="B556" s="10" t="inlineStr">
        <is>
          <t>SO62552</t>
        </is>
      </c>
      <c r="C556" s="10" t="inlineStr">
        <is>
          <t>C11143</t>
        </is>
      </c>
      <c r="D556" s="10">
        <f>INDEX(Customers!$B:$B,MATCH(C556,Customers!$A:$A,0))</f>
        <v/>
      </c>
      <c r="E556" s="10">
        <f>INDEX(Customers!$D:$D,MATCH(C556,Customers!$A:$A,0))</f>
        <v/>
      </c>
      <c r="F556" s="10" t="inlineStr">
        <is>
          <t>Own trucks</t>
        </is>
      </c>
      <c r="G556" s="5" t="n">
        <v>46254</v>
      </c>
      <c r="H556" s="5" t="n">
        <v>46255</v>
      </c>
      <c r="I556" s="5" t="n">
        <v>46255</v>
      </c>
      <c r="J556" s="10" t="inlineStr">
        <is>
          <t>11:00</t>
        </is>
      </c>
      <c r="K556" s="10" t="inlineStr">
        <is>
          <t>On time</t>
        </is>
      </c>
      <c r="L556" s="6" t="n">
        <v>0</v>
      </c>
      <c r="M556" s="10" t="n"/>
      <c r="N556" s="6" t="n">
        <v>2</v>
      </c>
      <c r="O556" s="6" t="n">
        <v>144</v>
      </c>
      <c r="P556" s="6" t="n">
        <v>1</v>
      </c>
      <c r="Q556" s="6">
        <f>IF(OR(K556="On time",K556="Late",K556="Very late"),1,0)</f>
        <v/>
      </c>
    </row>
    <row r="557">
      <c r="A557" s="10" t="inlineStr">
        <is>
          <t>DN318772</t>
        </is>
      </c>
      <c r="B557" s="10" t="inlineStr">
        <is>
          <t>SO62553</t>
        </is>
      </c>
      <c r="C557" s="10" t="inlineStr">
        <is>
          <t>C11264</t>
        </is>
      </c>
      <c r="D557" s="10">
        <f>INDEX(Customers!$B:$B,MATCH(C557,Customers!$A:$A,0))</f>
        <v/>
      </c>
      <c r="E557" s="10">
        <f>INDEX(Customers!$D:$D,MATCH(C557,Customers!$A:$A,0))</f>
        <v/>
      </c>
      <c r="F557" s="10" t="inlineStr">
        <is>
          <t>Own trucks</t>
        </is>
      </c>
      <c r="G557" s="5" t="n">
        <v>46254</v>
      </c>
      <c r="H557" s="5" t="n">
        <v>46255</v>
      </c>
      <c r="I557" s="5" t="n">
        <v>46255</v>
      </c>
      <c r="J557" s="10" t="inlineStr">
        <is>
          <t>11:00</t>
        </is>
      </c>
      <c r="K557" s="10" t="inlineStr">
        <is>
          <t>On time</t>
        </is>
      </c>
      <c r="L557" s="6" t="n">
        <v>0</v>
      </c>
      <c r="M557" s="10" t="n"/>
      <c r="N557" s="6" t="n">
        <v>33</v>
      </c>
      <c r="O557" s="6" t="n">
        <v>2970</v>
      </c>
      <c r="P557" s="6" t="n">
        <v>1</v>
      </c>
      <c r="Q557" s="6">
        <f>IF(OR(K557="On time",K557="Late",K557="Very late"),1,0)</f>
        <v/>
      </c>
    </row>
    <row r="558">
      <c r="A558" s="10" t="inlineStr">
        <is>
          <t>DN318773</t>
        </is>
      </c>
      <c r="B558" s="10" t="inlineStr">
        <is>
          <t>SO62554</t>
        </is>
      </c>
      <c r="C558" s="10" t="inlineStr">
        <is>
          <t>C11314</t>
        </is>
      </c>
      <c r="D558" s="10">
        <f>INDEX(Customers!$B:$B,MATCH(C558,Customers!$A:$A,0))</f>
        <v/>
      </c>
      <c r="E558" s="10">
        <f>INDEX(Customers!$D:$D,MATCH(C558,Customers!$A:$A,0))</f>
        <v/>
      </c>
      <c r="F558" s="10" t="inlineStr">
        <is>
          <t>Own trucks</t>
        </is>
      </c>
      <c r="G558" s="5" t="n">
        <v>46254</v>
      </c>
      <c r="H558" s="5" t="n">
        <v>46255</v>
      </c>
      <c r="I558" s="5" t="n">
        <v>46255</v>
      </c>
      <c r="J558" s="10" t="inlineStr">
        <is>
          <t>11:00</t>
        </is>
      </c>
      <c r="K558" s="10" t="inlineStr">
        <is>
          <t>On time</t>
        </is>
      </c>
      <c r="L558" s="6" t="n">
        <v>0</v>
      </c>
      <c r="M558" s="10" t="n"/>
      <c r="N558" s="6" t="n">
        <v>22</v>
      </c>
      <c r="O558" s="6" t="n">
        <v>1276</v>
      </c>
      <c r="P558" s="6" t="n">
        <v>1</v>
      </c>
      <c r="Q558" s="6">
        <f>IF(OR(K558="On time",K558="Late",K558="Very late"),1,0)</f>
        <v/>
      </c>
    </row>
    <row r="559">
      <c r="A559" s="10" t="inlineStr">
        <is>
          <t>DN318774</t>
        </is>
      </c>
      <c r="B559" s="10" t="inlineStr">
        <is>
          <t>SO62555</t>
        </is>
      </c>
      <c r="C559" s="10" t="inlineStr">
        <is>
          <t>C11333</t>
        </is>
      </c>
      <c r="D559" s="10">
        <f>INDEX(Customers!$B:$B,MATCH(C559,Customers!$A:$A,0))</f>
        <v/>
      </c>
      <c r="E559" s="10">
        <f>INDEX(Customers!$D:$D,MATCH(C559,Customers!$A:$A,0))</f>
        <v/>
      </c>
      <c r="F559" s="10" t="inlineStr">
        <is>
          <t>Own trucks</t>
        </is>
      </c>
      <c r="G559" s="5" t="n">
        <v>46254</v>
      </c>
      <c r="H559" s="5" t="n">
        <v>46255</v>
      </c>
      <c r="I559" s="5" t="n">
        <v>46258</v>
      </c>
      <c r="J559" s="10" t="inlineStr">
        <is>
          <t>08:50</t>
        </is>
      </c>
      <c r="K559" s="10" t="inlineStr">
        <is>
          <t>Late</t>
        </is>
      </c>
      <c r="L559" s="6" t="n">
        <v>1</v>
      </c>
      <c r="M559" s="10" t="inlineStr">
        <is>
          <t>Carrier delay</t>
        </is>
      </c>
      <c r="N559" s="6" t="n">
        <v>31</v>
      </c>
      <c r="O559" s="6" t="n">
        <v>3317</v>
      </c>
      <c r="P559" s="6" t="n">
        <v>1</v>
      </c>
      <c r="Q559" s="6">
        <f>IF(OR(K559="On time",K559="Late",K559="Very late"),1,0)</f>
        <v/>
      </c>
    </row>
    <row r="560">
      <c r="A560" s="10" t="inlineStr">
        <is>
          <t>DN318775</t>
        </is>
      </c>
      <c r="B560" s="10" t="inlineStr">
        <is>
          <t>SO62556</t>
        </is>
      </c>
      <c r="C560" s="10" t="inlineStr">
        <is>
          <t>C11616</t>
        </is>
      </c>
      <c r="D560" s="10">
        <f>INDEX(Customers!$B:$B,MATCH(C560,Customers!$A:$A,0))</f>
        <v/>
      </c>
      <c r="E560" s="10">
        <f>INDEX(Customers!$D:$D,MATCH(C560,Customers!$A:$A,0))</f>
        <v/>
      </c>
      <c r="F560" s="10" t="inlineStr">
        <is>
          <t>Own trucks</t>
        </is>
      </c>
      <c r="G560" s="5" t="n">
        <v>46254</v>
      </c>
      <c r="H560" s="5" t="n">
        <v>46255</v>
      </c>
      <c r="I560" s="5" t="n">
        <v>46255</v>
      </c>
      <c r="J560" s="10" t="inlineStr">
        <is>
          <t>09:20</t>
        </is>
      </c>
      <c r="K560" s="10" t="inlineStr">
        <is>
          <t>On time</t>
        </is>
      </c>
      <c r="L560" s="6" t="n">
        <v>0</v>
      </c>
      <c r="M560" s="10" t="n"/>
      <c r="N560" s="6" t="n">
        <v>24</v>
      </c>
      <c r="O560" s="6" t="n">
        <v>1752</v>
      </c>
      <c r="P560" s="6" t="n">
        <v>1</v>
      </c>
      <c r="Q560" s="6">
        <f>IF(OR(K560="On time",K560="Late",K560="Very late"),1,0)</f>
        <v/>
      </c>
    </row>
    <row r="561">
      <c r="A561" s="10" t="inlineStr">
        <is>
          <t>DN318776</t>
        </is>
      </c>
      <c r="B561" s="10" t="inlineStr">
        <is>
          <t>SO62558</t>
        </is>
      </c>
      <c r="C561" s="10" t="inlineStr">
        <is>
          <t>C11666</t>
        </is>
      </c>
      <c r="D561" s="10">
        <f>INDEX(Customers!$B:$B,MATCH(C561,Customers!$A:$A,0))</f>
        <v/>
      </c>
      <c r="E561" s="10">
        <f>INDEX(Customers!$D:$D,MATCH(C561,Customers!$A:$A,0))</f>
        <v/>
      </c>
      <c r="F561" s="10" t="inlineStr">
        <is>
          <t>Own trucks</t>
        </is>
      </c>
      <c r="G561" s="5" t="n">
        <v>46254</v>
      </c>
      <c r="H561" s="5" t="n">
        <v>46255</v>
      </c>
      <c r="I561" s="5" t="n">
        <v>46255</v>
      </c>
      <c r="J561" s="10" t="inlineStr">
        <is>
          <t>11:00</t>
        </is>
      </c>
      <c r="K561" s="10" t="inlineStr">
        <is>
          <t>On time</t>
        </is>
      </c>
      <c r="L561" s="6" t="n">
        <v>0</v>
      </c>
      <c r="M561" s="10" t="n"/>
      <c r="N561" s="6" t="n">
        <v>28</v>
      </c>
      <c r="O561" s="6" t="n">
        <v>3472</v>
      </c>
      <c r="P561" s="6" t="n">
        <v>1</v>
      </c>
      <c r="Q561" s="6">
        <f>IF(OR(K561="On time",K561="Late",K561="Very late"),1,0)</f>
        <v/>
      </c>
    </row>
    <row r="562">
      <c r="A562" s="10" t="inlineStr">
        <is>
          <t>DN318777</t>
        </is>
      </c>
      <c r="B562" s="10" t="inlineStr">
        <is>
          <t>SO62560</t>
        </is>
      </c>
      <c r="C562" s="10" t="inlineStr">
        <is>
          <t>C11745</t>
        </is>
      </c>
      <c r="D562" s="10">
        <f>INDEX(Customers!$B:$B,MATCH(C562,Customers!$A:$A,0))</f>
        <v/>
      </c>
      <c r="E562" s="10">
        <f>INDEX(Customers!$D:$D,MATCH(C562,Customers!$A:$A,0))</f>
        <v/>
      </c>
      <c r="F562" s="10" t="inlineStr">
        <is>
          <t>Own trucks</t>
        </is>
      </c>
      <c r="G562" s="5" t="n">
        <v>46254</v>
      </c>
      <c r="H562" s="5" t="n">
        <v>46255</v>
      </c>
      <c r="I562" s="5" t="n">
        <v>46255</v>
      </c>
      <c r="J562" s="10" t="inlineStr">
        <is>
          <t>10:40</t>
        </is>
      </c>
      <c r="K562" s="10" t="inlineStr">
        <is>
          <t>On time</t>
        </is>
      </c>
      <c r="L562" s="6" t="n">
        <v>0</v>
      </c>
      <c r="M562" s="10" t="n"/>
      <c r="N562" s="6" t="n">
        <v>29</v>
      </c>
      <c r="O562" s="6" t="n">
        <v>2697</v>
      </c>
      <c r="P562" s="6" t="n">
        <v>1</v>
      </c>
      <c r="Q562" s="6">
        <f>IF(OR(K562="On time",K562="Late",K562="Very late"),1,0)</f>
        <v/>
      </c>
    </row>
    <row r="563">
      <c r="A563" s="10" t="inlineStr">
        <is>
          <t>DN318778</t>
        </is>
      </c>
      <c r="B563" s="10" t="inlineStr">
        <is>
          <t>SO62561</t>
        </is>
      </c>
      <c r="C563" s="10" t="inlineStr">
        <is>
          <t>C11798</t>
        </is>
      </c>
      <c r="D563" s="10">
        <f>INDEX(Customers!$B:$B,MATCH(C563,Customers!$A:$A,0))</f>
        <v/>
      </c>
      <c r="E563" s="10">
        <f>INDEX(Customers!$D:$D,MATCH(C563,Customers!$A:$A,0))</f>
        <v/>
      </c>
      <c r="F563" s="10" t="inlineStr">
        <is>
          <t>Carrier A</t>
        </is>
      </c>
      <c r="G563" s="5" t="n">
        <v>46254</v>
      </c>
      <c r="H563" s="5" t="n">
        <v>46255</v>
      </c>
      <c r="I563" s="5" t="n">
        <v>46255</v>
      </c>
      <c r="J563" s="10" t="inlineStr">
        <is>
          <t>09:40</t>
        </is>
      </c>
      <c r="K563" s="10" t="inlineStr">
        <is>
          <t>On time</t>
        </is>
      </c>
      <c r="L563" s="6" t="n">
        <v>0</v>
      </c>
      <c r="M563" s="10" t="n"/>
      <c r="N563" s="6" t="n">
        <v>22</v>
      </c>
      <c r="O563" s="6" t="n">
        <v>2970</v>
      </c>
      <c r="P563" s="6" t="n">
        <v>1</v>
      </c>
      <c r="Q563" s="6">
        <f>IF(OR(K563="On time",K563="Late",K563="Very late"),1,0)</f>
        <v/>
      </c>
    </row>
    <row r="564">
      <c r="A564" s="10" t="inlineStr">
        <is>
          <t>DN318779</t>
        </is>
      </c>
      <c r="B564" s="10" t="inlineStr">
        <is>
          <t>SO62563</t>
        </is>
      </c>
      <c r="C564" s="10" t="inlineStr">
        <is>
          <t>C11866</t>
        </is>
      </c>
      <c r="D564" s="10">
        <f>INDEX(Customers!$B:$B,MATCH(C564,Customers!$A:$A,0))</f>
        <v/>
      </c>
      <c r="E564" s="10">
        <f>INDEX(Customers!$D:$D,MATCH(C564,Customers!$A:$A,0))</f>
        <v/>
      </c>
      <c r="F564" s="10" t="inlineStr">
        <is>
          <t>Carrier A</t>
        </is>
      </c>
      <c r="G564" s="5" t="n">
        <v>46254</v>
      </c>
      <c r="H564" s="5" t="n">
        <v>46255</v>
      </c>
      <c r="I564" s="5" t="n">
        <v>46255</v>
      </c>
      <c r="J564" s="10" t="inlineStr">
        <is>
          <t>15:20</t>
        </is>
      </c>
      <c r="K564" s="10" t="inlineStr">
        <is>
          <t>On time</t>
        </is>
      </c>
      <c r="L564" s="6" t="n">
        <v>0</v>
      </c>
      <c r="M564" s="10" t="n"/>
      <c r="N564" s="6" t="n">
        <v>33</v>
      </c>
      <c r="O564" s="6" t="n">
        <v>2046</v>
      </c>
      <c r="P564" s="6" t="n">
        <v>1</v>
      </c>
      <c r="Q564" s="6">
        <f>IF(OR(K564="On time",K564="Late",K564="Very late"),1,0)</f>
        <v/>
      </c>
    </row>
    <row r="565">
      <c r="A565" s="10" t="inlineStr">
        <is>
          <t>DN318780</t>
        </is>
      </c>
      <c r="B565" s="10" t="inlineStr">
        <is>
          <t>SO62564</t>
        </is>
      </c>
      <c r="C565" s="10" t="inlineStr">
        <is>
          <t>C11950</t>
        </is>
      </c>
      <c r="D565" s="10">
        <f>INDEX(Customers!$B:$B,MATCH(C565,Customers!$A:$A,0))</f>
        <v/>
      </c>
      <c r="E565" s="10">
        <f>INDEX(Customers!$D:$D,MATCH(C565,Customers!$A:$A,0))</f>
        <v/>
      </c>
      <c r="F565" s="10" t="inlineStr">
        <is>
          <t>Carrier A</t>
        </is>
      </c>
      <c r="G565" s="5" t="n">
        <v>46254</v>
      </c>
      <c r="H565" s="5" t="n">
        <v>46255</v>
      </c>
      <c r="I565" s="5" t="n">
        <v>46255</v>
      </c>
      <c r="J565" s="10" t="inlineStr">
        <is>
          <t>09:20</t>
        </is>
      </c>
      <c r="K565" s="10" t="inlineStr">
        <is>
          <t>On time</t>
        </is>
      </c>
      <c r="L565" s="6" t="n">
        <v>0</v>
      </c>
      <c r="M565" s="10" t="n"/>
      <c r="N565" s="6" t="n">
        <v>23</v>
      </c>
      <c r="O565" s="6" t="n">
        <v>3174</v>
      </c>
      <c r="P565" s="6" t="n">
        <v>1</v>
      </c>
      <c r="Q565" s="6">
        <f>IF(OR(K565="On time",K565="Late",K565="Very late"),1,0)</f>
        <v/>
      </c>
    </row>
    <row r="566">
      <c r="A566" s="10" t="inlineStr">
        <is>
          <t>DN318781</t>
        </is>
      </c>
      <c r="B566" s="10" t="inlineStr">
        <is>
          <t>SO62565</t>
        </is>
      </c>
      <c r="C566" s="10" t="inlineStr">
        <is>
          <t>C11971</t>
        </is>
      </c>
      <c r="D566" s="10">
        <f>INDEX(Customers!$B:$B,MATCH(C566,Customers!$A:$A,0))</f>
        <v/>
      </c>
      <c r="E566" s="10">
        <f>INDEX(Customers!$D:$D,MATCH(C566,Customers!$A:$A,0))</f>
        <v/>
      </c>
      <c r="F566" s="10" t="inlineStr">
        <is>
          <t>Own trucks</t>
        </is>
      </c>
      <c r="G566" s="5" t="n">
        <v>46254</v>
      </c>
      <c r="H566" s="5" t="n">
        <v>46255</v>
      </c>
      <c r="I566" s="5" t="n">
        <v>46255</v>
      </c>
      <c r="J566" s="10" t="inlineStr">
        <is>
          <t>07:20</t>
        </is>
      </c>
      <c r="K566" s="10" t="inlineStr">
        <is>
          <t>On time</t>
        </is>
      </c>
      <c r="L566" s="6" t="n">
        <v>0</v>
      </c>
      <c r="M566" s="10" t="n"/>
      <c r="N566" s="6" t="n">
        <v>40</v>
      </c>
      <c r="O566" s="6" t="n">
        <v>4120</v>
      </c>
      <c r="P566" s="6" t="n">
        <v>1</v>
      </c>
      <c r="Q566" s="6">
        <f>IF(OR(K566="On time",K566="Late",K566="Very late"),1,0)</f>
        <v/>
      </c>
    </row>
    <row r="567">
      <c r="A567" s="10" t="inlineStr">
        <is>
          <t>DN318782</t>
        </is>
      </c>
      <c r="B567" s="10" t="inlineStr">
        <is>
          <t>SO62566</t>
        </is>
      </c>
      <c r="C567" s="10" t="inlineStr">
        <is>
          <t>C12103</t>
        </is>
      </c>
      <c r="D567" s="10">
        <f>INDEX(Customers!$B:$B,MATCH(C567,Customers!$A:$A,0))</f>
        <v/>
      </c>
      <c r="E567" s="10">
        <f>INDEX(Customers!$D:$D,MATCH(C567,Customers!$A:$A,0))</f>
        <v/>
      </c>
      <c r="F567" s="10" t="inlineStr">
        <is>
          <t>Own trucks</t>
        </is>
      </c>
      <c r="G567" s="5" t="n">
        <v>46254</v>
      </c>
      <c r="H567" s="5" t="n">
        <v>46255</v>
      </c>
      <c r="I567" s="5" t="n">
        <v>46255</v>
      </c>
      <c r="J567" s="10" t="inlineStr">
        <is>
          <t>12:00</t>
        </is>
      </c>
      <c r="K567" s="10" t="inlineStr">
        <is>
          <t>On time</t>
        </is>
      </c>
      <c r="L567" s="6" t="n">
        <v>0</v>
      </c>
      <c r="M567" s="10" t="n"/>
      <c r="N567" s="6" t="n">
        <v>24</v>
      </c>
      <c r="O567" s="6" t="n">
        <v>1536</v>
      </c>
      <c r="P567" s="6" t="n">
        <v>1</v>
      </c>
      <c r="Q567" s="6">
        <f>IF(OR(K567="On time",K567="Late",K567="Very late"),1,0)</f>
        <v/>
      </c>
    </row>
    <row r="568">
      <c r="A568" s="10" t="inlineStr">
        <is>
          <t>DN318783</t>
        </is>
      </c>
      <c r="B568" s="10" t="inlineStr">
        <is>
          <t>SO62567</t>
        </is>
      </c>
      <c r="C568" s="10" t="inlineStr">
        <is>
          <t>C12239</t>
        </is>
      </c>
      <c r="D568" s="10">
        <f>INDEX(Customers!$B:$B,MATCH(C568,Customers!$A:$A,0))</f>
        <v/>
      </c>
      <c r="E568" s="10">
        <f>INDEX(Customers!$D:$D,MATCH(C568,Customers!$A:$A,0))</f>
        <v/>
      </c>
      <c r="F568" s="10" t="inlineStr">
        <is>
          <t>Carrier B</t>
        </is>
      </c>
      <c r="G568" s="5" t="n">
        <v>46254</v>
      </c>
      <c r="H568" s="5" t="n">
        <v>46255</v>
      </c>
      <c r="I568" s="5" t="n">
        <v>46255</v>
      </c>
      <c r="J568" s="10" t="inlineStr">
        <is>
          <t>12:50</t>
        </is>
      </c>
      <c r="K568" s="10" t="inlineStr">
        <is>
          <t>On time</t>
        </is>
      </c>
      <c r="L568" s="6" t="n">
        <v>0</v>
      </c>
      <c r="M568" s="10" t="n"/>
      <c r="N568" s="6" t="n">
        <v>38</v>
      </c>
      <c r="O568" s="6" t="n">
        <v>3154</v>
      </c>
      <c r="P568" s="6" t="n">
        <v>1</v>
      </c>
      <c r="Q568" s="6">
        <f>IF(OR(K568="On time",K568="Late",K568="Very late"),1,0)</f>
        <v/>
      </c>
    </row>
    <row r="569">
      <c r="A569" s="10" t="inlineStr">
        <is>
          <t>DN318784</t>
        </is>
      </c>
      <c r="B569" s="10" t="inlineStr">
        <is>
          <t>SO62568</t>
        </is>
      </c>
      <c r="C569" s="10" t="inlineStr">
        <is>
          <t>C12305</t>
        </is>
      </c>
      <c r="D569" s="10">
        <f>INDEX(Customers!$B:$B,MATCH(C569,Customers!$A:$A,0))</f>
        <v/>
      </c>
      <c r="E569" s="10">
        <f>INDEX(Customers!$D:$D,MATCH(C569,Customers!$A:$A,0))</f>
        <v/>
      </c>
      <c r="F569" s="10" t="inlineStr">
        <is>
          <t>Carrier B</t>
        </is>
      </c>
      <c r="G569" s="5" t="n">
        <v>46254</v>
      </c>
      <c r="H569" s="5" t="n">
        <v>46255</v>
      </c>
      <c r="I569" s="5" t="n">
        <v>46255</v>
      </c>
      <c r="J569" s="10" t="inlineStr">
        <is>
          <t>08:50</t>
        </is>
      </c>
      <c r="K569" s="10" t="inlineStr">
        <is>
          <t>On time</t>
        </is>
      </c>
      <c r="L569" s="6" t="n">
        <v>0</v>
      </c>
      <c r="M569" s="10" t="n"/>
      <c r="N569" s="6" t="n">
        <v>36</v>
      </c>
      <c r="O569" s="6" t="n">
        <v>3024</v>
      </c>
      <c r="P569" s="6" t="n">
        <v>1</v>
      </c>
      <c r="Q569" s="6">
        <f>IF(OR(K569="On time",K569="Late",K569="Very late"),1,0)</f>
        <v/>
      </c>
    </row>
    <row r="570">
      <c r="A570" s="10" t="inlineStr">
        <is>
          <t>DN318785</t>
        </is>
      </c>
      <c r="B570" s="10" t="inlineStr">
        <is>
          <t>SO62570</t>
        </is>
      </c>
      <c r="C570" s="10" t="inlineStr">
        <is>
          <t>C12365</t>
        </is>
      </c>
      <c r="D570" s="10">
        <f>INDEX(Customers!$B:$B,MATCH(C570,Customers!$A:$A,0))</f>
        <v/>
      </c>
      <c r="E570" s="10">
        <f>INDEX(Customers!$D:$D,MATCH(C570,Customers!$A:$A,0))</f>
        <v/>
      </c>
      <c r="F570" s="10" t="inlineStr">
        <is>
          <t>Carrier B</t>
        </is>
      </c>
      <c r="G570" s="5" t="n">
        <v>46254</v>
      </c>
      <c r="H570" s="5" t="n">
        <v>46255</v>
      </c>
      <c r="I570" s="5" t="n">
        <v>46255</v>
      </c>
      <c r="J570" s="10" t="inlineStr">
        <is>
          <t>09:10</t>
        </is>
      </c>
      <c r="K570" s="10" t="inlineStr">
        <is>
          <t>On time</t>
        </is>
      </c>
      <c r="L570" s="6" t="n">
        <v>0</v>
      </c>
      <c r="M570" s="10" t="n"/>
      <c r="N570" s="6" t="n">
        <v>34</v>
      </c>
      <c r="O570" s="6" t="n">
        <v>3842</v>
      </c>
      <c r="P570" s="6" t="n">
        <v>1</v>
      </c>
      <c r="Q570" s="6">
        <f>IF(OR(K570="On time",K570="Late",K570="Very late"),1,0)</f>
        <v/>
      </c>
    </row>
    <row r="571">
      <c r="A571" s="10" t="inlineStr">
        <is>
          <t>DN318786</t>
        </is>
      </c>
      <c r="B571" s="10" t="inlineStr">
        <is>
          <t>SO62571</t>
        </is>
      </c>
      <c r="C571" s="10" t="inlineStr">
        <is>
          <t>C12389</t>
        </is>
      </c>
      <c r="D571" s="10">
        <f>INDEX(Customers!$B:$B,MATCH(C571,Customers!$A:$A,0))</f>
        <v/>
      </c>
      <c r="E571" s="10">
        <f>INDEX(Customers!$D:$D,MATCH(C571,Customers!$A:$A,0))</f>
        <v/>
      </c>
      <c r="F571" s="10" t="inlineStr">
        <is>
          <t>Carrier A</t>
        </is>
      </c>
      <c r="G571" s="5" t="n">
        <v>46254</v>
      </c>
      <c r="H571" s="5" t="n">
        <v>46255</v>
      </c>
      <c r="I571" s="5" t="n">
        <v>46255</v>
      </c>
      <c r="J571" s="10" t="inlineStr">
        <is>
          <t>12:20</t>
        </is>
      </c>
      <c r="K571" s="10" t="inlineStr">
        <is>
          <t>On time</t>
        </is>
      </c>
      <c r="L571" s="6" t="n">
        <v>0</v>
      </c>
      <c r="M571" s="10" t="n"/>
      <c r="N571" s="6" t="n">
        <v>16</v>
      </c>
      <c r="O571" s="6" t="n">
        <v>1504</v>
      </c>
      <c r="P571" s="6" t="n">
        <v>1</v>
      </c>
      <c r="Q571" s="6">
        <f>IF(OR(K571="On time",K571="Late",K571="Very late"),1,0)</f>
        <v/>
      </c>
    </row>
    <row r="572">
      <c r="A572" s="10" t="inlineStr">
        <is>
          <t>DN318787</t>
        </is>
      </c>
      <c r="B572" s="10" t="inlineStr">
        <is>
          <t>SO62573</t>
        </is>
      </c>
      <c r="C572" s="10" t="inlineStr">
        <is>
          <t>C12393</t>
        </is>
      </c>
      <c r="D572" s="10">
        <f>INDEX(Customers!$B:$B,MATCH(C572,Customers!$A:$A,0))</f>
        <v/>
      </c>
      <c r="E572" s="10">
        <f>INDEX(Customers!$D:$D,MATCH(C572,Customers!$A:$A,0))</f>
        <v/>
      </c>
      <c r="F572" s="10" t="inlineStr">
        <is>
          <t>Carrier A</t>
        </is>
      </c>
      <c r="G572" s="5" t="n">
        <v>46254</v>
      </c>
      <c r="H572" s="5" t="n">
        <v>46255</v>
      </c>
      <c r="I572" s="5" t="n">
        <v>46255</v>
      </c>
      <c r="J572" s="10" t="inlineStr">
        <is>
          <t>12:50</t>
        </is>
      </c>
      <c r="K572" s="10" t="inlineStr">
        <is>
          <t>On time</t>
        </is>
      </c>
      <c r="L572" s="6" t="n">
        <v>0</v>
      </c>
      <c r="M572" s="10" t="n"/>
      <c r="N572" s="6" t="n">
        <v>4</v>
      </c>
      <c r="O572" s="6" t="n">
        <v>308</v>
      </c>
      <c r="P572" s="6" t="n">
        <v>1</v>
      </c>
      <c r="Q572" s="6">
        <f>IF(OR(K572="On time",K572="Late",K572="Very late"),1,0)</f>
        <v/>
      </c>
    </row>
    <row r="573">
      <c r="A573" s="10" t="inlineStr">
        <is>
          <t>DN318788</t>
        </is>
      </c>
      <c r="B573" s="10" t="inlineStr">
        <is>
          <t>SO62574</t>
        </is>
      </c>
      <c r="C573" s="10" t="inlineStr">
        <is>
          <t>C12420</t>
        </is>
      </c>
      <c r="D573" s="10">
        <f>INDEX(Customers!$B:$B,MATCH(C573,Customers!$A:$A,0))</f>
        <v/>
      </c>
      <c r="E573" s="10">
        <f>INDEX(Customers!$D:$D,MATCH(C573,Customers!$A:$A,0))</f>
        <v/>
      </c>
      <c r="F573" s="10" t="inlineStr">
        <is>
          <t>Carrier A</t>
        </is>
      </c>
      <c r="G573" s="5" t="n">
        <v>46254</v>
      </c>
      <c r="H573" s="5" t="n">
        <v>46255</v>
      </c>
      <c r="I573" s="5" t="n">
        <v>46255</v>
      </c>
      <c r="J573" s="10" t="inlineStr">
        <is>
          <t>14:50</t>
        </is>
      </c>
      <c r="K573" s="10" t="inlineStr">
        <is>
          <t>On time</t>
        </is>
      </c>
      <c r="L573" s="6" t="n">
        <v>0</v>
      </c>
      <c r="M573" s="10" t="n"/>
      <c r="N573" s="6" t="n">
        <v>30</v>
      </c>
      <c r="O573" s="6" t="n">
        <v>3870</v>
      </c>
      <c r="P573" s="6" t="n">
        <v>1</v>
      </c>
      <c r="Q573" s="6">
        <f>IF(OR(K573="On time",K573="Late",K573="Very late"),1,0)</f>
        <v/>
      </c>
    </row>
    <row r="574">
      <c r="A574" s="10" t="inlineStr">
        <is>
          <t>DN318789</t>
        </is>
      </c>
      <c r="B574" s="10" t="inlineStr">
        <is>
          <t>SO62575</t>
        </is>
      </c>
      <c r="C574" s="10" t="inlineStr">
        <is>
          <t>C12490</t>
        </is>
      </c>
      <c r="D574" s="10">
        <f>INDEX(Customers!$B:$B,MATCH(C574,Customers!$A:$A,0))</f>
        <v/>
      </c>
      <c r="E574" s="10">
        <f>INDEX(Customers!$D:$D,MATCH(C574,Customers!$A:$A,0))</f>
        <v/>
      </c>
      <c r="F574" s="10" t="inlineStr">
        <is>
          <t>Carrier A</t>
        </is>
      </c>
      <c r="G574" s="5" t="n">
        <v>46254</v>
      </c>
      <c r="H574" s="5" t="n">
        <v>46255</v>
      </c>
      <c r="I574" s="5" t="n">
        <v>46255</v>
      </c>
      <c r="J574" s="10" t="inlineStr">
        <is>
          <t>12:50</t>
        </is>
      </c>
      <c r="K574" s="10" t="inlineStr">
        <is>
          <t>On time</t>
        </is>
      </c>
      <c r="L574" s="6" t="n">
        <v>0</v>
      </c>
      <c r="M574" s="10" t="n"/>
      <c r="N574" s="6" t="n">
        <v>25</v>
      </c>
      <c r="O574" s="6" t="n">
        <v>2300</v>
      </c>
      <c r="P574" s="6" t="n">
        <v>1</v>
      </c>
      <c r="Q574" s="6">
        <f>IF(OR(K574="On time",K574="Late",K574="Very late"),1,0)</f>
        <v/>
      </c>
    </row>
    <row r="575">
      <c r="A575" s="10" t="inlineStr">
        <is>
          <t>DN318791</t>
        </is>
      </c>
      <c r="B575" s="10" t="inlineStr">
        <is>
          <t>SO62577</t>
        </is>
      </c>
      <c r="C575" s="10" t="inlineStr">
        <is>
          <t>C12527</t>
        </is>
      </c>
      <c r="D575" s="10">
        <f>INDEX(Customers!$B:$B,MATCH(C575,Customers!$A:$A,0))</f>
        <v/>
      </c>
      <c r="E575" s="10">
        <f>INDEX(Customers!$D:$D,MATCH(C575,Customers!$A:$A,0))</f>
        <v/>
      </c>
      <c r="F575" s="10" t="inlineStr">
        <is>
          <t>Carrier A</t>
        </is>
      </c>
      <c r="G575" s="5" t="n">
        <v>46254</v>
      </c>
      <c r="H575" s="5" t="n">
        <v>46255</v>
      </c>
      <c r="I575" s="5" t="n">
        <v>46255</v>
      </c>
      <c r="J575" s="10" t="inlineStr">
        <is>
          <t>12:30</t>
        </is>
      </c>
      <c r="K575" s="10" t="inlineStr">
        <is>
          <t>On time</t>
        </is>
      </c>
      <c r="L575" s="6" t="n">
        <v>0</v>
      </c>
      <c r="M575" s="10" t="n"/>
      <c r="N575" s="6" t="n">
        <v>31</v>
      </c>
      <c r="O575" s="6" t="n">
        <v>2232</v>
      </c>
      <c r="P575" s="6" t="n">
        <v>1</v>
      </c>
      <c r="Q575" s="6">
        <f>IF(OR(K575="On time",K575="Late",K575="Very late"),1,0)</f>
        <v/>
      </c>
    </row>
    <row r="576">
      <c r="A576" s="10" t="inlineStr">
        <is>
          <t>DN318792</t>
        </is>
      </c>
      <c r="B576" s="10" t="inlineStr">
        <is>
          <t>SO62578</t>
        </is>
      </c>
      <c r="C576" s="10" t="inlineStr">
        <is>
          <t>C12543</t>
        </is>
      </c>
      <c r="D576" s="10">
        <f>INDEX(Customers!$B:$B,MATCH(C576,Customers!$A:$A,0))</f>
        <v/>
      </c>
      <c r="E576" s="10">
        <f>INDEX(Customers!$D:$D,MATCH(C576,Customers!$A:$A,0))</f>
        <v/>
      </c>
      <c r="F576" s="10" t="inlineStr">
        <is>
          <t>Carrier B</t>
        </is>
      </c>
      <c r="G576" s="5" t="n">
        <v>46253</v>
      </c>
      <c r="H576" s="5" t="n">
        <v>46255</v>
      </c>
      <c r="I576" s="5" t="n">
        <v>46255</v>
      </c>
      <c r="J576" s="10" t="inlineStr">
        <is>
          <t>14:00</t>
        </is>
      </c>
      <c r="K576" s="10" t="inlineStr">
        <is>
          <t>On time</t>
        </is>
      </c>
      <c r="L576" s="6" t="n">
        <v>0</v>
      </c>
      <c r="M576" s="10" t="n"/>
      <c r="N576" s="6" t="n">
        <v>6</v>
      </c>
      <c r="O576" s="6" t="n">
        <v>426</v>
      </c>
      <c r="P576" s="6" t="n">
        <v>1</v>
      </c>
      <c r="Q576" s="6">
        <f>IF(OR(K576="On time",K576="Late",K576="Very late"),1,0)</f>
        <v/>
      </c>
    </row>
    <row r="577">
      <c r="A577" s="10" t="inlineStr">
        <is>
          <t>DN318793</t>
        </is>
      </c>
      <c r="B577" s="10" t="inlineStr">
        <is>
          <t>SO62579</t>
        </is>
      </c>
      <c r="C577" s="10" t="inlineStr">
        <is>
          <t>C12617</t>
        </is>
      </c>
      <c r="D577" s="10">
        <f>INDEX(Customers!$B:$B,MATCH(C577,Customers!$A:$A,0))</f>
        <v/>
      </c>
      <c r="E577" s="10">
        <f>INDEX(Customers!$D:$D,MATCH(C577,Customers!$A:$A,0))</f>
        <v/>
      </c>
      <c r="F577" s="10" t="inlineStr">
        <is>
          <t>Carrier B</t>
        </is>
      </c>
      <c r="G577" s="5" t="n">
        <v>46253</v>
      </c>
      <c r="H577" s="5" t="n">
        <v>46255</v>
      </c>
      <c r="I577" s="5" t="n">
        <v>46255</v>
      </c>
      <c r="J577" s="10" t="inlineStr">
        <is>
          <t>16:10</t>
        </is>
      </c>
      <c r="K577" s="10" t="inlineStr">
        <is>
          <t>On time</t>
        </is>
      </c>
      <c r="L577" s="6" t="n">
        <v>0</v>
      </c>
      <c r="M577" s="10" t="n"/>
      <c r="N577" s="6" t="n">
        <v>14</v>
      </c>
      <c r="O577" s="6" t="n">
        <v>1330</v>
      </c>
      <c r="P577" s="6" t="n">
        <v>1</v>
      </c>
      <c r="Q577" s="6">
        <f>IF(OR(K577="On time",K577="Late",K577="Very late"),1,0)</f>
        <v/>
      </c>
    </row>
    <row r="578">
      <c r="A578" s="10" t="inlineStr">
        <is>
          <t>DN318794</t>
        </is>
      </c>
      <c r="B578" s="10" t="inlineStr">
        <is>
          <t>SO62581</t>
        </is>
      </c>
      <c r="C578" s="10" t="inlineStr">
        <is>
          <t>C12639</t>
        </is>
      </c>
      <c r="D578" s="10">
        <f>INDEX(Customers!$B:$B,MATCH(C578,Customers!$A:$A,0))</f>
        <v/>
      </c>
      <c r="E578" s="10">
        <f>INDEX(Customers!$D:$D,MATCH(C578,Customers!$A:$A,0))</f>
        <v/>
      </c>
      <c r="F578" s="10" t="inlineStr">
        <is>
          <t>Carrier B</t>
        </is>
      </c>
      <c r="G578" s="5" t="n">
        <v>46253</v>
      </c>
      <c r="H578" s="5" t="n">
        <v>46255</v>
      </c>
      <c r="I578" s="5" t="n">
        <v>46255</v>
      </c>
      <c r="J578" s="10" t="inlineStr">
        <is>
          <t>13:20</t>
        </is>
      </c>
      <c r="K578" s="10" t="inlineStr">
        <is>
          <t>On time</t>
        </is>
      </c>
      <c r="L578" s="6" t="n">
        <v>0</v>
      </c>
      <c r="M578" s="10" t="n"/>
      <c r="N578" s="6" t="n">
        <v>3</v>
      </c>
      <c r="O578" s="6" t="n">
        <v>183</v>
      </c>
      <c r="P578" s="6" t="n">
        <v>1</v>
      </c>
      <c r="Q578" s="6">
        <f>IF(OR(K578="On time",K578="Late",K578="Very late"),1,0)</f>
        <v/>
      </c>
    </row>
    <row r="579">
      <c r="A579" s="10" t="inlineStr">
        <is>
          <t>DN318795</t>
        </is>
      </c>
      <c r="B579" s="10" t="inlineStr">
        <is>
          <t>SO62582</t>
        </is>
      </c>
      <c r="C579" s="10" t="inlineStr">
        <is>
          <t>C12675</t>
        </is>
      </c>
      <c r="D579" s="10">
        <f>INDEX(Customers!$B:$B,MATCH(C579,Customers!$A:$A,0))</f>
        <v/>
      </c>
      <c r="E579" s="10">
        <f>INDEX(Customers!$D:$D,MATCH(C579,Customers!$A:$A,0))</f>
        <v/>
      </c>
      <c r="F579" s="10" t="inlineStr">
        <is>
          <t>Carrier B</t>
        </is>
      </c>
      <c r="G579" s="5" t="n">
        <v>46253</v>
      </c>
      <c r="H579" s="5" t="n">
        <v>46255</v>
      </c>
      <c r="I579" s="5" t="n">
        <v>46255</v>
      </c>
      <c r="J579" s="10" t="inlineStr">
        <is>
          <t>13:40</t>
        </is>
      </c>
      <c r="K579" s="10" t="inlineStr">
        <is>
          <t>On time</t>
        </is>
      </c>
      <c r="L579" s="6" t="n">
        <v>0</v>
      </c>
      <c r="M579" s="10" t="n"/>
      <c r="N579" s="6" t="n">
        <v>40</v>
      </c>
      <c r="O579" s="6" t="n">
        <v>5040</v>
      </c>
      <c r="P579" s="6" t="n">
        <v>1</v>
      </c>
      <c r="Q579" s="6">
        <f>IF(OR(K579="On time",K579="Late",K579="Very late"),1,0)</f>
        <v/>
      </c>
    </row>
    <row r="580">
      <c r="A580" s="10" t="inlineStr">
        <is>
          <t>DN318796</t>
        </is>
      </c>
      <c r="B580" s="10" t="inlineStr">
        <is>
          <t>SO62584</t>
        </is>
      </c>
      <c r="C580" s="10" t="inlineStr">
        <is>
          <t>C10322</t>
        </is>
      </c>
      <c r="D580" s="10">
        <f>INDEX(Customers!$B:$B,MATCH(C580,Customers!$A:$A,0))</f>
        <v/>
      </c>
      <c r="E580" s="10">
        <f>INDEX(Customers!$D:$D,MATCH(C580,Customers!$A:$A,0))</f>
        <v/>
      </c>
      <c r="F580" s="10" t="inlineStr">
        <is>
          <t>Own trucks</t>
        </is>
      </c>
      <c r="G580" s="5" t="n">
        <v>46255</v>
      </c>
      <c r="H580" s="5" t="n">
        <v>46258</v>
      </c>
      <c r="I580" s="5" t="n">
        <v>46259</v>
      </c>
      <c r="J580" s="10" t="inlineStr">
        <is>
          <t>10:00</t>
        </is>
      </c>
      <c r="K580" s="10" t="inlineStr">
        <is>
          <t>Late</t>
        </is>
      </c>
      <c r="L580" s="6" t="n">
        <v>1</v>
      </c>
      <c r="M580" s="10" t="inlineStr">
        <is>
          <t>Customer closed (failed attempt)</t>
        </is>
      </c>
      <c r="N580" s="6" t="n">
        <v>23</v>
      </c>
      <c r="O580" s="6" t="n">
        <v>1955</v>
      </c>
      <c r="P580" s="6" t="n">
        <v>1</v>
      </c>
      <c r="Q580" s="6">
        <f>IF(OR(K580="On time",K580="Late",K580="Very late"),1,0)</f>
        <v/>
      </c>
    </row>
    <row r="581">
      <c r="A581" s="10" t="inlineStr">
        <is>
          <t>DN318797</t>
        </is>
      </c>
      <c r="B581" s="10" t="inlineStr">
        <is>
          <t>SO62585</t>
        </is>
      </c>
      <c r="C581" s="10" t="inlineStr">
        <is>
          <t>C10343</t>
        </is>
      </c>
      <c r="D581" s="10">
        <f>INDEX(Customers!$B:$B,MATCH(C581,Customers!$A:$A,0))</f>
        <v/>
      </c>
      <c r="E581" s="10">
        <f>INDEX(Customers!$D:$D,MATCH(C581,Customers!$A:$A,0))</f>
        <v/>
      </c>
      <c r="F581" s="10" t="inlineStr">
        <is>
          <t>Same-day courier</t>
        </is>
      </c>
      <c r="G581" s="5" t="n">
        <v>46255</v>
      </c>
      <c r="H581" s="5" t="n">
        <v>46258</v>
      </c>
      <c r="I581" s="5" t="n">
        <v>46258</v>
      </c>
      <c r="J581" s="10" t="inlineStr">
        <is>
          <t>08:30</t>
        </is>
      </c>
      <c r="K581" s="10" t="inlineStr">
        <is>
          <t>On time</t>
        </is>
      </c>
      <c r="L581" s="6" t="n">
        <v>0</v>
      </c>
      <c r="M581" s="10" t="n"/>
      <c r="N581" s="6" t="n">
        <v>36</v>
      </c>
      <c r="O581" s="6" t="n">
        <v>3888</v>
      </c>
      <c r="P581" s="6" t="n">
        <v>1</v>
      </c>
      <c r="Q581" s="6">
        <f>IF(OR(K581="On time",K581="Late",K581="Very late"),1,0)</f>
        <v/>
      </c>
    </row>
    <row r="582">
      <c r="A582" s="10" t="inlineStr">
        <is>
          <t>DN318798</t>
        </is>
      </c>
      <c r="B582" s="10" t="inlineStr">
        <is>
          <t>SO62586</t>
        </is>
      </c>
      <c r="C582" s="10" t="inlineStr">
        <is>
          <t>C10446</t>
        </is>
      </c>
      <c r="D582" s="10">
        <f>INDEX(Customers!$B:$B,MATCH(C582,Customers!$A:$A,0))</f>
        <v/>
      </c>
      <c r="E582" s="10">
        <f>INDEX(Customers!$D:$D,MATCH(C582,Customers!$A:$A,0))</f>
        <v/>
      </c>
      <c r="F582" s="10" t="inlineStr">
        <is>
          <t>Same-day courier</t>
        </is>
      </c>
      <c r="G582" s="5" t="n">
        <v>46255</v>
      </c>
      <c r="H582" s="5" t="n">
        <v>46258</v>
      </c>
      <c r="I582" s="5" t="n">
        <v>46258</v>
      </c>
      <c r="J582" s="10" t="inlineStr">
        <is>
          <t>13:10</t>
        </is>
      </c>
      <c r="K582" s="10" t="inlineStr">
        <is>
          <t>On time</t>
        </is>
      </c>
      <c r="L582" s="6" t="n">
        <v>0</v>
      </c>
      <c r="M582" s="10" t="n"/>
      <c r="N582" s="6" t="n">
        <v>14</v>
      </c>
      <c r="O582" s="6" t="n">
        <v>1204</v>
      </c>
      <c r="P582" s="6" t="n">
        <v>1</v>
      </c>
      <c r="Q582" s="6">
        <f>IF(OR(K582="On time",K582="Late",K582="Very late"),1,0)</f>
        <v/>
      </c>
    </row>
    <row r="583">
      <c r="A583" s="10" t="inlineStr">
        <is>
          <t>DN318799</t>
        </is>
      </c>
      <c r="B583" s="10" t="inlineStr">
        <is>
          <t>SO62587</t>
        </is>
      </c>
      <c r="C583" s="10" t="inlineStr">
        <is>
          <t>C10515</t>
        </is>
      </c>
      <c r="D583" s="10">
        <f>INDEX(Customers!$B:$B,MATCH(C583,Customers!$A:$A,0))</f>
        <v/>
      </c>
      <c r="E583" s="10">
        <f>INDEX(Customers!$D:$D,MATCH(C583,Customers!$A:$A,0))</f>
        <v/>
      </c>
      <c r="F583" s="10" t="inlineStr">
        <is>
          <t>Same-day courier</t>
        </is>
      </c>
      <c r="G583" s="5" t="n">
        <v>46255</v>
      </c>
      <c r="H583" s="5" t="n">
        <v>46258</v>
      </c>
      <c r="I583" s="5" t="n">
        <v>46258</v>
      </c>
      <c r="J583" s="10" t="inlineStr">
        <is>
          <t>14:10</t>
        </is>
      </c>
      <c r="K583" s="10" t="inlineStr">
        <is>
          <t>On time</t>
        </is>
      </c>
      <c r="L583" s="6" t="n">
        <v>0</v>
      </c>
      <c r="M583" s="10" t="n"/>
      <c r="N583" s="6" t="n">
        <v>4</v>
      </c>
      <c r="O583" s="6" t="n">
        <v>316</v>
      </c>
      <c r="P583" s="6" t="n">
        <v>0</v>
      </c>
      <c r="Q583" s="6">
        <f>IF(OR(K583="On time",K583="Late",K583="Very late"),1,0)</f>
        <v/>
      </c>
    </row>
    <row r="584">
      <c r="A584" s="10" t="inlineStr">
        <is>
          <t>DN318800</t>
        </is>
      </c>
      <c r="B584" s="10" t="inlineStr">
        <is>
          <t>SO62589</t>
        </is>
      </c>
      <c r="C584" s="10" t="inlineStr">
        <is>
          <t>C10522</t>
        </is>
      </c>
      <c r="D584" s="10">
        <f>INDEX(Customers!$B:$B,MATCH(C584,Customers!$A:$A,0))</f>
        <v/>
      </c>
      <c r="E584" s="10">
        <f>INDEX(Customers!$D:$D,MATCH(C584,Customers!$A:$A,0))</f>
        <v/>
      </c>
      <c r="F584" s="10" t="inlineStr">
        <is>
          <t>Same-day courier</t>
        </is>
      </c>
      <c r="G584" s="5" t="n">
        <v>46255</v>
      </c>
      <c r="H584" s="5" t="n">
        <v>46258</v>
      </c>
      <c r="I584" s="5" t="n">
        <v>46258</v>
      </c>
      <c r="J584" s="10" t="inlineStr">
        <is>
          <t>07:40</t>
        </is>
      </c>
      <c r="K584" s="10" t="inlineStr">
        <is>
          <t>On time</t>
        </is>
      </c>
      <c r="L584" s="6" t="n">
        <v>0</v>
      </c>
      <c r="M584" s="10" t="n"/>
      <c r="N584" s="6" t="n">
        <v>30</v>
      </c>
      <c r="O584" s="6" t="n">
        <v>2730</v>
      </c>
      <c r="P584" s="6" t="n">
        <v>0</v>
      </c>
      <c r="Q584" s="6">
        <f>IF(OR(K584="On time",K584="Late",K584="Very late"),1,0)</f>
        <v/>
      </c>
    </row>
    <row r="585">
      <c r="A585" s="10" t="inlineStr">
        <is>
          <t>DN318801</t>
        </is>
      </c>
      <c r="B585" s="10" t="inlineStr">
        <is>
          <t>SO62590</t>
        </is>
      </c>
      <c r="C585" s="10" t="inlineStr">
        <is>
          <t>C10536</t>
        </is>
      </c>
      <c r="D585" s="10">
        <f>INDEX(Customers!$B:$B,MATCH(C585,Customers!$A:$A,0))</f>
        <v/>
      </c>
      <c r="E585" s="10">
        <f>INDEX(Customers!$D:$D,MATCH(C585,Customers!$A:$A,0))</f>
        <v/>
      </c>
      <c r="F585" s="10" t="inlineStr">
        <is>
          <t>Own trucks</t>
        </is>
      </c>
      <c r="G585" s="5" t="n">
        <v>46255</v>
      </c>
      <c r="H585" s="5" t="n">
        <v>46258</v>
      </c>
      <c r="I585" s="5" t="n">
        <v>46258</v>
      </c>
      <c r="J585" s="10" t="inlineStr">
        <is>
          <t>14:10</t>
        </is>
      </c>
      <c r="K585" s="10" t="inlineStr">
        <is>
          <t>On time</t>
        </is>
      </c>
      <c r="L585" s="6" t="n">
        <v>0</v>
      </c>
      <c r="M585" s="10" t="n"/>
      <c r="N585" s="6" t="n">
        <v>34</v>
      </c>
      <c r="O585" s="6" t="n">
        <v>2414</v>
      </c>
      <c r="P585" s="6" t="n">
        <v>1</v>
      </c>
      <c r="Q585" s="6">
        <f>IF(OR(K585="On time",K585="Late",K585="Very late"),1,0)</f>
        <v/>
      </c>
    </row>
    <row r="586">
      <c r="A586" s="10" t="inlineStr">
        <is>
          <t>DN318802</t>
        </is>
      </c>
      <c r="B586" s="10" t="inlineStr">
        <is>
          <t>SO62591</t>
        </is>
      </c>
      <c r="C586" s="10" t="inlineStr">
        <is>
          <t>C10622</t>
        </is>
      </c>
      <c r="D586" s="10">
        <f>INDEX(Customers!$B:$B,MATCH(C586,Customers!$A:$A,0))</f>
        <v/>
      </c>
      <c r="E586" s="10">
        <f>INDEX(Customers!$D:$D,MATCH(C586,Customers!$A:$A,0))</f>
        <v/>
      </c>
      <c r="F586" s="10" t="inlineStr">
        <is>
          <t>Own trucks</t>
        </is>
      </c>
      <c r="G586" s="5" t="n">
        <v>46255</v>
      </c>
      <c r="H586" s="5" t="n">
        <v>46258</v>
      </c>
      <c r="I586" s="5" t="n">
        <v>46258</v>
      </c>
      <c r="J586" s="10" t="inlineStr">
        <is>
          <t>10:10</t>
        </is>
      </c>
      <c r="K586" s="10" t="inlineStr">
        <is>
          <t>On time</t>
        </is>
      </c>
      <c r="L586" s="6" t="n">
        <v>0</v>
      </c>
      <c r="M586" s="10" t="n"/>
      <c r="N586" s="6" t="n">
        <v>7</v>
      </c>
      <c r="O586" s="6" t="n">
        <v>518</v>
      </c>
      <c r="P586" s="6" t="n">
        <v>1</v>
      </c>
      <c r="Q586" s="6">
        <f>IF(OR(K586="On time",K586="Late",K586="Very late"),1,0)</f>
        <v/>
      </c>
    </row>
    <row r="587">
      <c r="A587" s="10" t="inlineStr">
        <is>
          <t>DN318803</t>
        </is>
      </c>
      <c r="B587" s="10" t="inlineStr">
        <is>
          <t>SO62592</t>
        </is>
      </c>
      <c r="C587" s="10" t="inlineStr">
        <is>
          <t>C10648</t>
        </is>
      </c>
      <c r="D587" s="10">
        <f>INDEX(Customers!$B:$B,MATCH(C587,Customers!$A:$A,0))</f>
        <v/>
      </c>
      <c r="E587" s="10">
        <f>INDEX(Customers!$D:$D,MATCH(C587,Customers!$A:$A,0))</f>
        <v/>
      </c>
      <c r="F587" s="10" t="inlineStr">
        <is>
          <t>Own trucks</t>
        </is>
      </c>
      <c r="G587" s="5" t="n">
        <v>46255</v>
      </c>
      <c r="H587" s="5" t="n">
        <v>46258</v>
      </c>
      <c r="I587" s="5" t="n">
        <v>46259</v>
      </c>
      <c r="J587" s="10" t="inlineStr">
        <is>
          <t>12:30</t>
        </is>
      </c>
      <c r="K587" s="10" t="inlineStr">
        <is>
          <t>Late</t>
        </is>
      </c>
      <c r="L587" s="6" t="n">
        <v>1</v>
      </c>
      <c r="M587" s="10" t="inlineStr">
        <is>
          <t>Carrier delay</t>
        </is>
      </c>
      <c r="N587" s="6" t="n">
        <v>27</v>
      </c>
      <c r="O587" s="6" t="n">
        <v>2727</v>
      </c>
      <c r="P587" s="6" t="n">
        <v>1</v>
      </c>
      <c r="Q587" s="6">
        <f>IF(OR(K587="On time",K587="Late",K587="Very late"),1,0)</f>
        <v/>
      </c>
    </row>
    <row r="588">
      <c r="A588" s="10" t="inlineStr">
        <is>
          <t>DN318804</t>
        </is>
      </c>
      <c r="B588" s="10" t="inlineStr">
        <is>
          <t>SO62593</t>
        </is>
      </c>
      <c r="C588" s="10" t="inlineStr">
        <is>
          <t>C10676</t>
        </is>
      </c>
      <c r="D588" s="10">
        <f>INDEX(Customers!$B:$B,MATCH(C588,Customers!$A:$A,0))</f>
        <v/>
      </c>
      <c r="E588" s="10">
        <f>INDEX(Customers!$D:$D,MATCH(C588,Customers!$A:$A,0))</f>
        <v/>
      </c>
      <c r="F588" s="10" t="inlineStr">
        <is>
          <t>Own trucks</t>
        </is>
      </c>
      <c r="G588" s="5" t="n">
        <v>46255</v>
      </c>
      <c r="H588" s="5" t="n">
        <v>46258</v>
      </c>
      <c r="I588" s="5" t="n">
        <v>46258</v>
      </c>
      <c r="J588" s="10" t="inlineStr">
        <is>
          <t>14:00</t>
        </is>
      </c>
      <c r="K588" s="10" t="inlineStr">
        <is>
          <t>On time</t>
        </is>
      </c>
      <c r="L588" s="6" t="n">
        <v>0</v>
      </c>
      <c r="M588" s="10" t="n"/>
      <c r="N588" s="6" t="n">
        <v>26</v>
      </c>
      <c r="O588" s="6" t="n">
        <v>3016</v>
      </c>
      <c r="P588" s="6" t="n">
        <v>1</v>
      </c>
      <c r="Q588" s="6">
        <f>IF(OR(K588="On time",K588="Late",K588="Very late"),1,0)</f>
        <v/>
      </c>
    </row>
    <row r="589">
      <c r="A589" s="10" t="inlineStr">
        <is>
          <t>DN318805</t>
        </is>
      </c>
      <c r="B589" s="10" t="inlineStr">
        <is>
          <t>SO62594</t>
        </is>
      </c>
      <c r="C589" s="10" t="inlineStr">
        <is>
          <t>C10684</t>
        </is>
      </c>
      <c r="D589" s="10">
        <f>INDEX(Customers!$B:$B,MATCH(C589,Customers!$A:$A,0))</f>
        <v/>
      </c>
      <c r="E589" s="10">
        <f>INDEX(Customers!$D:$D,MATCH(C589,Customers!$A:$A,0))</f>
        <v/>
      </c>
      <c r="F589" s="10" t="inlineStr">
        <is>
          <t>Own trucks</t>
        </is>
      </c>
      <c r="G589" s="5" t="n">
        <v>46255</v>
      </c>
      <c r="H589" s="5" t="n">
        <v>46258</v>
      </c>
      <c r="I589" s="5" t="n">
        <v>46258</v>
      </c>
      <c r="J589" s="10" t="inlineStr">
        <is>
          <t>11:00</t>
        </is>
      </c>
      <c r="K589" s="10" t="inlineStr">
        <is>
          <t>On time</t>
        </is>
      </c>
      <c r="L589" s="6" t="n">
        <v>0</v>
      </c>
      <c r="M589" s="10" t="n"/>
      <c r="N589" s="6" t="n">
        <v>36</v>
      </c>
      <c r="O589" s="6" t="n">
        <v>2160</v>
      </c>
      <c r="P589" s="6" t="n">
        <v>1</v>
      </c>
      <c r="Q589" s="6">
        <f>IF(OR(K589="On time",K589="Late",K589="Very late"),1,0)</f>
        <v/>
      </c>
    </row>
    <row r="590">
      <c r="A590" s="10" t="inlineStr">
        <is>
          <t>DN318806</t>
        </is>
      </c>
      <c r="B590" s="10" t="inlineStr">
        <is>
          <t>SO62595</t>
        </is>
      </c>
      <c r="C590" s="10" t="inlineStr">
        <is>
          <t>C10689</t>
        </is>
      </c>
      <c r="D590" s="10">
        <f>INDEX(Customers!$B:$B,MATCH(C590,Customers!$A:$A,0))</f>
        <v/>
      </c>
      <c r="E590" s="10">
        <f>INDEX(Customers!$D:$D,MATCH(C590,Customers!$A:$A,0))</f>
        <v/>
      </c>
      <c r="F590" s="10" t="inlineStr">
        <is>
          <t>Own trucks</t>
        </is>
      </c>
      <c r="G590" s="5" t="n">
        <v>46255</v>
      </c>
      <c r="H590" s="5" t="n">
        <v>46258</v>
      </c>
      <c r="I590" s="5" t="n">
        <v>46258</v>
      </c>
      <c r="J590" s="10" t="inlineStr">
        <is>
          <t>16:30</t>
        </is>
      </c>
      <c r="K590" s="10" t="inlineStr">
        <is>
          <t>On time</t>
        </is>
      </c>
      <c r="L590" s="6" t="n">
        <v>0</v>
      </c>
      <c r="M590" s="10" t="n"/>
      <c r="N590" s="6" t="n">
        <v>29</v>
      </c>
      <c r="O590" s="6" t="n">
        <v>2059</v>
      </c>
      <c r="P590" s="6" t="n">
        <v>1</v>
      </c>
      <c r="Q590" s="6">
        <f>IF(OR(K590="On time",K590="Late",K590="Very late"),1,0)</f>
        <v/>
      </c>
    </row>
    <row r="591">
      <c r="A591" s="10" t="inlineStr">
        <is>
          <t>DN318807</t>
        </is>
      </c>
      <c r="B591" s="10" t="inlineStr">
        <is>
          <t>SO62596</t>
        </is>
      </c>
      <c r="C591" s="10" t="inlineStr">
        <is>
          <t>C10746</t>
        </is>
      </c>
      <c r="D591" s="10">
        <f>INDEX(Customers!$B:$B,MATCH(C591,Customers!$A:$A,0))</f>
        <v/>
      </c>
      <c r="E591" s="10">
        <f>INDEX(Customers!$D:$D,MATCH(C591,Customers!$A:$A,0))</f>
        <v/>
      </c>
      <c r="F591" s="10" t="inlineStr">
        <is>
          <t>Own trucks</t>
        </is>
      </c>
      <c r="G591" s="5" t="n">
        <v>46255</v>
      </c>
      <c r="H591" s="5" t="n">
        <v>46258</v>
      </c>
      <c r="I591" s="5" t="n">
        <v>46258</v>
      </c>
      <c r="J591" s="10" t="inlineStr">
        <is>
          <t>08:20</t>
        </is>
      </c>
      <c r="K591" s="10" t="inlineStr">
        <is>
          <t>On time</t>
        </is>
      </c>
      <c r="L591" s="6" t="n">
        <v>0</v>
      </c>
      <c r="M591" s="10" t="n"/>
      <c r="N591" s="6" t="n">
        <v>8</v>
      </c>
      <c r="O591" s="6" t="n">
        <v>920</v>
      </c>
      <c r="P591" s="6" t="n">
        <v>1</v>
      </c>
      <c r="Q591" s="6">
        <f>IF(OR(K591="On time",K591="Late",K591="Very late"),1,0)</f>
        <v/>
      </c>
    </row>
    <row r="592">
      <c r="A592" s="10" t="inlineStr">
        <is>
          <t>DN318808</t>
        </is>
      </c>
      <c r="B592" s="10" t="inlineStr">
        <is>
          <t>SO62597</t>
        </is>
      </c>
      <c r="C592" s="10" t="inlineStr">
        <is>
          <t>C10796</t>
        </is>
      </c>
      <c r="D592" s="10">
        <f>INDEX(Customers!$B:$B,MATCH(C592,Customers!$A:$A,0))</f>
        <v/>
      </c>
      <c r="E592" s="10">
        <f>INDEX(Customers!$D:$D,MATCH(C592,Customers!$A:$A,0))</f>
        <v/>
      </c>
      <c r="F592" s="10" t="inlineStr">
        <is>
          <t>Own trucks</t>
        </is>
      </c>
      <c r="G592" s="5" t="n">
        <v>46255</v>
      </c>
      <c r="H592" s="5" t="n">
        <v>46258</v>
      </c>
      <c r="I592" s="5" t="n">
        <v>46258</v>
      </c>
      <c r="J592" s="10" t="inlineStr">
        <is>
          <t>12:30</t>
        </is>
      </c>
      <c r="K592" s="10" t="inlineStr">
        <is>
          <t>On time</t>
        </is>
      </c>
      <c r="L592" s="6" t="n">
        <v>0</v>
      </c>
      <c r="M592" s="10" t="n"/>
      <c r="N592" s="6" t="n">
        <v>13</v>
      </c>
      <c r="O592" s="6" t="n">
        <v>910</v>
      </c>
      <c r="P592" s="6" t="n">
        <v>1</v>
      </c>
      <c r="Q592" s="6">
        <f>IF(OR(K592="On time",K592="Late",K592="Very late"),1,0)</f>
        <v/>
      </c>
    </row>
    <row r="593">
      <c r="A593" s="10" t="inlineStr">
        <is>
          <t>DN318809</t>
        </is>
      </c>
      <c r="B593" s="10" t="inlineStr">
        <is>
          <t>SO62598</t>
        </is>
      </c>
      <c r="C593" s="10" t="inlineStr">
        <is>
          <t>C10847</t>
        </is>
      </c>
      <c r="D593" s="10">
        <f>INDEX(Customers!$B:$B,MATCH(C593,Customers!$A:$A,0))</f>
        <v/>
      </c>
      <c r="E593" s="10">
        <f>INDEX(Customers!$D:$D,MATCH(C593,Customers!$A:$A,0))</f>
        <v/>
      </c>
      <c r="F593" s="10" t="inlineStr">
        <is>
          <t>Own trucks</t>
        </is>
      </c>
      <c r="G593" s="5" t="n">
        <v>46255</v>
      </c>
      <c r="H593" s="5" t="n">
        <v>46258</v>
      </c>
      <c r="I593" s="5" t="n">
        <v>46258</v>
      </c>
      <c r="J593" s="10" t="inlineStr">
        <is>
          <t>13:50</t>
        </is>
      </c>
      <c r="K593" s="10" t="inlineStr">
        <is>
          <t>On time</t>
        </is>
      </c>
      <c r="L593" s="6" t="n">
        <v>0</v>
      </c>
      <c r="M593" s="10" t="n"/>
      <c r="N593" s="6" t="n">
        <v>27</v>
      </c>
      <c r="O593" s="6" t="n">
        <v>3078</v>
      </c>
      <c r="P593" s="6" t="n">
        <v>1</v>
      </c>
      <c r="Q593" s="6">
        <f>IF(OR(K593="On time",K593="Late",K593="Very late"),1,0)</f>
        <v/>
      </c>
    </row>
    <row r="594">
      <c r="A594" s="10" t="inlineStr">
        <is>
          <t>DN318810</t>
        </is>
      </c>
      <c r="B594" s="10" t="inlineStr">
        <is>
          <t>SO62599</t>
        </is>
      </c>
      <c r="C594" s="10" t="inlineStr">
        <is>
          <t>C10915</t>
        </is>
      </c>
      <c r="D594" s="10">
        <f>INDEX(Customers!$B:$B,MATCH(C594,Customers!$A:$A,0))</f>
        <v/>
      </c>
      <c r="E594" s="10">
        <f>INDEX(Customers!$D:$D,MATCH(C594,Customers!$A:$A,0))</f>
        <v/>
      </c>
      <c r="F594" s="10" t="inlineStr">
        <is>
          <t>Own trucks</t>
        </is>
      </c>
      <c r="G594" s="5" t="n">
        <v>46255</v>
      </c>
      <c r="H594" s="5" t="n">
        <v>46258</v>
      </c>
      <c r="I594" s="5" t="n">
        <v>46259</v>
      </c>
      <c r="J594" s="10" t="inlineStr">
        <is>
          <t>15:10</t>
        </is>
      </c>
      <c r="K594" s="10" t="inlineStr">
        <is>
          <t>Late</t>
        </is>
      </c>
      <c r="L594" s="6" t="n">
        <v>1</v>
      </c>
      <c r="M594" s="10" t="inlineStr">
        <is>
          <t>Run overloaded</t>
        </is>
      </c>
      <c r="N594" s="6" t="n">
        <v>4</v>
      </c>
      <c r="O594" s="6" t="n">
        <v>376</v>
      </c>
      <c r="P594" s="6" t="n">
        <v>1</v>
      </c>
      <c r="Q594" s="6">
        <f>IF(OR(K594="On time",K594="Late",K594="Very late"),1,0)</f>
        <v/>
      </c>
    </row>
    <row r="595">
      <c r="A595" s="10" t="inlineStr">
        <is>
          <t>DN318811</t>
        </is>
      </c>
      <c r="B595" s="10" t="inlineStr">
        <is>
          <t>SO62601</t>
        </is>
      </c>
      <c r="C595" s="10" t="inlineStr">
        <is>
          <t>C10982</t>
        </is>
      </c>
      <c r="D595" s="10">
        <f>INDEX(Customers!$B:$B,MATCH(C595,Customers!$A:$A,0))</f>
        <v/>
      </c>
      <c r="E595" s="10">
        <f>INDEX(Customers!$D:$D,MATCH(C595,Customers!$A:$A,0))</f>
        <v/>
      </c>
      <c r="F595" s="10" t="inlineStr">
        <is>
          <t>Own trucks</t>
        </is>
      </c>
      <c r="G595" s="5" t="n">
        <v>46255</v>
      </c>
      <c r="H595" s="5" t="n">
        <v>46258</v>
      </c>
      <c r="I595" s="5" t="n">
        <v>46258</v>
      </c>
      <c r="J595" s="10" t="inlineStr">
        <is>
          <t>13:50</t>
        </is>
      </c>
      <c r="K595" s="10" t="inlineStr">
        <is>
          <t>On time</t>
        </is>
      </c>
      <c r="L595" s="6" t="n">
        <v>0</v>
      </c>
      <c r="M595" s="10" t="n"/>
      <c r="N595" s="6" t="n">
        <v>2</v>
      </c>
      <c r="O595" s="6" t="n">
        <v>164</v>
      </c>
      <c r="P595" s="6" t="n">
        <v>1</v>
      </c>
      <c r="Q595" s="6">
        <f>IF(OR(K595="On time",K595="Late",K595="Very late"),1,0)</f>
        <v/>
      </c>
    </row>
    <row r="596">
      <c r="A596" s="10" t="inlineStr">
        <is>
          <t>DN318812</t>
        </is>
      </c>
      <c r="B596" s="10" t="inlineStr">
        <is>
          <t>SO62603</t>
        </is>
      </c>
      <c r="C596" s="10" t="inlineStr">
        <is>
          <t>C11107</t>
        </is>
      </c>
      <c r="D596" s="10">
        <f>INDEX(Customers!$B:$B,MATCH(C596,Customers!$A:$A,0))</f>
        <v/>
      </c>
      <c r="E596" s="10">
        <f>INDEX(Customers!$D:$D,MATCH(C596,Customers!$A:$A,0))</f>
        <v/>
      </c>
      <c r="F596" s="10" t="inlineStr">
        <is>
          <t>Own trucks</t>
        </is>
      </c>
      <c r="G596" s="5" t="n">
        <v>46255</v>
      </c>
      <c r="H596" s="5" t="n">
        <v>46258</v>
      </c>
      <c r="I596" s="5" t="n">
        <v>46258</v>
      </c>
      <c r="J596" s="10" t="inlineStr">
        <is>
          <t>11:50</t>
        </is>
      </c>
      <c r="K596" s="10" t="inlineStr">
        <is>
          <t>On time</t>
        </is>
      </c>
      <c r="L596" s="6" t="n">
        <v>0</v>
      </c>
      <c r="M596" s="10" t="n"/>
      <c r="N596" s="6" t="n">
        <v>26</v>
      </c>
      <c r="O596" s="6" t="n">
        <v>2080</v>
      </c>
      <c r="P596" s="6" t="n">
        <v>1</v>
      </c>
      <c r="Q596" s="6">
        <f>IF(OR(K596="On time",K596="Late",K596="Very late"),1,0)</f>
        <v/>
      </c>
    </row>
    <row r="597">
      <c r="A597" s="10" t="inlineStr">
        <is>
          <t>DN318813</t>
        </is>
      </c>
      <c r="B597" s="10" t="inlineStr">
        <is>
          <t>SO62604</t>
        </is>
      </c>
      <c r="C597" s="10" t="inlineStr">
        <is>
          <t>C11143</t>
        </is>
      </c>
      <c r="D597" s="10">
        <f>INDEX(Customers!$B:$B,MATCH(C597,Customers!$A:$A,0))</f>
        <v/>
      </c>
      <c r="E597" s="10">
        <f>INDEX(Customers!$D:$D,MATCH(C597,Customers!$A:$A,0))</f>
        <v/>
      </c>
      <c r="F597" s="10" t="inlineStr">
        <is>
          <t>Own trucks</t>
        </is>
      </c>
      <c r="G597" s="5" t="n">
        <v>46255</v>
      </c>
      <c r="H597" s="5" t="n">
        <v>46258</v>
      </c>
      <c r="I597" s="5" t="n">
        <v>46258</v>
      </c>
      <c r="J597" s="10" t="inlineStr">
        <is>
          <t>14:50</t>
        </is>
      </c>
      <c r="K597" s="10" t="inlineStr">
        <is>
          <t>On time</t>
        </is>
      </c>
      <c r="L597" s="6" t="n">
        <v>0</v>
      </c>
      <c r="M597" s="10" t="n"/>
      <c r="N597" s="6" t="n">
        <v>35</v>
      </c>
      <c r="O597" s="6" t="n">
        <v>4760</v>
      </c>
      <c r="P597" s="6" t="n">
        <v>1</v>
      </c>
      <c r="Q597" s="6">
        <f>IF(OR(K597="On time",K597="Late",K597="Very late"),1,0)</f>
        <v/>
      </c>
    </row>
    <row r="598">
      <c r="A598" s="10" t="inlineStr">
        <is>
          <t>DN318814</t>
        </is>
      </c>
      <c r="B598" s="10" t="inlineStr">
        <is>
          <t>SO62605</t>
        </is>
      </c>
      <c r="C598" s="10" t="inlineStr">
        <is>
          <t>C11186</t>
        </is>
      </c>
      <c r="D598" s="10">
        <f>INDEX(Customers!$B:$B,MATCH(C598,Customers!$A:$A,0))</f>
        <v/>
      </c>
      <c r="E598" s="10">
        <f>INDEX(Customers!$D:$D,MATCH(C598,Customers!$A:$A,0))</f>
        <v/>
      </c>
      <c r="F598" s="10" t="inlineStr">
        <is>
          <t>Own trucks</t>
        </is>
      </c>
      <c r="G598" s="5" t="n">
        <v>46255</v>
      </c>
      <c r="H598" s="5" t="n">
        <v>46258</v>
      </c>
      <c r="I598" s="5" t="n">
        <v>46260</v>
      </c>
      <c r="J598" s="10" t="inlineStr">
        <is>
          <t>07:40</t>
        </is>
      </c>
      <c r="K598" s="10" t="inlineStr">
        <is>
          <t>Very late</t>
        </is>
      </c>
      <c r="L598" s="6" t="n">
        <v>2</v>
      </c>
      <c r="M598" s="10" t="inlineStr">
        <is>
          <t>Run overloaded</t>
        </is>
      </c>
      <c r="N598" s="6" t="n">
        <v>13</v>
      </c>
      <c r="O598" s="6" t="n">
        <v>936</v>
      </c>
      <c r="P598" s="6" t="n">
        <v>1</v>
      </c>
      <c r="Q598" s="6">
        <f>IF(OR(K598="On time",K598="Late",K598="Very late"),1,0)</f>
        <v/>
      </c>
    </row>
    <row r="599">
      <c r="A599" s="10" t="inlineStr">
        <is>
          <t>DN318815</t>
        </is>
      </c>
      <c r="B599" s="10" t="inlineStr">
        <is>
          <t>SO62607</t>
        </is>
      </c>
      <c r="C599" s="10" t="inlineStr">
        <is>
          <t>C11247</t>
        </is>
      </c>
      <c r="D599" s="10">
        <f>INDEX(Customers!$B:$B,MATCH(C599,Customers!$A:$A,0))</f>
        <v/>
      </c>
      <c r="E599" s="10">
        <f>INDEX(Customers!$D:$D,MATCH(C599,Customers!$A:$A,0))</f>
        <v/>
      </c>
      <c r="F599" s="10" t="inlineStr">
        <is>
          <t>Own trucks</t>
        </is>
      </c>
      <c r="G599" s="5" t="n">
        <v>46255</v>
      </c>
      <c r="H599" s="5" t="n">
        <v>46258</v>
      </c>
      <c r="I599" s="5" t="n">
        <v>46258</v>
      </c>
      <c r="J599" s="10" t="inlineStr">
        <is>
          <t>07:10</t>
        </is>
      </c>
      <c r="K599" s="10" t="inlineStr">
        <is>
          <t>On time</t>
        </is>
      </c>
      <c r="L599" s="6" t="n">
        <v>0</v>
      </c>
      <c r="M599" s="10" t="n"/>
      <c r="N599" s="6" t="n">
        <v>23</v>
      </c>
      <c r="O599" s="6" t="n">
        <v>1518</v>
      </c>
      <c r="P599" s="6" t="n">
        <v>1</v>
      </c>
      <c r="Q599" s="6">
        <f>IF(OR(K599="On time",K599="Late",K599="Very late"),1,0)</f>
        <v/>
      </c>
    </row>
    <row r="600">
      <c r="A600" s="10" t="inlineStr">
        <is>
          <t>DN318816</t>
        </is>
      </c>
      <c r="B600" s="10" t="inlineStr">
        <is>
          <t>SO62609</t>
        </is>
      </c>
      <c r="C600" s="10" t="inlineStr">
        <is>
          <t>C11264</t>
        </is>
      </c>
      <c r="D600" s="10">
        <f>INDEX(Customers!$B:$B,MATCH(C600,Customers!$A:$A,0))</f>
        <v/>
      </c>
      <c r="E600" s="10">
        <f>INDEX(Customers!$D:$D,MATCH(C600,Customers!$A:$A,0))</f>
        <v/>
      </c>
      <c r="F600" s="10" t="inlineStr">
        <is>
          <t>Own trucks</t>
        </is>
      </c>
      <c r="G600" s="5" t="n">
        <v>46255</v>
      </c>
      <c r="H600" s="5" t="n">
        <v>46258</v>
      </c>
      <c r="I600" s="5" t="n">
        <v>46258</v>
      </c>
      <c r="J600" s="10" t="inlineStr">
        <is>
          <t>12:30</t>
        </is>
      </c>
      <c r="K600" s="10" t="inlineStr">
        <is>
          <t>On time</t>
        </is>
      </c>
      <c r="L600" s="6" t="n">
        <v>0</v>
      </c>
      <c r="M600" s="10" t="n"/>
      <c r="N600" s="6" t="n">
        <v>34</v>
      </c>
      <c r="O600" s="6" t="n">
        <v>2890</v>
      </c>
      <c r="P600" s="6" t="n">
        <v>1</v>
      </c>
      <c r="Q600" s="6">
        <f>IF(OR(K600="On time",K600="Late",K600="Very late"),1,0)</f>
        <v/>
      </c>
    </row>
    <row r="601">
      <c r="A601" s="10" t="inlineStr">
        <is>
          <t>DN318817</t>
        </is>
      </c>
      <c r="B601" s="10" t="inlineStr">
        <is>
          <t>SO62610</t>
        </is>
      </c>
      <c r="C601" s="10" t="inlineStr">
        <is>
          <t>C11314</t>
        </is>
      </c>
      <c r="D601" s="10">
        <f>INDEX(Customers!$B:$B,MATCH(C601,Customers!$A:$A,0))</f>
        <v/>
      </c>
      <c r="E601" s="10">
        <f>INDEX(Customers!$D:$D,MATCH(C601,Customers!$A:$A,0))</f>
        <v/>
      </c>
      <c r="F601" s="10" t="inlineStr">
        <is>
          <t>Own trucks</t>
        </is>
      </c>
      <c r="G601" s="5" t="n">
        <v>46255</v>
      </c>
      <c r="H601" s="5" t="n">
        <v>46258</v>
      </c>
      <c r="I601" s="5" t="n">
        <v>46259</v>
      </c>
      <c r="J601" s="10" t="inlineStr">
        <is>
          <t>08:50</t>
        </is>
      </c>
      <c r="K601" s="10" t="inlineStr">
        <is>
          <t>Late</t>
        </is>
      </c>
      <c r="L601" s="6" t="n">
        <v>1</v>
      </c>
      <c r="M601" s="10" t="inlineStr">
        <is>
          <t>Customer closed (failed attempt)</t>
        </is>
      </c>
      <c r="N601" s="6" t="n">
        <v>11</v>
      </c>
      <c r="O601" s="6" t="n">
        <v>1122</v>
      </c>
      <c r="P601" s="6" t="n">
        <v>1</v>
      </c>
      <c r="Q601" s="6">
        <f>IF(OR(K601="On time",K601="Late",K601="Very late"),1,0)</f>
        <v/>
      </c>
    </row>
    <row r="602">
      <c r="A602" s="10" t="inlineStr">
        <is>
          <t>DN318818</t>
        </is>
      </c>
      <c r="B602" s="10" t="inlineStr">
        <is>
          <t>SO62611</t>
        </is>
      </c>
      <c r="C602" s="10" t="inlineStr">
        <is>
          <t>C11333</t>
        </is>
      </c>
      <c r="D602" s="10">
        <f>INDEX(Customers!$B:$B,MATCH(C602,Customers!$A:$A,0))</f>
        <v/>
      </c>
      <c r="E602" s="10">
        <f>INDEX(Customers!$D:$D,MATCH(C602,Customers!$A:$A,0))</f>
        <v/>
      </c>
      <c r="F602" s="10" t="inlineStr">
        <is>
          <t>Own trucks</t>
        </is>
      </c>
      <c r="G602" s="5" t="n">
        <v>46255</v>
      </c>
      <c r="H602" s="5" t="n">
        <v>46258</v>
      </c>
      <c r="I602" s="5" t="n">
        <v>46260</v>
      </c>
      <c r="J602" s="10" t="inlineStr">
        <is>
          <t>15:10</t>
        </is>
      </c>
      <c r="K602" s="10" t="inlineStr">
        <is>
          <t>Very late</t>
        </is>
      </c>
      <c r="L602" s="6" t="n">
        <v>2</v>
      </c>
      <c r="M602" s="10" t="inlineStr">
        <is>
          <t>Customer closed (failed attempt)</t>
        </is>
      </c>
      <c r="N602" s="6" t="n">
        <v>36</v>
      </c>
      <c r="O602" s="6" t="n">
        <v>1980</v>
      </c>
      <c r="P602" s="6" t="n">
        <v>1</v>
      </c>
      <c r="Q602" s="6">
        <f>IF(OR(K602="On time",K602="Late",K602="Very late"),1,0)</f>
        <v/>
      </c>
    </row>
    <row r="603">
      <c r="A603" s="10" t="inlineStr">
        <is>
          <t>DN318819</t>
        </is>
      </c>
      <c r="B603" s="10" t="inlineStr">
        <is>
          <t>SO62612</t>
        </is>
      </c>
      <c r="C603" s="10" t="inlineStr">
        <is>
          <t>C11400</t>
        </is>
      </c>
      <c r="D603" s="10">
        <f>INDEX(Customers!$B:$B,MATCH(C603,Customers!$A:$A,0))</f>
        <v/>
      </c>
      <c r="E603" s="10">
        <f>INDEX(Customers!$D:$D,MATCH(C603,Customers!$A:$A,0))</f>
        <v/>
      </c>
      <c r="F603" s="10" t="inlineStr">
        <is>
          <t>Own trucks</t>
        </is>
      </c>
      <c r="G603" s="5" t="n">
        <v>46255</v>
      </c>
      <c r="H603" s="5" t="n">
        <v>46258</v>
      </c>
      <c r="I603" s="5" t="n">
        <v>46258</v>
      </c>
      <c r="J603" s="10" t="inlineStr">
        <is>
          <t>08:20</t>
        </is>
      </c>
      <c r="K603" s="10" t="inlineStr">
        <is>
          <t>On time</t>
        </is>
      </c>
      <c r="L603" s="6" t="n">
        <v>0</v>
      </c>
      <c r="M603" s="10" t="n"/>
      <c r="N603" s="6" t="n">
        <v>11</v>
      </c>
      <c r="O603" s="6" t="n">
        <v>1166</v>
      </c>
      <c r="P603" s="6" t="n">
        <v>1</v>
      </c>
      <c r="Q603" s="6">
        <f>IF(OR(K603="On time",K603="Late",K603="Very late"),1,0)</f>
        <v/>
      </c>
    </row>
    <row r="604">
      <c r="A604" s="10" t="inlineStr">
        <is>
          <t>DN318820</t>
        </is>
      </c>
      <c r="B604" s="10" t="inlineStr">
        <is>
          <t>SO62613</t>
        </is>
      </c>
      <c r="C604" s="10" t="inlineStr">
        <is>
          <t>C11579</t>
        </is>
      </c>
      <c r="D604" s="10">
        <f>INDEX(Customers!$B:$B,MATCH(C604,Customers!$A:$A,0))</f>
        <v/>
      </c>
      <c r="E604" s="10">
        <f>INDEX(Customers!$D:$D,MATCH(C604,Customers!$A:$A,0))</f>
        <v/>
      </c>
      <c r="F604" s="10" t="inlineStr">
        <is>
          <t>Own trucks</t>
        </is>
      </c>
      <c r="G604" s="5" t="n">
        <v>46255</v>
      </c>
      <c r="H604" s="5" t="n">
        <v>46258</v>
      </c>
      <c r="I604" s="5" t="n">
        <v>46258</v>
      </c>
      <c r="J604" s="10" t="inlineStr">
        <is>
          <t>10:00</t>
        </is>
      </c>
      <c r="K604" s="10" t="inlineStr">
        <is>
          <t>On time</t>
        </is>
      </c>
      <c r="L604" s="6" t="n">
        <v>0</v>
      </c>
      <c r="M604" s="10" t="n"/>
      <c r="N604" s="6" t="n">
        <v>37</v>
      </c>
      <c r="O604" s="6" t="n">
        <v>2294</v>
      </c>
      <c r="P604" s="6" t="n">
        <v>1</v>
      </c>
      <c r="Q604" s="6">
        <f>IF(OR(K604="On time",K604="Late",K604="Very late"),1,0)</f>
        <v/>
      </c>
    </row>
    <row r="605">
      <c r="A605" s="10" t="inlineStr">
        <is>
          <t>DN318821</t>
        </is>
      </c>
      <c r="B605" s="10" t="inlineStr">
        <is>
          <t>SO62615</t>
        </is>
      </c>
      <c r="C605" s="10" t="inlineStr">
        <is>
          <t>C11666</t>
        </is>
      </c>
      <c r="D605" s="10">
        <f>INDEX(Customers!$B:$B,MATCH(C605,Customers!$A:$A,0))</f>
        <v/>
      </c>
      <c r="E605" s="10">
        <f>INDEX(Customers!$D:$D,MATCH(C605,Customers!$A:$A,0))</f>
        <v/>
      </c>
      <c r="F605" s="10" t="inlineStr">
        <is>
          <t>Own trucks</t>
        </is>
      </c>
      <c r="G605" s="5" t="n">
        <v>46255</v>
      </c>
      <c r="H605" s="5" t="n">
        <v>46258</v>
      </c>
      <c r="I605" s="5" t="n">
        <v>46259</v>
      </c>
      <c r="J605" s="10" t="inlineStr">
        <is>
          <t>07:30</t>
        </is>
      </c>
      <c r="K605" s="10" t="inlineStr">
        <is>
          <t>Late</t>
        </is>
      </c>
      <c r="L605" s="6" t="n">
        <v>1</v>
      </c>
      <c r="M605" s="10" t="inlineStr">
        <is>
          <t>Carrier delay</t>
        </is>
      </c>
      <c r="N605" s="6" t="n">
        <v>8</v>
      </c>
      <c r="O605" s="6" t="n">
        <v>888</v>
      </c>
      <c r="P605" s="6" t="n">
        <v>1</v>
      </c>
      <c r="Q605" s="6">
        <f>IF(OR(K605="On time",K605="Late",K605="Very late"),1,0)</f>
        <v/>
      </c>
    </row>
    <row r="606">
      <c r="A606" s="10" t="inlineStr">
        <is>
          <t>DN318822</t>
        </is>
      </c>
      <c r="B606" s="10" t="inlineStr">
        <is>
          <t>SO62616</t>
        </is>
      </c>
      <c r="C606" s="10" t="inlineStr">
        <is>
          <t>C11745</t>
        </is>
      </c>
      <c r="D606" s="10">
        <f>INDEX(Customers!$B:$B,MATCH(C606,Customers!$A:$A,0))</f>
        <v/>
      </c>
      <c r="E606" s="10">
        <f>INDEX(Customers!$D:$D,MATCH(C606,Customers!$A:$A,0))</f>
        <v/>
      </c>
      <c r="F606" s="10" t="inlineStr">
        <is>
          <t>Own trucks</t>
        </is>
      </c>
      <c r="G606" s="5" t="n">
        <v>46255</v>
      </c>
      <c r="H606" s="5" t="n">
        <v>46258</v>
      </c>
      <c r="I606" s="5" t="n">
        <v>46258</v>
      </c>
      <c r="J606" s="10" t="inlineStr">
        <is>
          <t>12:40</t>
        </is>
      </c>
      <c r="K606" s="10" t="inlineStr">
        <is>
          <t>On time</t>
        </is>
      </c>
      <c r="L606" s="6" t="n">
        <v>0</v>
      </c>
      <c r="M606" s="10" t="n"/>
      <c r="N606" s="6" t="n">
        <v>4</v>
      </c>
      <c r="O606" s="6" t="n">
        <v>436</v>
      </c>
      <c r="P606" s="6" t="n">
        <v>1</v>
      </c>
      <c r="Q606" s="6">
        <f>IF(OR(K606="On time",K606="Late",K606="Very late"),1,0)</f>
        <v/>
      </c>
    </row>
    <row r="607">
      <c r="A607" s="10" t="inlineStr">
        <is>
          <t>DN318823</t>
        </is>
      </c>
      <c r="B607" s="10" t="inlineStr">
        <is>
          <t>SO62617</t>
        </is>
      </c>
      <c r="C607" s="10" t="inlineStr">
        <is>
          <t>C11798</t>
        </is>
      </c>
      <c r="D607" s="10">
        <f>INDEX(Customers!$B:$B,MATCH(C607,Customers!$A:$A,0))</f>
        <v/>
      </c>
      <c r="E607" s="10">
        <f>INDEX(Customers!$D:$D,MATCH(C607,Customers!$A:$A,0))</f>
        <v/>
      </c>
      <c r="F607" s="10" t="inlineStr">
        <is>
          <t>Carrier A</t>
        </is>
      </c>
      <c r="G607" s="5" t="n">
        <v>46255</v>
      </c>
      <c r="H607" s="5" t="n">
        <v>46258</v>
      </c>
      <c r="I607" s="5" t="n">
        <v>46260</v>
      </c>
      <c r="J607" s="10" t="inlineStr">
        <is>
          <t>13:10</t>
        </is>
      </c>
      <c r="K607" s="10" t="inlineStr">
        <is>
          <t>Very late</t>
        </is>
      </c>
      <c r="L607" s="6" t="n">
        <v>2</v>
      </c>
      <c r="M607" s="10" t="inlineStr">
        <is>
          <t>Run overloaded</t>
        </is>
      </c>
      <c r="N607" s="6" t="n">
        <v>8</v>
      </c>
      <c r="O607" s="6" t="n">
        <v>552</v>
      </c>
      <c r="P607" s="6" t="n">
        <v>1</v>
      </c>
      <c r="Q607" s="6">
        <f>IF(OR(K607="On time",K607="Late",K607="Very late"),1,0)</f>
        <v/>
      </c>
    </row>
    <row r="608">
      <c r="A608" s="10" t="inlineStr">
        <is>
          <t>DN318824</t>
        </is>
      </c>
      <c r="B608" s="10" t="inlineStr">
        <is>
          <t>SO62618</t>
        </is>
      </c>
      <c r="C608" s="10" t="inlineStr">
        <is>
          <t>C11858</t>
        </is>
      </c>
      <c r="D608" s="10">
        <f>INDEX(Customers!$B:$B,MATCH(C608,Customers!$A:$A,0))</f>
        <v/>
      </c>
      <c r="E608" s="10">
        <f>INDEX(Customers!$D:$D,MATCH(C608,Customers!$A:$A,0))</f>
        <v/>
      </c>
      <c r="F608" s="10" t="inlineStr">
        <is>
          <t>Carrier A</t>
        </is>
      </c>
      <c r="G608" s="5" t="n">
        <v>46255</v>
      </c>
      <c r="H608" s="5" t="n">
        <v>46258</v>
      </c>
      <c r="I608" s="5" t="n">
        <v>46260</v>
      </c>
      <c r="J608" s="10" t="inlineStr">
        <is>
          <t>16:20</t>
        </is>
      </c>
      <c r="K608" s="10" t="inlineStr">
        <is>
          <t>Very late</t>
        </is>
      </c>
      <c r="L608" s="6" t="n">
        <v>2</v>
      </c>
      <c r="M608" s="10" t="inlineStr">
        <is>
          <t>Carrier delay</t>
        </is>
      </c>
      <c r="N608" s="6" t="n">
        <v>28</v>
      </c>
      <c r="O608" s="6" t="n">
        <v>2716</v>
      </c>
      <c r="P608" s="6" t="n">
        <v>1</v>
      </c>
      <c r="Q608" s="6">
        <f>IF(OR(K608="On time",K608="Late",K608="Very late"),1,0)</f>
        <v/>
      </c>
    </row>
    <row r="609">
      <c r="A609" s="10" t="inlineStr">
        <is>
          <t>DN318825</t>
        </is>
      </c>
      <c r="B609" s="10" t="inlineStr">
        <is>
          <t>SO62620</t>
        </is>
      </c>
      <c r="C609" s="10" t="inlineStr">
        <is>
          <t>C11866</t>
        </is>
      </c>
      <c r="D609" s="10">
        <f>INDEX(Customers!$B:$B,MATCH(C609,Customers!$A:$A,0))</f>
        <v/>
      </c>
      <c r="E609" s="10">
        <f>INDEX(Customers!$D:$D,MATCH(C609,Customers!$A:$A,0))</f>
        <v/>
      </c>
      <c r="F609" s="10" t="inlineStr">
        <is>
          <t>Carrier A</t>
        </is>
      </c>
      <c r="G609" s="5" t="n">
        <v>46255</v>
      </c>
      <c r="H609" s="5" t="n">
        <v>46258</v>
      </c>
      <c r="I609" s="5" t="n">
        <v>46258</v>
      </c>
      <c r="J609" s="10" t="inlineStr">
        <is>
          <t>16:20</t>
        </is>
      </c>
      <c r="K609" s="10" t="inlineStr">
        <is>
          <t>On time</t>
        </is>
      </c>
      <c r="L609" s="6" t="n">
        <v>0</v>
      </c>
      <c r="M609" s="10" t="n"/>
      <c r="N609" s="6" t="n">
        <v>10</v>
      </c>
      <c r="O609" s="6" t="n">
        <v>710</v>
      </c>
      <c r="P609" s="6" t="n">
        <v>1</v>
      </c>
      <c r="Q609" s="6">
        <f>IF(OR(K609="On time",K609="Late",K609="Very late"),1,0)</f>
        <v/>
      </c>
    </row>
    <row r="610">
      <c r="A610" s="10" t="inlineStr">
        <is>
          <t>DN318826</t>
        </is>
      </c>
      <c r="B610" s="10" t="inlineStr">
        <is>
          <t>SO62622</t>
        </is>
      </c>
      <c r="C610" s="10" t="inlineStr">
        <is>
          <t>C11910</t>
        </is>
      </c>
      <c r="D610" s="10">
        <f>INDEX(Customers!$B:$B,MATCH(C610,Customers!$A:$A,0))</f>
        <v/>
      </c>
      <c r="E610" s="10">
        <f>INDEX(Customers!$D:$D,MATCH(C610,Customers!$A:$A,0))</f>
        <v/>
      </c>
      <c r="F610" s="10" t="inlineStr">
        <is>
          <t>Carrier A</t>
        </is>
      </c>
      <c r="G610" s="5" t="n">
        <v>46255</v>
      </c>
      <c r="H610" s="5" t="n">
        <v>46258</v>
      </c>
      <c r="I610" s="5" t="n">
        <v>46258</v>
      </c>
      <c r="J610" s="10" t="inlineStr">
        <is>
          <t>14:30</t>
        </is>
      </c>
      <c r="K610" s="10" t="inlineStr">
        <is>
          <t>On time</t>
        </is>
      </c>
      <c r="L610" s="6" t="n">
        <v>0</v>
      </c>
      <c r="M610" s="10" t="n"/>
      <c r="N610" s="6" t="n">
        <v>32</v>
      </c>
      <c r="O610" s="6" t="n">
        <v>2272</v>
      </c>
      <c r="P610" s="6" t="n">
        <v>1</v>
      </c>
      <c r="Q610" s="6">
        <f>IF(OR(K610="On time",K610="Late",K610="Very late"),1,0)</f>
        <v/>
      </c>
    </row>
    <row r="611">
      <c r="A611" s="10" t="inlineStr">
        <is>
          <t>DN318827</t>
        </is>
      </c>
      <c r="B611" s="10" t="inlineStr">
        <is>
          <t>SO62623</t>
        </is>
      </c>
      <c r="C611" s="10" t="inlineStr">
        <is>
          <t>C11950</t>
        </is>
      </c>
      <c r="D611" s="10">
        <f>INDEX(Customers!$B:$B,MATCH(C611,Customers!$A:$A,0))</f>
        <v/>
      </c>
      <c r="E611" s="10">
        <f>INDEX(Customers!$D:$D,MATCH(C611,Customers!$A:$A,0))</f>
        <v/>
      </c>
      <c r="F611" s="10" t="inlineStr">
        <is>
          <t>Carrier A</t>
        </is>
      </c>
      <c r="G611" s="5" t="n">
        <v>46255</v>
      </c>
      <c r="H611" s="5" t="n">
        <v>46258</v>
      </c>
      <c r="I611" s="5" t="n">
        <v>46259</v>
      </c>
      <c r="J611" s="10" t="inlineStr">
        <is>
          <t>11:20</t>
        </is>
      </c>
      <c r="K611" s="10" t="inlineStr">
        <is>
          <t>Late</t>
        </is>
      </c>
      <c r="L611" s="6" t="n">
        <v>1</v>
      </c>
      <c r="M611" s="10" t="inlineStr">
        <is>
          <t>Run overloaded</t>
        </is>
      </c>
      <c r="N611" s="6" t="n">
        <v>19</v>
      </c>
      <c r="O611" s="6" t="n">
        <v>2147</v>
      </c>
      <c r="P611" s="6" t="n">
        <v>1</v>
      </c>
      <c r="Q611" s="6">
        <f>IF(OR(K611="On time",K611="Late",K611="Very late"),1,0)</f>
        <v/>
      </c>
    </row>
    <row r="612">
      <c r="A612" s="10" t="inlineStr">
        <is>
          <t>DN318828</t>
        </is>
      </c>
      <c r="B612" s="10" t="inlineStr">
        <is>
          <t>SO62624</t>
        </is>
      </c>
      <c r="C612" s="10" t="inlineStr">
        <is>
          <t>C11971</t>
        </is>
      </c>
      <c r="D612" s="10">
        <f>INDEX(Customers!$B:$B,MATCH(C612,Customers!$A:$A,0))</f>
        <v/>
      </c>
      <c r="E612" s="10">
        <f>INDEX(Customers!$D:$D,MATCH(C612,Customers!$A:$A,0))</f>
        <v/>
      </c>
      <c r="F612" s="10" t="inlineStr">
        <is>
          <t>Own trucks</t>
        </is>
      </c>
      <c r="G612" s="5" t="n">
        <v>46255</v>
      </c>
      <c r="H612" s="5" t="n">
        <v>46258</v>
      </c>
      <c r="I612" s="5" t="n">
        <v>46258</v>
      </c>
      <c r="J612" s="10" t="inlineStr">
        <is>
          <t>09:20</t>
        </is>
      </c>
      <c r="K612" s="10" t="inlineStr">
        <is>
          <t>On time</t>
        </is>
      </c>
      <c r="L612" s="6" t="n">
        <v>0</v>
      </c>
      <c r="M612" s="10" t="n"/>
      <c r="N612" s="6" t="n">
        <v>30</v>
      </c>
      <c r="O612" s="6" t="n">
        <v>2550</v>
      </c>
      <c r="P612" s="6" t="n">
        <v>1</v>
      </c>
      <c r="Q612" s="6">
        <f>IF(OR(K612="On time",K612="Late",K612="Very late"),1,0)</f>
        <v/>
      </c>
    </row>
    <row r="613">
      <c r="A613" s="10" t="inlineStr">
        <is>
          <t>DN318829</t>
        </is>
      </c>
      <c r="B613" s="10" t="inlineStr">
        <is>
          <t>SO62626</t>
        </is>
      </c>
      <c r="C613" s="10" t="inlineStr">
        <is>
          <t>C11982</t>
        </is>
      </c>
      <c r="D613" s="10">
        <f>INDEX(Customers!$B:$B,MATCH(C613,Customers!$A:$A,0))</f>
        <v/>
      </c>
      <c r="E613" s="10">
        <f>INDEX(Customers!$D:$D,MATCH(C613,Customers!$A:$A,0))</f>
        <v/>
      </c>
      <c r="F613" s="10" t="inlineStr">
        <is>
          <t>Own trucks</t>
        </is>
      </c>
      <c r="G613" s="5" t="n">
        <v>46255</v>
      </c>
      <c r="H613" s="5" t="n">
        <v>46258</v>
      </c>
      <c r="I613" s="5" t="n">
        <v>46258</v>
      </c>
      <c r="J613" s="10" t="inlineStr">
        <is>
          <t>12:20</t>
        </is>
      </c>
      <c r="K613" s="10" t="inlineStr">
        <is>
          <t>On time</t>
        </is>
      </c>
      <c r="L613" s="6" t="n">
        <v>0</v>
      </c>
      <c r="M613" s="10" t="n"/>
      <c r="N613" s="6" t="n">
        <v>13</v>
      </c>
      <c r="O613" s="6" t="n">
        <v>858</v>
      </c>
      <c r="P613" s="6" t="n">
        <v>1</v>
      </c>
      <c r="Q613" s="6">
        <f>IF(OR(K613="On time",K613="Late",K613="Very late"),1,0)</f>
        <v/>
      </c>
    </row>
    <row r="614">
      <c r="A614" s="10" t="inlineStr">
        <is>
          <t>DN318830</t>
        </is>
      </c>
      <c r="B614" s="10" t="inlineStr">
        <is>
          <t>SO62627</t>
        </is>
      </c>
      <c r="C614" s="10" t="inlineStr">
        <is>
          <t>C12037</t>
        </is>
      </c>
      <c r="D614" s="10">
        <f>INDEX(Customers!$B:$B,MATCH(C614,Customers!$A:$A,0))</f>
        <v/>
      </c>
      <c r="E614" s="10">
        <f>INDEX(Customers!$D:$D,MATCH(C614,Customers!$A:$A,0))</f>
        <v/>
      </c>
      <c r="F614" s="10" t="inlineStr">
        <is>
          <t>Own trucks</t>
        </is>
      </c>
      <c r="G614" s="5" t="n">
        <v>46255</v>
      </c>
      <c r="H614" s="5" t="n">
        <v>46258</v>
      </c>
      <c r="I614" s="5" t="n">
        <v>46258</v>
      </c>
      <c r="J614" s="10" t="inlineStr">
        <is>
          <t>15:10</t>
        </is>
      </c>
      <c r="K614" s="10" t="inlineStr">
        <is>
          <t>On time</t>
        </is>
      </c>
      <c r="L614" s="6" t="n">
        <v>0</v>
      </c>
      <c r="M614" s="10" t="n"/>
      <c r="N614" s="6" t="n">
        <v>15</v>
      </c>
      <c r="O614" s="6" t="n">
        <v>1275</v>
      </c>
      <c r="P614" s="6" t="n">
        <v>1</v>
      </c>
      <c r="Q614" s="6">
        <f>IF(OR(K614="On time",K614="Late",K614="Very late"),1,0)</f>
        <v/>
      </c>
    </row>
    <row r="615">
      <c r="A615" s="10" t="inlineStr">
        <is>
          <t>DN318831</t>
        </is>
      </c>
      <c r="B615" s="10" t="inlineStr">
        <is>
          <t>SO62628</t>
        </is>
      </c>
      <c r="C615" s="10" t="inlineStr">
        <is>
          <t>C12103</t>
        </is>
      </c>
      <c r="D615" s="10">
        <f>INDEX(Customers!$B:$B,MATCH(C615,Customers!$A:$A,0))</f>
        <v/>
      </c>
      <c r="E615" s="10">
        <f>INDEX(Customers!$D:$D,MATCH(C615,Customers!$A:$A,0))</f>
        <v/>
      </c>
      <c r="F615" s="10" t="inlineStr">
        <is>
          <t>Own trucks</t>
        </is>
      </c>
      <c r="G615" s="5" t="n">
        <v>46255</v>
      </c>
      <c r="H615" s="5" t="n">
        <v>46258</v>
      </c>
      <c r="I615" s="5" t="n">
        <v>46258</v>
      </c>
      <c r="J615" s="10" t="inlineStr">
        <is>
          <t>13:30</t>
        </is>
      </c>
      <c r="K615" s="10" t="inlineStr">
        <is>
          <t>On time</t>
        </is>
      </c>
      <c r="L615" s="6" t="n">
        <v>0</v>
      </c>
      <c r="M615" s="10" t="n"/>
      <c r="N615" s="6" t="n">
        <v>4</v>
      </c>
      <c r="O615" s="6" t="n">
        <v>460</v>
      </c>
      <c r="P615" s="6" t="n">
        <v>1</v>
      </c>
      <c r="Q615" s="6">
        <f>IF(OR(K615="On time",K615="Late",K615="Very late"),1,0)</f>
        <v/>
      </c>
    </row>
    <row r="616">
      <c r="A616" s="10" t="inlineStr">
        <is>
          <t>DN318832</t>
        </is>
      </c>
      <c r="B616" s="10" t="inlineStr">
        <is>
          <t>SO62629</t>
        </is>
      </c>
      <c r="C616" s="10" t="inlineStr">
        <is>
          <t>C12183</t>
        </is>
      </c>
      <c r="D616" s="10">
        <f>INDEX(Customers!$B:$B,MATCH(C616,Customers!$A:$A,0))</f>
        <v/>
      </c>
      <c r="E616" s="10">
        <f>INDEX(Customers!$D:$D,MATCH(C616,Customers!$A:$A,0))</f>
        <v/>
      </c>
      <c r="F616" s="10" t="inlineStr">
        <is>
          <t>Carrier B</t>
        </is>
      </c>
      <c r="G616" s="5" t="n">
        <v>46255</v>
      </c>
      <c r="H616" s="5" t="n">
        <v>46258</v>
      </c>
      <c r="I616" s="5" t="n">
        <v>46259</v>
      </c>
      <c r="J616" s="10" t="inlineStr">
        <is>
          <t>12:40</t>
        </is>
      </c>
      <c r="K616" s="10" t="inlineStr">
        <is>
          <t>Late</t>
        </is>
      </c>
      <c r="L616" s="6" t="n">
        <v>1</v>
      </c>
      <c r="M616" s="10" t="inlineStr">
        <is>
          <t>Run overloaded</t>
        </is>
      </c>
      <c r="N616" s="6" t="n">
        <v>33</v>
      </c>
      <c r="O616" s="6" t="n">
        <v>1881</v>
      </c>
      <c r="P616" s="6" t="n">
        <v>1</v>
      </c>
      <c r="Q616" s="6">
        <f>IF(OR(K616="On time",K616="Late",K616="Very late"),1,0)</f>
        <v/>
      </c>
    </row>
    <row r="617">
      <c r="A617" s="10" t="inlineStr">
        <is>
          <t>DN318833</t>
        </is>
      </c>
      <c r="B617" s="10" t="inlineStr">
        <is>
          <t>SO62630</t>
        </is>
      </c>
      <c r="C617" s="10" t="inlineStr">
        <is>
          <t>C12239</t>
        </is>
      </c>
      <c r="D617" s="10">
        <f>INDEX(Customers!$B:$B,MATCH(C617,Customers!$A:$A,0))</f>
        <v/>
      </c>
      <c r="E617" s="10">
        <f>INDEX(Customers!$D:$D,MATCH(C617,Customers!$A:$A,0))</f>
        <v/>
      </c>
      <c r="F617" s="10" t="inlineStr">
        <is>
          <t>Carrier B</t>
        </is>
      </c>
      <c r="G617" s="5" t="n">
        <v>46255</v>
      </c>
      <c r="H617" s="5" t="n">
        <v>46258</v>
      </c>
      <c r="I617" s="5" t="n">
        <v>46258</v>
      </c>
      <c r="J617" s="10" t="inlineStr">
        <is>
          <t>07:00</t>
        </is>
      </c>
      <c r="K617" s="10" t="inlineStr">
        <is>
          <t>On time</t>
        </is>
      </c>
      <c r="L617" s="6" t="n">
        <v>0</v>
      </c>
      <c r="M617" s="10" t="n"/>
      <c r="N617" s="6" t="n">
        <v>20</v>
      </c>
      <c r="O617" s="6" t="n">
        <v>2580</v>
      </c>
      <c r="P617" s="6" t="n">
        <v>1</v>
      </c>
      <c r="Q617" s="6">
        <f>IF(OR(K617="On time",K617="Late",K617="Very late"),1,0)</f>
        <v/>
      </c>
    </row>
    <row r="618">
      <c r="A618" s="10" t="inlineStr">
        <is>
          <t>DN318834</t>
        </is>
      </c>
      <c r="B618" s="10" t="inlineStr">
        <is>
          <t>SO62632</t>
        </is>
      </c>
      <c r="C618" s="10" t="inlineStr">
        <is>
          <t>C12305</t>
        </is>
      </c>
      <c r="D618" s="10">
        <f>INDEX(Customers!$B:$B,MATCH(C618,Customers!$A:$A,0))</f>
        <v/>
      </c>
      <c r="E618" s="10">
        <f>INDEX(Customers!$D:$D,MATCH(C618,Customers!$A:$A,0))</f>
        <v/>
      </c>
      <c r="F618" s="10" t="inlineStr">
        <is>
          <t>Carrier B</t>
        </is>
      </c>
      <c r="G618" s="5" t="n">
        <v>46255</v>
      </c>
      <c r="H618" s="5" t="n">
        <v>46258</v>
      </c>
      <c r="I618" s="5" t="n">
        <v>46258</v>
      </c>
      <c r="J618" s="10" t="inlineStr">
        <is>
          <t>16:40</t>
        </is>
      </c>
      <c r="K618" s="10" t="inlineStr">
        <is>
          <t>On time</t>
        </is>
      </c>
      <c r="L618" s="6" t="n">
        <v>0</v>
      </c>
      <c r="M618" s="10" t="n"/>
      <c r="N618" s="6" t="n">
        <v>34</v>
      </c>
      <c r="O618" s="6" t="n">
        <v>3876</v>
      </c>
      <c r="P618" s="6" t="n">
        <v>1</v>
      </c>
      <c r="Q618" s="6">
        <f>IF(OR(K618="On time",K618="Late",K618="Very late"),1,0)</f>
        <v/>
      </c>
    </row>
    <row r="619">
      <c r="A619" s="10" t="inlineStr">
        <is>
          <t>DN318835</t>
        </is>
      </c>
      <c r="B619" s="10" t="inlineStr">
        <is>
          <t>SO62633</t>
        </is>
      </c>
      <c r="C619" s="10" t="inlineStr">
        <is>
          <t>C12365</t>
        </is>
      </c>
      <c r="D619" s="10">
        <f>INDEX(Customers!$B:$B,MATCH(C619,Customers!$A:$A,0))</f>
        <v/>
      </c>
      <c r="E619" s="10">
        <f>INDEX(Customers!$D:$D,MATCH(C619,Customers!$A:$A,0))</f>
        <v/>
      </c>
      <c r="F619" s="10" t="inlineStr">
        <is>
          <t>Carrier B</t>
        </is>
      </c>
      <c r="G619" s="5" t="n">
        <v>46255</v>
      </c>
      <c r="H619" s="5" t="n">
        <v>46258</v>
      </c>
      <c r="I619" s="5" t="n">
        <v>46258</v>
      </c>
      <c r="J619" s="10" t="inlineStr">
        <is>
          <t>11:00</t>
        </is>
      </c>
      <c r="K619" s="10" t="inlineStr">
        <is>
          <t>On time</t>
        </is>
      </c>
      <c r="L619" s="6" t="n">
        <v>0</v>
      </c>
      <c r="M619" s="10" t="n"/>
      <c r="N619" s="6" t="n">
        <v>29</v>
      </c>
      <c r="O619" s="6" t="n">
        <v>1682</v>
      </c>
      <c r="P619" s="6" t="n">
        <v>1</v>
      </c>
      <c r="Q619" s="6">
        <f>IF(OR(K619="On time",K619="Late",K619="Very late"),1,0)</f>
        <v/>
      </c>
    </row>
    <row r="620">
      <c r="A620" s="10" t="inlineStr">
        <is>
          <t>DN318836</t>
        </is>
      </c>
      <c r="B620" s="10" t="inlineStr">
        <is>
          <t>SO62635</t>
        </is>
      </c>
      <c r="C620" s="10" t="inlineStr">
        <is>
          <t>C12371</t>
        </is>
      </c>
      <c r="D620" s="10">
        <f>INDEX(Customers!$B:$B,MATCH(C620,Customers!$A:$A,0))</f>
        <v/>
      </c>
      <c r="E620" s="10">
        <f>INDEX(Customers!$D:$D,MATCH(C620,Customers!$A:$A,0))</f>
        <v/>
      </c>
      <c r="F620" s="10" t="inlineStr">
        <is>
          <t>Carrier A</t>
        </is>
      </c>
      <c r="G620" s="5" t="n">
        <v>46255</v>
      </c>
      <c r="H620" s="5" t="n">
        <v>46258</v>
      </c>
      <c r="I620" s="5" t="n">
        <v>46258</v>
      </c>
      <c r="J620" s="10" t="inlineStr">
        <is>
          <t>14:50</t>
        </is>
      </c>
      <c r="K620" s="10" t="inlineStr">
        <is>
          <t>On time</t>
        </is>
      </c>
      <c r="L620" s="6" t="n">
        <v>0</v>
      </c>
      <c r="M620" s="10" t="n"/>
      <c r="N620" s="6" t="n">
        <v>10</v>
      </c>
      <c r="O620" s="6" t="n">
        <v>1210</v>
      </c>
      <c r="P620" s="6" t="n">
        <v>1</v>
      </c>
      <c r="Q620" s="6">
        <f>IF(OR(K620="On time",K620="Late",K620="Very late"),1,0)</f>
        <v/>
      </c>
    </row>
    <row r="621">
      <c r="A621" s="10" t="inlineStr">
        <is>
          <t>DN318837</t>
        </is>
      </c>
      <c r="B621" s="10" t="inlineStr">
        <is>
          <t>SO62636</t>
        </is>
      </c>
      <c r="C621" s="10" t="inlineStr">
        <is>
          <t>C12393</t>
        </is>
      </c>
      <c r="D621" s="10">
        <f>INDEX(Customers!$B:$B,MATCH(C621,Customers!$A:$A,0))</f>
        <v/>
      </c>
      <c r="E621" s="10">
        <f>INDEX(Customers!$D:$D,MATCH(C621,Customers!$A:$A,0))</f>
        <v/>
      </c>
      <c r="F621" s="10" t="inlineStr">
        <is>
          <t>Carrier A</t>
        </is>
      </c>
      <c r="G621" s="5" t="n">
        <v>46255</v>
      </c>
      <c r="H621" s="5" t="n">
        <v>46258</v>
      </c>
      <c r="I621" s="5" t="n">
        <v>46258</v>
      </c>
      <c r="J621" s="10" t="inlineStr">
        <is>
          <t>12:30</t>
        </is>
      </c>
      <c r="K621" s="10" t="inlineStr">
        <is>
          <t>On time</t>
        </is>
      </c>
      <c r="L621" s="6" t="n">
        <v>0</v>
      </c>
      <c r="M621" s="10" t="n"/>
      <c r="N621" s="6" t="n">
        <v>23</v>
      </c>
      <c r="O621" s="6" t="n">
        <v>2576</v>
      </c>
      <c r="P621" s="6" t="n">
        <v>0</v>
      </c>
      <c r="Q621" s="6">
        <f>IF(OR(K621="On time",K621="Late",K621="Very late"),1,0)</f>
        <v/>
      </c>
    </row>
    <row r="622">
      <c r="A622" s="10" t="inlineStr">
        <is>
          <t>DN318838</t>
        </is>
      </c>
      <c r="B622" s="10" t="inlineStr">
        <is>
          <t>SO62638</t>
        </is>
      </c>
      <c r="C622" s="10" t="inlineStr">
        <is>
          <t>C12420</t>
        </is>
      </c>
      <c r="D622" s="10">
        <f>INDEX(Customers!$B:$B,MATCH(C622,Customers!$A:$A,0))</f>
        <v/>
      </c>
      <c r="E622" s="10">
        <f>INDEX(Customers!$D:$D,MATCH(C622,Customers!$A:$A,0))</f>
        <v/>
      </c>
      <c r="F622" s="10" t="inlineStr">
        <is>
          <t>Carrier A</t>
        </is>
      </c>
      <c r="G622" s="5" t="n">
        <v>46255</v>
      </c>
      <c r="H622" s="5" t="n">
        <v>46258</v>
      </c>
      <c r="I622" s="5" t="n">
        <v>46258</v>
      </c>
      <c r="J622" s="10" t="inlineStr">
        <is>
          <t>11:50</t>
        </is>
      </c>
      <c r="K622" s="10" t="inlineStr">
        <is>
          <t>On time</t>
        </is>
      </c>
      <c r="L622" s="6" t="n">
        <v>0</v>
      </c>
      <c r="M622" s="10" t="n"/>
      <c r="N622" s="6" t="n">
        <v>9</v>
      </c>
      <c r="O622" s="6" t="n">
        <v>873</v>
      </c>
      <c r="P622" s="6" t="n">
        <v>1</v>
      </c>
      <c r="Q622" s="6">
        <f>IF(OR(K622="On time",K622="Late",K622="Very late"),1,0)</f>
        <v/>
      </c>
    </row>
    <row r="623">
      <c r="A623" s="10" t="inlineStr">
        <is>
          <t>DN318840</t>
        </is>
      </c>
      <c r="B623" s="10" t="inlineStr">
        <is>
          <t>SO62639</t>
        </is>
      </c>
      <c r="C623" s="10" t="inlineStr">
        <is>
          <t>C12527</t>
        </is>
      </c>
      <c r="D623" s="10">
        <f>INDEX(Customers!$B:$B,MATCH(C623,Customers!$A:$A,0))</f>
        <v/>
      </c>
      <c r="E623" s="10">
        <f>INDEX(Customers!$D:$D,MATCH(C623,Customers!$A:$A,0))</f>
        <v/>
      </c>
      <c r="F623" s="10" t="inlineStr">
        <is>
          <t>Carrier A</t>
        </is>
      </c>
      <c r="G623" s="5" t="n">
        <v>46255</v>
      </c>
      <c r="H623" s="5" t="n">
        <v>46258</v>
      </c>
      <c r="I623" s="5" t="n">
        <v>46258</v>
      </c>
      <c r="J623" s="10" t="inlineStr">
        <is>
          <t>10:30</t>
        </is>
      </c>
      <c r="K623" s="10" t="inlineStr">
        <is>
          <t>On time</t>
        </is>
      </c>
      <c r="L623" s="6" t="n">
        <v>0</v>
      </c>
      <c r="M623" s="10" t="n"/>
      <c r="N623" s="6" t="n">
        <v>7</v>
      </c>
      <c r="O623" s="6" t="n">
        <v>413</v>
      </c>
      <c r="P623" s="6" t="n">
        <v>1</v>
      </c>
      <c r="Q623" s="6">
        <f>IF(OR(K623="On time",K623="Late",K623="Very late"),1,0)</f>
        <v/>
      </c>
    </row>
    <row r="624">
      <c r="A624" s="10" t="inlineStr">
        <is>
          <t>DN318841</t>
        </is>
      </c>
      <c r="B624" s="10" t="inlineStr">
        <is>
          <t>SO62641</t>
        </is>
      </c>
      <c r="C624" s="10" t="inlineStr">
        <is>
          <t>C12543</t>
        </is>
      </c>
      <c r="D624" s="10">
        <f>INDEX(Customers!$B:$B,MATCH(C624,Customers!$A:$A,0))</f>
        <v/>
      </c>
      <c r="E624" s="10">
        <f>INDEX(Customers!$D:$D,MATCH(C624,Customers!$A:$A,0))</f>
        <v/>
      </c>
      <c r="F624" s="10" t="inlineStr">
        <is>
          <t>Carrier B</t>
        </is>
      </c>
      <c r="G624" s="5" t="n">
        <v>46254</v>
      </c>
      <c r="H624" s="5" t="n">
        <v>46258</v>
      </c>
      <c r="I624" s="5" t="n">
        <v>46258</v>
      </c>
      <c r="J624" s="10" t="inlineStr">
        <is>
          <t>07:30</t>
        </is>
      </c>
      <c r="K624" s="10" t="inlineStr">
        <is>
          <t>On time</t>
        </is>
      </c>
      <c r="L624" s="6" t="n">
        <v>0</v>
      </c>
      <c r="M624" s="10" t="n"/>
      <c r="N624" s="6" t="n">
        <v>9</v>
      </c>
      <c r="O624" s="6" t="n">
        <v>612</v>
      </c>
      <c r="P624" s="6" t="n">
        <v>1</v>
      </c>
      <c r="Q624" s="6">
        <f>IF(OR(K624="On time",K624="Late",K624="Very late"),1,0)</f>
        <v/>
      </c>
    </row>
    <row r="625">
      <c r="A625" s="10" t="inlineStr">
        <is>
          <t>DN318842</t>
        </is>
      </c>
      <c r="B625" s="10" t="inlineStr">
        <is>
          <t>SO62642</t>
        </is>
      </c>
      <c r="C625" s="10" t="inlineStr">
        <is>
          <t>C12617</t>
        </is>
      </c>
      <c r="D625" s="10">
        <f>INDEX(Customers!$B:$B,MATCH(C625,Customers!$A:$A,0))</f>
        <v/>
      </c>
      <c r="E625" s="10">
        <f>INDEX(Customers!$D:$D,MATCH(C625,Customers!$A:$A,0))</f>
        <v/>
      </c>
      <c r="F625" s="10" t="inlineStr">
        <is>
          <t>Carrier B</t>
        </is>
      </c>
      <c r="G625" s="5" t="n">
        <v>46254</v>
      </c>
      <c r="H625" s="5" t="n">
        <v>46258</v>
      </c>
      <c r="I625" s="5" t="n">
        <v>46258</v>
      </c>
      <c r="J625" s="10" t="inlineStr">
        <is>
          <t>09:30</t>
        </is>
      </c>
      <c r="K625" s="10" t="inlineStr">
        <is>
          <t>On time</t>
        </is>
      </c>
      <c r="L625" s="6" t="n">
        <v>0</v>
      </c>
      <c r="M625" s="10" t="n"/>
      <c r="N625" s="6" t="n">
        <v>29</v>
      </c>
      <c r="O625" s="6" t="n">
        <v>1682</v>
      </c>
      <c r="P625" s="6" t="n">
        <v>1</v>
      </c>
      <c r="Q625" s="6">
        <f>IF(OR(K625="On time",K625="Late",K625="Very late"),1,0)</f>
        <v/>
      </c>
    </row>
    <row r="626">
      <c r="A626" s="10" t="inlineStr">
        <is>
          <t>DN318843</t>
        </is>
      </c>
      <c r="B626" s="10" t="inlineStr">
        <is>
          <t>SO62643</t>
        </is>
      </c>
      <c r="C626" s="10" t="inlineStr">
        <is>
          <t>C12639</t>
        </is>
      </c>
      <c r="D626" s="10">
        <f>INDEX(Customers!$B:$B,MATCH(C626,Customers!$A:$A,0))</f>
        <v/>
      </c>
      <c r="E626" s="10">
        <f>INDEX(Customers!$D:$D,MATCH(C626,Customers!$A:$A,0))</f>
        <v/>
      </c>
      <c r="F626" s="10" t="inlineStr">
        <is>
          <t>Carrier B</t>
        </is>
      </c>
      <c r="G626" s="5" t="n">
        <v>46254</v>
      </c>
      <c r="H626" s="5" t="n">
        <v>46258</v>
      </c>
      <c r="I626" s="5" t="n">
        <v>46258</v>
      </c>
      <c r="J626" s="10" t="inlineStr">
        <is>
          <t>15:00</t>
        </is>
      </c>
      <c r="K626" s="10" t="inlineStr">
        <is>
          <t>On time</t>
        </is>
      </c>
      <c r="L626" s="6" t="n">
        <v>0</v>
      </c>
      <c r="M626" s="10" t="n"/>
      <c r="N626" s="6" t="n">
        <v>18</v>
      </c>
      <c r="O626" s="6" t="n">
        <v>2448</v>
      </c>
      <c r="P626" s="6" t="n">
        <v>1</v>
      </c>
      <c r="Q626" s="6">
        <f>IF(OR(K626="On time",K626="Late",K626="Very late"),1,0)</f>
        <v/>
      </c>
    </row>
    <row r="627">
      <c r="A627" s="10" t="inlineStr">
        <is>
          <t>DN318844</t>
        </is>
      </c>
      <c r="B627" s="10" t="inlineStr">
        <is>
          <t>SO62645</t>
        </is>
      </c>
      <c r="C627" s="10" t="inlineStr">
        <is>
          <t>C10322</t>
        </is>
      </c>
      <c r="D627" s="10">
        <f>INDEX(Customers!$B:$B,MATCH(C627,Customers!$A:$A,0))</f>
        <v/>
      </c>
      <c r="E627" s="10">
        <f>INDEX(Customers!$D:$D,MATCH(C627,Customers!$A:$A,0))</f>
        <v/>
      </c>
      <c r="F627" s="10" t="inlineStr">
        <is>
          <t>Own trucks</t>
        </is>
      </c>
      <c r="G627" s="5" t="n">
        <v>46258</v>
      </c>
      <c r="H627" s="5" t="n">
        <v>46259</v>
      </c>
      <c r="I627" s="5" t="n">
        <v>46259</v>
      </c>
      <c r="J627" s="10" t="inlineStr">
        <is>
          <t>09:30</t>
        </is>
      </c>
      <c r="K627" s="10" t="inlineStr">
        <is>
          <t>On time</t>
        </is>
      </c>
      <c r="L627" s="6" t="n">
        <v>0</v>
      </c>
      <c r="M627" s="10" t="n"/>
      <c r="N627" s="6" t="n">
        <v>22</v>
      </c>
      <c r="O627" s="6" t="n">
        <v>2662</v>
      </c>
      <c r="P627" s="6" t="n">
        <v>1</v>
      </c>
      <c r="Q627" s="6">
        <f>IF(OR(K627="On time",K627="Late",K627="Very late"),1,0)</f>
        <v/>
      </c>
    </row>
    <row r="628">
      <c r="A628" s="10" t="inlineStr">
        <is>
          <t>DN318845</t>
        </is>
      </c>
      <c r="B628" s="10" t="inlineStr">
        <is>
          <t>SO62646</t>
        </is>
      </c>
      <c r="C628" s="10" t="inlineStr">
        <is>
          <t>C10343</t>
        </is>
      </c>
      <c r="D628" s="10">
        <f>INDEX(Customers!$B:$B,MATCH(C628,Customers!$A:$A,0))</f>
        <v/>
      </c>
      <c r="E628" s="10">
        <f>INDEX(Customers!$D:$D,MATCH(C628,Customers!$A:$A,0))</f>
        <v/>
      </c>
      <c r="F628" s="10" t="inlineStr">
        <is>
          <t>Own trucks</t>
        </is>
      </c>
      <c r="G628" s="5" t="n">
        <v>46258</v>
      </c>
      <c r="H628" s="5" t="n">
        <v>46259</v>
      </c>
      <c r="I628" s="5" t="n">
        <v>46259</v>
      </c>
      <c r="J628" s="10" t="inlineStr">
        <is>
          <t>10:50</t>
        </is>
      </c>
      <c r="K628" s="10" t="inlineStr">
        <is>
          <t>On time</t>
        </is>
      </c>
      <c r="L628" s="6" t="n">
        <v>0</v>
      </c>
      <c r="M628" s="10" t="n"/>
      <c r="N628" s="6" t="n">
        <v>20</v>
      </c>
      <c r="O628" s="6" t="n">
        <v>1460</v>
      </c>
      <c r="P628" s="6" t="n">
        <v>1</v>
      </c>
      <c r="Q628" s="6">
        <f>IF(OR(K628="On time",K628="Late",K628="Very late"),1,0)</f>
        <v/>
      </c>
    </row>
    <row r="629">
      <c r="A629" s="10" t="inlineStr">
        <is>
          <t>DN318846</t>
        </is>
      </c>
      <c r="B629" s="10" t="inlineStr">
        <is>
          <t>SO62647</t>
        </is>
      </c>
      <c r="C629" s="10" t="inlineStr">
        <is>
          <t>C10446</t>
        </is>
      </c>
      <c r="D629" s="10">
        <f>INDEX(Customers!$B:$B,MATCH(C629,Customers!$A:$A,0))</f>
        <v/>
      </c>
      <c r="E629" s="10">
        <f>INDEX(Customers!$D:$D,MATCH(C629,Customers!$A:$A,0))</f>
        <v/>
      </c>
      <c r="F629" s="10" t="inlineStr">
        <is>
          <t>Own trucks</t>
        </is>
      </c>
      <c r="G629" s="5" t="n">
        <v>46258</v>
      </c>
      <c r="H629" s="5" t="n">
        <v>46259</v>
      </c>
      <c r="I629" s="5" t="n">
        <v>46259</v>
      </c>
      <c r="J629" s="10" t="inlineStr">
        <is>
          <t>12:40</t>
        </is>
      </c>
      <c r="K629" s="10" t="inlineStr">
        <is>
          <t>On time</t>
        </is>
      </c>
      <c r="L629" s="6" t="n">
        <v>0</v>
      </c>
      <c r="M629" s="10" t="n"/>
      <c r="N629" s="6" t="n">
        <v>15</v>
      </c>
      <c r="O629" s="6" t="n">
        <v>1470</v>
      </c>
      <c r="P629" s="6" t="n">
        <v>1</v>
      </c>
      <c r="Q629" s="6">
        <f>IF(OR(K629="On time",K629="Late",K629="Very late"),1,0)</f>
        <v/>
      </c>
    </row>
    <row r="630">
      <c r="A630" s="10" t="inlineStr">
        <is>
          <t>DN318847</t>
        </is>
      </c>
      <c r="B630" s="10" t="inlineStr">
        <is>
          <t>SO62648</t>
        </is>
      </c>
      <c r="C630" s="10" t="inlineStr">
        <is>
          <t>C10522</t>
        </is>
      </c>
      <c r="D630" s="10">
        <f>INDEX(Customers!$B:$B,MATCH(C630,Customers!$A:$A,0))</f>
        <v/>
      </c>
      <c r="E630" s="10">
        <f>INDEX(Customers!$D:$D,MATCH(C630,Customers!$A:$A,0))</f>
        <v/>
      </c>
      <c r="F630" s="10" t="inlineStr">
        <is>
          <t>Same-day courier</t>
        </is>
      </c>
      <c r="G630" s="5" t="n">
        <v>46258</v>
      </c>
      <c r="H630" s="5" t="n">
        <v>46259</v>
      </c>
      <c r="I630" s="5" t="n">
        <v>46259</v>
      </c>
      <c r="J630" s="10" t="inlineStr">
        <is>
          <t>08:50</t>
        </is>
      </c>
      <c r="K630" s="10" t="inlineStr">
        <is>
          <t>On time</t>
        </is>
      </c>
      <c r="L630" s="6" t="n">
        <v>0</v>
      </c>
      <c r="M630" s="10" t="n"/>
      <c r="N630" s="6" t="n">
        <v>3</v>
      </c>
      <c r="O630" s="6" t="n">
        <v>405</v>
      </c>
      <c r="P630" s="6" t="n">
        <v>1</v>
      </c>
      <c r="Q630" s="6">
        <f>IF(OR(K630="On time",K630="Late",K630="Very late"),1,0)</f>
        <v/>
      </c>
    </row>
    <row r="631">
      <c r="A631" s="10" t="inlineStr">
        <is>
          <t>DN318848</t>
        </is>
      </c>
      <c r="B631" s="10" t="inlineStr">
        <is>
          <t>SO62649</t>
        </is>
      </c>
      <c r="C631" s="10" t="inlineStr">
        <is>
          <t>C10536</t>
        </is>
      </c>
      <c r="D631" s="10">
        <f>INDEX(Customers!$B:$B,MATCH(C631,Customers!$A:$A,0))</f>
        <v/>
      </c>
      <c r="E631" s="10">
        <f>INDEX(Customers!$D:$D,MATCH(C631,Customers!$A:$A,0))</f>
        <v/>
      </c>
      <c r="F631" s="10" t="inlineStr">
        <is>
          <t>Own trucks</t>
        </is>
      </c>
      <c r="G631" s="5" t="n">
        <v>46258</v>
      </c>
      <c r="H631" s="5" t="n">
        <v>46259</v>
      </c>
      <c r="I631" s="5" t="n">
        <v>46259</v>
      </c>
      <c r="J631" s="10" t="inlineStr">
        <is>
          <t>15:30</t>
        </is>
      </c>
      <c r="K631" s="10" t="inlineStr">
        <is>
          <t>On time</t>
        </is>
      </c>
      <c r="L631" s="6" t="n">
        <v>0</v>
      </c>
      <c r="M631" s="10" t="n"/>
      <c r="N631" s="6" t="n">
        <v>35</v>
      </c>
      <c r="O631" s="6" t="n">
        <v>2415</v>
      </c>
      <c r="P631" s="6" t="n">
        <v>1</v>
      </c>
      <c r="Q631" s="6">
        <f>IF(OR(K631="On time",K631="Late",K631="Very late"),1,0)</f>
        <v/>
      </c>
    </row>
    <row r="632">
      <c r="A632" s="10" t="inlineStr">
        <is>
          <t>DN318849</t>
        </is>
      </c>
      <c r="B632" s="10" t="inlineStr">
        <is>
          <t>SO62650</t>
        </is>
      </c>
      <c r="C632" s="10" t="inlineStr">
        <is>
          <t>C10589</t>
        </is>
      </c>
      <c r="D632" s="10">
        <f>INDEX(Customers!$B:$B,MATCH(C632,Customers!$A:$A,0))</f>
        <v/>
      </c>
      <c r="E632" s="10">
        <f>INDEX(Customers!$D:$D,MATCH(C632,Customers!$A:$A,0))</f>
        <v/>
      </c>
      <c r="F632" s="10" t="inlineStr">
        <is>
          <t>Own trucks</t>
        </is>
      </c>
      <c r="G632" s="5" t="n">
        <v>46258</v>
      </c>
      <c r="H632" s="5" t="n">
        <v>46259</v>
      </c>
      <c r="I632" s="5" t="n">
        <v>46259</v>
      </c>
      <c r="J632" s="10" t="inlineStr">
        <is>
          <t>09:10</t>
        </is>
      </c>
      <c r="K632" s="10" t="inlineStr">
        <is>
          <t>On time</t>
        </is>
      </c>
      <c r="L632" s="6" t="n">
        <v>0</v>
      </c>
      <c r="M632" s="10" t="n"/>
      <c r="N632" s="6" t="n">
        <v>25</v>
      </c>
      <c r="O632" s="6" t="n">
        <v>1800</v>
      </c>
      <c r="P632" s="6" t="n">
        <v>1</v>
      </c>
      <c r="Q632" s="6">
        <f>IF(OR(K632="On time",K632="Late",K632="Very late"),1,0)</f>
        <v/>
      </c>
    </row>
    <row r="633">
      <c r="A633" s="10" t="inlineStr">
        <is>
          <t>DN318850</t>
        </is>
      </c>
      <c r="B633" s="10" t="inlineStr">
        <is>
          <t>SO62651</t>
        </is>
      </c>
      <c r="C633" s="10" t="inlineStr">
        <is>
          <t>C10622</t>
        </is>
      </c>
      <c r="D633" s="10">
        <f>INDEX(Customers!$B:$B,MATCH(C633,Customers!$A:$A,0))</f>
        <v/>
      </c>
      <c r="E633" s="10">
        <f>INDEX(Customers!$D:$D,MATCH(C633,Customers!$A:$A,0))</f>
        <v/>
      </c>
      <c r="F633" s="10" t="inlineStr">
        <is>
          <t>Own trucks</t>
        </is>
      </c>
      <c r="G633" s="5" t="n">
        <v>46258</v>
      </c>
      <c r="H633" s="5" t="n">
        <v>46259</v>
      </c>
      <c r="I633" s="5" t="n">
        <v>46259</v>
      </c>
      <c r="J633" s="10" t="inlineStr">
        <is>
          <t>07:10</t>
        </is>
      </c>
      <c r="K633" s="10" t="inlineStr">
        <is>
          <t>On time</t>
        </is>
      </c>
      <c r="L633" s="6" t="n">
        <v>0</v>
      </c>
      <c r="M633" s="10" t="n"/>
      <c r="N633" s="6" t="n">
        <v>28</v>
      </c>
      <c r="O633" s="6" t="n">
        <v>3892</v>
      </c>
      <c r="P633" s="6" t="n">
        <v>1</v>
      </c>
      <c r="Q633" s="6">
        <f>IF(OR(K633="On time",K633="Late",K633="Very late"),1,0)</f>
        <v/>
      </c>
    </row>
    <row r="634">
      <c r="A634" s="10" t="inlineStr">
        <is>
          <t>DN318851</t>
        </is>
      </c>
      <c r="B634" s="10" t="inlineStr">
        <is>
          <t>SO62653</t>
        </is>
      </c>
      <c r="C634" s="10" t="inlineStr">
        <is>
          <t>C10676</t>
        </is>
      </c>
      <c r="D634" s="10">
        <f>INDEX(Customers!$B:$B,MATCH(C634,Customers!$A:$A,0))</f>
        <v/>
      </c>
      <c r="E634" s="10">
        <f>INDEX(Customers!$D:$D,MATCH(C634,Customers!$A:$A,0))</f>
        <v/>
      </c>
      <c r="F634" s="10" t="inlineStr">
        <is>
          <t>Own trucks</t>
        </is>
      </c>
      <c r="G634" s="5" t="n">
        <v>46258</v>
      </c>
      <c r="H634" s="5" t="n">
        <v>46259</v>
      </c>
      <c r="I634" s="5" t="n">
        <v>46259</v>
      </c>
      <c r="J634" s="10" t="inlineStr">
        <is>
          <t>11:00</t>
        </is>
      </c>
      <c r="K634" s="10" t="inlineStr">
        <is>
          <t>On time</t>
        </is>
      </c>
      <c r="L634" s="6" t="n">
        <v>0</v>
      </c>
      <c r="M634" s="10" t="n"/>
      <c r="N634" s="6" t="n">
        <v>21</v>
      </c>
      <c r="O634" s="6" t="n">
        <v>2709</v>
      </c>
      <c r="P634" s="6" t="n">
        <v>1</v>
      </c>
      <c r="Q634" s="6">
        <f>IF(OR(K634="On time",K634="Late",K634="Very late"),1,0)</f>
        <v/>
      </c>
    </row>
    <row r="635">
      <c r="A635" s="10" t="inlineStr">
        <is>
          <t>DN318852</t>
        </is>
      </c>
      <c r="B635" s="10" t="inlineStr">
        <is>
          <t>SO62654</t>
        </is>
      </c>
      <c r="C635" s="10" t="inlineStr">
        <is>
          <t>C10689</t>
        </is>
      </c>
      <c r="D635" s="10">
        <f>INDEX(Customers!$B:$B,MATCH(C635,Customers!$A:$A,0))</f>
        <v/>
      </c>
      <c r="E635" s="10">
        <f>INDEX(Customers!$D:$D,MATCH(C635,Customers!$A:$A,0))</f>
        <v/>
      </c>
      <c r="F635" s="10" t="inlineStr">
        <is>
          <t>Own trucks</t>
        </is>
      </c>
      <c r="G635" s="5" t="n">
        <v>46258</v>
      </c>
      <c r="H635" s="5" t="n">
        <v>46259</v>
      </c>
      <c r="I635" s="5" t="n">
        <v>46259</v>
      </c>
      <c r="J635" s="10" t="inlineStr">
        <is>
          <t>10:00</t>
        </is>
      </c>
      <c r="K635" s="10" t="inlineStr">
        <is>
          <t>On time</t>
        </is>
      </c>
      <c r="L635" s="6" t="n">
        <v>0</v>
      </c>
      <c r="M635" s="10" t="n"/>
      <c r="N635" s="6" t="n">
        <v>17</v>
      </c>
      <c r="O635" s="6" t="n">
        <v>1343</v>
      </c>
      <c r="P635" s="6" t="n">
        <v>0</v>
      </c>
      <c r="Q635" s="6">
        <f>IF(OR(K635="On time",K635="Late",K635="Very late"),1,0)</f>
        <v/>
      </c>
    </row>
    <row r="636">
      <c r="A636" s="10" t="inlineStr">
        <is>
          <t>DN318853</t>
        </is>
      </c>
      <c r="B636" s="10" t="inlineStr">
        <is>
          <t>SO62656</t>
        </is>
      </c>
      <c r="C636" s="10" t="inlineStr">
        <is>
          <t>C10796</t>
        </is>
      </c>
      <c r="D636" s="10">
        <f>INDEX(Customers!$B:$B,MATCH(C636,Customers!$A:$A,0))</f>
        <v/>
      </c>
      <c r="E636" s="10">
        <f>INDEX(Customers!$D:$D,MATCH(C636,Customers!$A:$A,0))</f>
        <v/>
      </c>
      <c r="F636" s="10" t="inlineStr">
        <is>
          <t>Own trucks</t>
        </is>
      </c>
      <c r="G636" s="5" t="n">
        <v>46258</v>
      </c>
      <c r="H636" s="5" t="n">
        <v>46259</v>
      </c>
      <c r="I636" s="5" t="n">
        <v>46259</v>
      </c>
      <c r="J636" s="10" t="inlineStr">
        <is>
          <t>09:40</t>
        </is>
      </c>
      <c r="K636" s="10" t="inlineStr">
        <is>
          <t>On time</t>
        </is>
      </c>
      <c r="L636" s="6" t="n">
        <v>0</v>
      </c>
      <c r="M636" s="10" t="n"/>
      <c r="N636" s="6" t="n">
        <v>15</v>
      </c>
      <c r="O636" s="6" t="n">
        <v>1155</v>
      </c>
      <c r="P636" s="6" t="n">
        <v>1</v>
      </c>
      <c r="Q636" s="6">
        <f>IF(OR(K636="On time",K636="Late",K636="Very late"),1,0)</f>
        <v/>
      </c>
    </row>
    <row r="637">
      <c r="A637" s="10" t="inlineStr">
        <is>
          <t>DN318854</t>
        </is>
      </c>
      <c r="B637" s="10" t="inlineStr">
        <is>
          <t>SO62657</t>
        </is>
      </c>
      <c r="C637" s="10" t="inlineStr">
        <is>
          <t>C10847</t>
        </is>
      </c>
      <c r="D637" s="10">
        <f>INDEX(Customers!$B:$B,MATCH(C637,Customers!$A:$A,0))</f>
        <v/>
      </c>
      <c r="E637" s="10">
        <f>INDEX(Customers!$D:$D,MATCH(C637,Customers!$A:$A,0))</f>
        <v/>
      </c>
      <c r="F637" s="10" t="inlineStr">
        <is>
          <t>Own trucks</t>
        </is>
      </c>
      <c r="G637" s="5" t="n">
        <v>46258</v>
      </c>
      <c r="H637" s="5" t="n">
        <v>46259</v>
      </c>
      <c r="I637" s="5" t="n">
        <v>46259</v>
      </c>
      <c r="J637" s="10" t="inlineStr">
        <is>
          <t>14:20</t>
        </is>
      </c>
      <c r="K637" s="10" t="inlineStr">
        <is>
          <t>On time</t>
        </is>
      </c>
      <c r="L637" s="6" t="n">
        <v>0</v>
      </c>
      <c r="M637" s="10" t="n"/>
      <c r="N637" s="6" t="n">
        <v>31</v>
      </c>
      <c r="O637" s="6" t="n">
        <v>4061</v>
      </c>
      <c r="P637" s="6" t="n">
        <v>1</v>
      </c>
      <c r="Q637" s="6">
        <f>IF(OR(K637="On time",K637="Late",K637="Very late"),1,0)</f>
        <v/>
      </c>
    </row>
    <row r="638">
      <c r="A638" s="10" t="inlineStr">
        <is>
          <t>DN318855</t>
        </is>
      </c>
      <c r="B638" s="10" t="inlineStr">
        <is>
          <t>SO62658</t>
        </is>
      </c>
      <c r="C638" s="10" t="inlineStr">
        <is>
          <t>C10915</t>
        </is>
      </c>
      <c r="D638" s="10">
        <f>INDEX(Customers!$B:$B,MATCH(C638,Customers!$A:$A,0))</f>
        <v/>
      </c>
      <c r="E638" s="10">
        <f>INDEX(Customers!$D:$D,MATCH(C638,Customers!$A:$A,0))</f>
        <v/>
      </c>
      <c r="F638" s="10" t="inlineStr">
        <is>
          <t>Own trucks</t>
        </is>
      </c>
      <c r="G638" s="5" t="n">
        <v>46258</v>
      </c>
      <c r="H638" s="5" t="n">
        <v>46259</v>
      </c>
      <c r="I638" s="5" t="n">
        <v>46259</v>
      </c>
      <c r="J638" s="10" t="inlineStr">
        <is>
          <t>08:00</t>
        </is>
      </c>
      <c r="K638" s="10" t="inlineStr">
        <is>
          <t>On time</t>
        </is>
      </c>
      <c r="L638" s="6" t="n">
        <v>0</v>
      </c>
      <c r="M638" s="10" t="n"/>
      <c r="N638" s="6" t="n">
        <v>10</v>
      </c>
      <c r="O638" s="6" t="n">
        <v>820</v>
      </c>
      <c r="P638" s="6" t="n">
        <v>1</v>
      </c>
      <c r="Q638" s="6">
        <f>IF(OR(K638="On time",K638="Late",K638="Very late"),1,0)</f>
        <v/>
      </c>
    </row>
    <row r="639">
      <c r="A639" s="10" t="inlineStr">
        <is>
          <t>DN318856</t>
        </is>
      </c>
      <c r="B639" s="10" t="inlineStr">
        <is>
          <t>SO62660</t>
        </is>
      </c>
      <c r="C639" s="10" t="inlineStr">
        <is>
          <t>C10982</t>
        </is>
      </c>
      <c r="D639" s="10">
        <f>INDEX(Customers!$B:$B,MATCH(C639,Customers!$A:$A,0))</f>
        <v/>
      </c>
      <c r="E639" s="10">
        <f>INDEX(Customers!$D:$D,MATCH(C639,Customers!$A:$A,0))</f>
        <v/>
      </c>
      <c r="F639" s="10" t="inlineStr">
        <is>
          <t>Own trucks</t>
        </is>
      </c>
      <c r="G639" s="5" t="n">
        <v>46258</v>
      </c>
      <c r="H639" s="5" t="n">
        <v>46259</v>
      </c>
      <c r="I639" s="5" t="n">
        <v>46259</v>
      </c>
      <c r="J639" s="10" t="inlineStr">
        <is>
          <t>13:20</t>
        </is>
      </c>
      <c r="K639" s="10" t="inlineStr">
        <is>
          <t>On time</t>
        </is>
      </c>
      <c r="L639" s="6" t="n">
        <v>0</v>
      </c>
      <c r="M639" s="10" t="n"/>
      <c r="N639" s="6" t="n">
        <v>26</v>
      </c>
      <c r="O639" s="6" t="n">
        <v>3536</v>
      </c>
      <c r="P639" s="6" t="n">
        <v>1</v>
      </c>
      <c r="Q639" s="6">
        <f>IF(OR(K639="On time",K639="Late",K639="Very late"),1,0)</f>
        <v/>
      </c>
    </row>
    <row r="640">
      <c r="A640" s="10" t="inlineStr">
        <is>
          <t>DN318857</t>
        </is>
      </c>
      <c r="B640" s="10" t="inlineStr">
        <is>
          <t>SO62661</t>
        </is>
      </c>
      <c r="C640" s="10" t="inlineStr">
        <is>
          <t>C11107</t>
        </is>
      </c>
      <c r="D640" s="10">
        <f>INDEX(Customers!$B:$B,MATCH(C640,Customers!$A:$A,0))</f>
        <v/>
      </c>
      <c r="E640" s="10">
        <f>INDEX(Customers!$D:$D,MATCH(C640,Customers!$A:$A,0))</f>
        <v/>
      </c>
      <c r="F640" s="10" t="inlineStr">
        <is>
          <t>Own trucks</t>
        </is>
      </c>
      <c r="G640" s="5" t="n">
        <v>46258</v>
      </c>
      <c r="H640" s="5" t="n">
        <v>46259</v>
      </c>
      <c r="I640" s="5" t="n">
        <v>46259</v>
      </c>
      <c r="J640" s="10" t="inlineStr">
        <is>
          <t>12:50</t>
        </is>
      </c>
      <c r="K640" s="10" t="inlineStr">
        <is>
          <t>On time</t>
        </is>
      </c>
      <c r="L640" s="6" t="n">
        <v>0</v>
      </c>
      <c r="M640" s="10" t="n"/>
      <c r="N640" s="6" t="n">
        <v>34</v>
      </c>
      <c r="O640" s="6" t="n">
        <v>3570</v>
      </c>
      <c r="P640" s="6" t="n">
        <v>1</v>
      </c>
      <c r="Q640" s="6">
        <f>IF(OR(K640="On time",K640="Late",K640="Very late"),1,0)</f>
        <v/>
      </c>
    </row>
    <row r="641">
      <c r="A641" s="10" t="inlineStr">
        <is>
          <t>DN318858</t>
        </is>
      </c>
      <c r="B641" s="10" t="inlineStr">
        <is>
          <t>SO62662</t>
        </is>
      </c>
      <c r="C641" s="10" t="inlineStr">
        <is>
          <t>C11143</t>
        </is>
      </c>
      <c r="D641" s="10">
        <f>INDEX(Customers!$B:$B,MATCH(C641,Customers!$A:$A,0))</f>
        <v/>
      </c>
      <c r="E641" s="10">
        <f>INDEX(Customers!$D:$D,MATCH(C641,Customers!$A:$A,0))</f>
        <v/>
      </c>
      <c r="F641" s="10" t="inlineStr">
        <is>
          <t>Own trucks</t>
        </is>
      </c>
      <c r="G641" s="5" t="n">
        <v>46258</v>
      </c>
      <c r="H641" s="5" t="n">
        <v>46259</v>
      </c>
      <c r="I641" s="5" t="n">
        <v>46259</v>
      </c>
      <c r="J641" s="10" t="inlineStr">
        <is>
          <t>10:30</t>
        </is>
      </c>
      <c r="K641" s="10" t="inlineStr">
        <is>
          <t>On time</t>
        </is>
      </c>
      <c r="L641" s="6" t="n">
        <v>0</v>
      </c>
      <c r="M641" s="10" t="n"/>
      <c r="N641" s="6" t="n">
        <v>23</v>
      </c>
      <c r="O641" s="6" t="n">
        <v>2530</v>
      </c>
      <c r="P641" s="6" t="n">
        <v>1</v>
      </c>
      <c r="Q641" s="6">
        <f>IF(OR(K641="On time",K641="Late",K641="Very late"),1,0)</f>
        <v/>
      </c>
    </row>
    <row r="642">
      <c r="A642" s="10" t="inlineStr">
        <is>
          <t>DN318859</t>
        </is>
      </c>
      <c r="B642" s="10" t="inlineStr">
        <is>
          <t>SO62663</t>
        </is>
      </c>
      <c r="C642" s="10" t="inlineStr">
        <is>
          <t>C11186</t>
        </is>
      </c>
      <c r="D642" s="10">
        <f>INDEX(Customers!$B:$B,MATCH(C642,Customers!$A:$A,0))</f>
        <v/>
      </c>
      <c r="E642" s="10">
        <f>INDEX(Customers!$D:$D,MATCH(C642,Customers!$A:$A,0))</f>
        <v/>
      </c>
      <c r="F642" s="10" t="inlineStr">
        <is>
          <t>Own trucks</t>
        </is>
      </c>
      <c r="G642" s="5" t="n">
        <v>46258</v>
      </c>
      <c r="H642" s="5" t="n">
        <v>46259</v>
      </c>
      <c r="I642" s="5" t="n">
        <v>46259</v>
      </c>
      <c r="J642" s="10" t="inlineStr">
        <is>
          <t>11:50</t>
        </is>
      </c>
      <c r="K642" s="10" t="inlineStr">
        <is>
          <t>On time</t>
        </is>
      </c>
      <c r="L642" s="6" t="n">
        <v>0</v>
      </c>
      <c r="M642" s="10" t="n"/>
      <c r="N642" s="6" t="n">
        <v>32</v>
      </c>
      <c r="O642" s="6" t="n">
        <v>2880</v>
      </c>
      <c r="P642" s="6" t="n">
        <v>1</v>
      </c>
      <c r="Q642" s="6">
        <f>IF(OR(K642="On time",K642="Late",K642="Very late"),1,0)</f>
        <v/>
      </c>
    </row>
    <row r="643">
      <c r="A643" s="10" t="inlineStr">
        <is>
          <t>DN318860</t>
        </is>
      </c>
      <c r="B643" s="10" t="inlineStr">
        <is>
          <t>SO62664</t>
        </is>
      </c>
      <c r="C643" s="10" t="inlineStr">
        <is>
          <t>C11247</t>
        </is>
      </c>
      <c r="D643" s="10">
        <f>INDEX(Customers!$B:$B,MATCH(C643,Customers!$A:$A,0))</f>
        <v/>
      </c>
      <c r="E643" s="10">
        <f>INDEX(Customers!$D:$D,MATCH(C643,Customers!$A:$A,0))</f>
        <v/>
      </c>
      <c r="F643" s="10" t="inlineStr">
        <is>
          <t>Own trucks</t>
        </is>
      </c>
      <c r="G643" s="5" t="n">
        <v>46258</v>
      </c>
      <c r="H643" s="5" t="n">
        <v>46259</v>
      </c>
      <c r="I643" s="5" t="n">
        <v>46259</v>
      </c>
      <c r="J643" s="10" t="inlineStr">
        <is>
          <t>08:00</t>
        </is>
      </c>
      <c r="K643" s="10" t="inlineStr">
        <is>
          <t>On time</t>
        </is>
      </c>
      <c r="L643" s="6" t="n">
        <v>0</v>
      </c>
      <c r="M643" s="10" t="n"/>
      <c r="N643" s="6" t="n">
        <v>13</v>
      </c>
      <c r="O643" s="6" t="n">
        <v>806</v>
      </c>
      <c r="P643" s="6" t="n">
        <v>1</v>
      </c>
      <c r="Q643" s="6">
        <f>IF(OR(K643="On time",K643="Late",K643="Very late"),1,0)</f>
        <v/>
      </c>
    </row>
    <row r="644">
      <c r="A644" s="10" t="inlineStr">
        <is>
          <t>DN318861</t>
        </is>
      </c>
      <c r="B644" s="10" t="inlineStr">
        <is>
          <t>SO62666</t>
        </is>
      </c>
      <c r="C644" s="10" t="inlineStr">
        <is>
          <t>C11264</t>
        </is>
      </c>
      <c r="D644" s="10">
        <f>INDEX(Customers!$B:$B,MATCH(C644,Customers!$A:$A,0))</f>
        <v/>
      </c>
      <c r="E644" s="10">
        <f>INDEX(Customers!$D:$D,MATCH(C644,Customers!$A:$A,0))</f>
        <v/>
      </c>
      <c r="F644" s="10" t="inlineStr">
        <is>
          <t>Own trucks</t>
        </is>
      </c>
      <c r="G644" s="5" t="n">
        <v>46258</v>
      </c>
      <c r="H644" s="5" t="n">
        <v>46259</v>
      </c>
      <c r="I644" s="5" t="n">
        <v>46259</v>
      </c>
      <c r="J644" s="10" t="inlineStr">
        <is>
          <t>08:20</t>
        </is>
      </c>
      <c r="K644" s="10" t="inlineStr">
        <is>
          <t>On time</t>
        </is>
      </c>
      <c r="L644" s="6" t="n">
        <v>0</v>
      </c>
      <c r="M644" s="10" t="n"/>
      <c r="N644" s="6" t="n">
        <v>4</v>
      </c>
      <c r="O644" s="6" t="n">
        <v>376</v>
      </c>
      <c r="P644" s="6" t="n">
        <v>1</v>
      </c>
      <c r="Q644" s="6">
        <f>IF(OR(K644="On time",K644="Late",K644="Very late"),1,0)</f>
        <v/>
      </c>
    </row>
    <row r="645">
      <c r="A645" s="10" t="inlineStr">
        <is>
          <t>DN318862</t>
        </is>
      </c>
      <c r="B645" s="10" t="inlineStr">
        <is>
          <t>SO62667</t>
        </is>
      </c>
      <c r="C645" s="10" t="inlineStr">
        <is>
          <t>C11314</t>
        </is>
      </c>
      <c r="D645" s="10">
        <f>INDEX(Customers!$B:$B,MATCH(C645,Customers!$A:$A,0))</f>
        <v/>
      </c>
      <c r="E645" s="10">
        <f>INDEX(Customers!$D:$D,MATCH(C645,Customers!$A:$A,0))</f>
        <v/>
      </c>
      <c r="F645" s="10" t="inlineStr">
        <is>
          <t>Own trucks</t>
        </is>
      </c>
      <c r="G645" s="5" t="n">
        <v>46258</v>
      </c>
      <c r="H645" s="5" t="n">
        <v>46259</v>
      </c>
      <c r="I645" s="5" t="n">
        <v>46259</v>
      </c>
      <c r="J645" s="10" t="inlineStr">
        <is>
          <t>13:00</t>
        </is>
      </c>
      <c r="K645" s="10" t="inlineStr">
        <is>
          <t>On time</t>
        </is>
      </c>
      <c r="L645" s="6" t="n">
        <v>0</v>
      </c>
      <c r="M645" s="10" t="n"/>
      <c r="N645" s="6" t="n">
        <v>27</v>
      </c>
      <c r="O645" s="6" t="n">
        <v>2538</v>
      </c>
      <c r="P645" s="6" t="n">
        <v>1</v>
      </c>
      <c r="Q645" s="6">
        <f>IF(OR(K645="On time",K645="Late",K645="Very late"),1,0)</f>
        <v/>
      </c>
    </row>
    <row r="646">
      <c r="A646" s="10" t="inlineStr">
        <is>
          <t>DN318863</t>
        </is>
      </c>
      <c r="B646" s="10" t="inlineStr">
        <is>
          <t>SO62668</t>
        </is>
      </c>
      <c r="C646" s="10" t="inlineStr">
        <is>
          <t>C11518</t>
        </is>
      </c>
      <c r="D646" s="10">
        <f>INDEX(Customers!$B:$B,MATCH(C646,Customers!$A:$A,0))</f>
        <v/>
      </c>
      <c r="E646" s="10">
        <f>INDEX(Customers!$D:$D,MATCH(C646,Customers!$A:$A,0))</f>
        <v/>
      </c>
      <c r="F646" s="10" t="inlineStr">
        <is>
          <t>Own trucks</t>
        </is>
      </c>
      <c r="G646" s="5" t="n">
        <v>46258</v>
      </c>
      <c r="H646" s="5" t="n">
        <v>46259</v>
      </c>
      <c r="I646" s="5" t="n">
        <v>46259</v>
      </c>
      <c r="J646" s="10" t="inlineStr">
        <is>
          <t>10:50</t>
        </is>
      </c>
      <c r="K646" s="10" t="inlineStr">
        <is>
          <t>On time</t>
        </is>
      </c>
      <c r="L646" s="6" t="n">
        <v>0</v>
      </c>
      <c r="M646" s="10" t="n"/>
      <c r="N646" s="6" t="n">
        <v>11</v>
      </c>
      <c r="O646" s="6" t="n">
        <v>1254</v>
      </c>
      <c r="P646" s="6" t="n">
        <v>1</v>
      </c>
      <c r="Q646" s="6">
        <f>IF(OR(K646="On time",K646="Late",K646="Very late"),1,0)</f>
        <v/>
      </c>
    </row>
    <row r="647">
      <c r="A647" s="10" t="inlineStr">
        <is>
          <t>DN318864</t>
        </is>
      </c>
      <c r="B647" s="10" t="inlineStr">
        <is>
          <t>SO62670</t>
        </is>
      </c>
      <c r="C647" s="10" t="inlineStr">
        <is>
          <t>C11579</t>
        </is>
      </c>
      <c r="D647" s="10">
        <f>INDEX(Customers!$B:$B,MATCH(C647,Customers!$A:$A,0))</f>
        <v/>
      </c>
      <c r="E647" s="10">
        <f>INDEX(Customers!$D:$D,MATCH(C647,Customers!$A:$A,0))</f>
        <v/>
      </c>
      <c r="F647" s="10" t="inlineStr">
        <is>
          <t>Own trucks</t>
        </is>
      </c>
      <c r="G647" s="5" t="n">
        <v>46258</v>
      </c>
      <c r="H647" s="5" t="n">
        <v>46259</v>
      </c>
      <c r="I647" s="5" t="n">
        <v>46259</v>
      </c>
      <c r="J647" s="10" t="inlineStr">
        <is>
          <t>14:40</t>
        </is>
      </c>
      <c r="K647" s="10" t="inlineStr">
        <is>
          <t>On time</t>
        </is>
      </c>
      <c r="L647" s="6" t="n">
        <v>0</v>
      </c>
      <c r="M647" s="10" t="n"/>
      <c r="N647" s="6" t="n">
        <v>29</v>
      </c>
      <c r="O647" s="6" t="n">
        <v>1798</v>
      </c>
      <c r="P647" s="6" t="n">
        <v>1</v>
      </c>
      <c r="Q647" s="6">
        <f>IF(OR(K647="On time",K647="Late",K647="Very late"),1,0)</f>
        <v/>
      </c>
    </row>
    <row r="648">
      <c r="A648" s="10" t="inlineStr">
        <is>
          <t>DN318865</t>
        </is>
      </c>
      <c r="B648" s="10" t="inlineStr">
        <is>
          <t>SO62671</t>
        </is>
      </c>
      <c r="C648" s="10" t="inlineStr">
        <is>
          <t>C11616</t>
        </is>
      </c>
      <c r="D648" s="10">
        <f>INDEX(Customers!$B:$B,MATCH(C648,Customers!$A:$A,0))</f>
        <v/>
      </c>
      <c r="E648" s="10">
        <f>INDEX(Customers!$D:$D,MATCH(C648,Customers!$A:$A,0))</f>
        <v/>
      </c>
      <c r="F648" s="10" t="inlineStr">
        <is>
          <t>Own trucks</t>
        </is>
      </c>
      <c r="G648" s="5" t="n">
        <v>46258</v>
      </c>
      <c r="H648" s="5" t="n">
        <v>46259</v>
      </c>
      <c r="I648" s="5" t="n">
        <v>46259</v>
      </c>
      <c r="J648" s="10" t="inlineStr">
        <is>
          <t>09:40</t>
        </is>
      </c>
      <c r="K648" s="10" t="inlineStr">
        <is>
          <t>On time</t>
        </is>
      </c>
      <c r="L648" s="6" t="n">
        <v>0</v>
      </c>
      <c r="M648" s="10" t="n"/>
      <c r="N648" s="6" t="n">
        <v>31</v>
      </c>
      <c r="O648" s="6" t="n">
        <v>2325</v>
      </c>
      <c r="P648" s="6" t="n">
        <v>1</v>
      </c>
      <c r="Q648" s="6">
        <f>IF(OR(K648="On time",K648="Late",K648="Very late"),1,0)</f>
        <v/>
      </c>
    </row>
    <row r="649">
      <c r="A649" s="10" t="inlineStr">
        <is>
          <t>DN318866</t>
        </is>
      </c>
      <c r="B649" s="10" t="inlineStr">
        <is>
          <t>SO62672</t>
        </is>
      </c>
      <c r="C649" s="10" t="inlineStr">
        <is>
          <t>C11666</t>
        </is>
      </c>
      <c r="D649" s="10">
        <f>INDEX(Customers!$B:$B,MATCH(C649,Customers!$A:$A,0))</f>
        <v/>
      </c>
      <c r="E649" s="10">
        <f>INDEX(Customers!$D:$D,MATCH(C649,Customers!$A:$A,0))</f>
        <v/>
      </c>
      <c r="F649" s="10" t="inlineStr">
        <is>
          <t>Own trucks</t>
        </is>
      </c>
      <c r="G649" s="5" t="n">
        <v>46258</v>
      </c>
      <c r="H649" s="5" t="n">
        <v>46259</v>
      </c>
      <c r="I649" s="5" t="n">
        <v>46259</v>
      </c>
      <c r="J649" s="10" t="inlineStr">
        <is>
          <t>15:30</t>
        </is>
      </c>
      <c r="K649" s="10" t="inlineStr">
        <is>
          <t>On time</t>
        </is>
      </c>
      <c r="L649" s="6" t="n">
        <v>0</v>
      </c>
      <c r="M649" s="10" t="n"/>
      <c r="N649" s="6" t="n">
        <v>6</v>
      </c>
      <c r="O649" s="6" t="n">
        <v>612</v>
      </c>
      <c r="P649" s="6" t="n">
        <v>1</v>
      </c>
      <c r="Q649" s="6">
        <f>IF(OR(K649="On time",K649="Late",K649="Very late"),1,0)</f>
        <v/>
      </c>
    </row>
    <row r="650">
      <c r="A650" s="10" t="inlineStr">
        <is>
          <t>DN318867</t>
        </is>
      </c>
      <c r="B650" s="10" t="inlineStr">
        <is>
          <t>SO62673</t>
        </is>
      </c>
      <c r="C650" s="10" t="inlineStr">
        <is>
          <t>C11745</t>
        </is>
      </c>
      <c r="D650" s="10">
        <f>INDEX(Customers!$B:$B,MATCH(C650,Customers!$A:$A,0))</f>
        <v/>
      </c>
      <c r="E650" s="10">
        <f>INDEX(Customers!$D:$D,MATCH(C650,Customers!$A:$A,0))</f>
        <v/>
      </c>
      <c r="F650" s="10" t="inlineStr">
        <is>
          <t>Own trucks</t>
        </is>
      </c>
      <c r="G650" s="5" t="n">
        <v>46258</v>
      </c>
      <c r="H650" s="5" t="n">
        <v>46259</v>
      </c>
      <c r="I650" s="5" t="n">
        <v>46259</v>
      </c>
      <c r="J650" s="10" t="inlineStr">
        <is>
          <t>11:50</t>
        </is>
      </c>
      <c r="K650" s="10" t="inlineStr">
        <is>
          <t>On time</t>
        </is>
      </c>
      <c r="L650" s="6" t="n">
        <v>0</v>
      </c>
      <c r="M650" s="10" t="n"/>
      <c r="N650" s="6" t="n">
        <v>39</v>
      </c>
      <c r="O650" s="6" t="n">
        <v>4251</v>
      </c>
      <c r="P650" s="6" t="n">
        <v>1</v>
      </c>
      <c r="Q650" s="6">
        <f>IF(OR(K650="On time",K650="Late",K650="Very late"),1,0)</f>
        <v/>
      </c>
    </row>
    <row r="651">
      <c r="A651" s="10" t="inlineStr">
        <is>
          <t>DN318868</t>
        </is>
      </c>
      <c r="B651" s="10" t="inlineStr">
        <is>
          <t>SO62674</t>
        </is>
      </c>
      <c r="C651" s="10" t="inlineStr">
        <is>
          <t>C11790</t>
        </is>
      </c>
      <c r="D651" s="10">
        <f>INDEX(Customers!$B:$B,MATCH(C651,Customers!$A:$A,0))</f>
        <v/>
      </c>
      <c r="E651" s="10">
        <f>INDEX(Customers!$D:$D,MATCH(C651,Customers!$A:$A,0))</f>
        <v/>
      </c>
      <c r="F651" s="10" t="inlineStr">
        <is>
          <t>Carrier A</t>
        </is>
      </c>
      <c r="G651" s="5" t="n">
        <v>46258</v>
      </c>
      <c r="H651" s="5" t="n">
        <v>46259</v>
      </c>
      <c r="I651" s="5" t="n">
        <v>46262</v>
      </c>
      <c r="J651" s="10" t="inlineStr">
        <is>
          <t>09:00</t>
        </is>
      </c>
      <c r="K651" s="10" t="inlineStr">
        <is>
          <t>Very late</t>
        </is>
      </c>
      <c r="L651" s="6" t="n">
        <v>3</v>
      </c>
      <c r="M651" s="10" t="inlineStr">
        <is>
          <t>Customer closed (failed attempt)</t>
        </is>
      </c>
      <c r="N651" s="6" t="n">
        <v>9</v>
      </c>
      <c r="O651" s="6" t="n">
        <v>702</v>
      </c>
      <c r="P651" s="6" t="n">
        <v>1</v>
      </c>
      <c r="Q651" s="6">
        <f>IF(OR(K651="On time",K651="Late",K651="Very late"),1,0)</f>
        <v/>
      </c>
    </row>
    <row r="652">
      <c r="A652" s="10" t="inlineStr">
        <is>
          <t>DN318869</t>
        </is>
      </c>
      <c r="B652" s="10" t="inlineStr">
        <is>
          <t>SO62676</t>
        </is>
      </c>
      <c r="C652" s="10" t="inlineStr">
        <is>
          <t>C11798</t>
        </is>
      </c>
      <c r="D652" s="10">
        <f>INDEX(Customers!$B:$B,MATCH(C652,Customers!$A:$A,0))</f>
        <v/>
      </c>
      <c r="E652" s="10">
        <f>INDEX(Customers!$D:$D,MATCH(C652,Customers!$A:$A,0))</f>
        <v/>
      </c>
      <c r="F652" s="10" t="inlineStr">
        <is>
          <t>Carrier A</t>
        </is>
      </c>
      <c r="G652" s="5" t="n">
        <v>46258</v>
      </c>
      <c r="H652" s="5" t="n">
        <v>46259</v>
      </c>
      <c r="I652" s="5" t="n">
        <v>46259</v>
      </c>
      <c r="J652" s="10" t="inlineStr">
        <is>
          <t>15:40</t>
        </is>
      </c>
      <c r="K652" s="10" t="inlineStr">
        <is>
          <t>On time</t>
        </is>
      </c>
      <c r="L652" s="6" t="n">
        <v>0</v>
      </c>
      <c r="M652" s="10" t="n"/>
      <c r="N652" s="6" t="n">
        <v>5</v>
      </c>
      <c r="O652" s="6" t="n">
        <v>295</v>
      </c>
      <c r="P652" s="6" t="n">
        <v>1</v>
      </c>
      <c r="Q652" s="6">
        <f>IF(OR(K652="On time",K652="Late",K652="Very late"),1,0)</f>
        <v/>
      </c>
    </row>
    <row r="653">
      <c r="A653" s="10" t="inlineStr">
        <is>
          <t>DN318870</t>
        </is>
      </c>
      <c r="B653" s="10" t="inlineStr">
        <is>
          <t>SO62677</t>
        </is>
      </c>
      <c r="C653" s="10" t="inlineStr">
        <is>
          <t>C11858</t>
        </is>
      </c>
      <c r="D653" s="10">
        <f>INDEX(Customers!$B:$B,MATCH(C653,Customers!$A:$A,0))</f>
        <v/>
      </c>
      <c r="E653" s="10">
        <f>INDEX(Customers!$D:$D,MATCH(C653,Customers!$A:$A,0))</f>
        <v/>
      </c>
      <c r="F653" s="10" t="inlineStr">
        <is>
          <t>Carrier A</t>
        </is>
      </c>
      <c r="G653" s="5" t="n">
        <v>46258</v>
      </c>
      <c r="H653" s="5" t="n">
        <v>46259</v>
      </c>
      <c r="I653" s="5" t="n">
        <v>46259</v>
      </c>
      <c r="J653" s="10" t="inlineStr">
        <is>
          <t>10:20</t>
        </is>
      </c>
      <c r="K653" s="10" t="inlineStr">
        <is>
          <t>On time</t>
        </is>
      </c>
      <c r="L653" s="6" t="n">
        <v>0</v>
      </c>
      <c r="M653" s="10" t="n"/>
      <c r="N653" s="6" t="n">
        <v>37</v>
      </c>
      <c r="O653" s="6" t="n">
        <v>4477</v>
      </c>
      <c r="P653" s="6" t="n">
        <v>1</v>
      </c>
      <c r="Q653" s="6">
        <f>IF(OR(K653="On time",K653="Late",K653="Very late"),1,0)</f>
        <v/>
      </c>
    </row>
    <row r="654">
      <c r="A654" s="10" t="inlineStr">
        <is>
          <t>DN318871</t>
        </is>
      </c>
      <c r="B654" s="10" t="inlineStr">
        <is>
          <t>SO62678</t>
        </is>
      </c>
      <c r="C654" s="10" t="inlineStr">
        <is>
          <t>C11866</t>
        </is>
      </c>
      <c r="D654" s="10">
        <f>INDEX(Customers!$B:$B,MATCH(C654,Customers!$A:$A,0))</f>
        <v/>
      </c>
      <c r="E654" s="10">
        <f>INDEX(Customers!$D:$D,MATCH(C654,Customers!$A:$A,0))</f>
        <v/>
      </c>
      <c r="F654" s="10" t="inlineStr">
        <is>
          <t>Carrier A</t>
        </is>
      </c>
      <c r="G654" s="5" t="n">
        <v>46258</v>
      </c>
      <c r="H654" s="5" t="n">
        <v>46259</v>
      </c>
      <c r="I654" s="5" t="n">
        <v>46261</v>
      </c>
      <c r="J654" s="10" t="inlineStr">
        <is>
          <t>16:20</t>
        </is>
      </c>
      <c r="K654" s="10" t="inlineStr">
        <is>
          <t>Very late</t>
        </is>
      </c>
      <c r="L654" s="6" t="n">
        <v>2</v>
      </c>
      <c r="M654" s="10" t="inlineStr">
        <is>
          <t>Carrier delay</t>
        </is>
      </c>
      <c r="N654" s="6" t="n">
        <v>33</v>
      </c>
      <c r="O654" s="6" t="n">
        <v>1914</v>
      </c>
      <c r="P654" s="6" t="n">
        <v>1</v>
      </c>
      <c r="Q654" s="6">
        <f>IF(OR(K654="On time",K654="Late",K654="Very late"),1,0)</f>
        <v/>
      </c>
    </row>
    <row r="655">
      <c r="A655" s="10" t="inlineStr">
        <is>
          <t>DN318872</t>
        </is>
      </c>
      <c r="B655" s="10" t="inlineStr">
        <is>
          <t>SO62679</t>
        </is>
      </c>
      <c r="C655" s="10" t="inlineStr">
        <is>
          <t>C11910</t>
        </is>
      </c>
      <c r="D655" s="10">
        <f>INDEX(Customers!$B:$B,MATCH(C655,Customers!$A:$A,0))</f>
        <v/>
      </c>
      <c r="E655" s="10">
        <f>INDEX(Customers!$D:$D,MATCH(C655,Customers!$A:$A,0))</f>
        <v/>
      </c>
      <c r="F655" s="10" t="inlineStr">
        <is>
          <t>Carrier A</t>
        </is>
      </c>
      <c r="G655" s="5" t="n">
        <v>46258</v>
      </c>
      <c r="H655" s="5" t="n">
        <v>46259</v>
      </c>
      <c r="I655" s="5" t="n">
        <v>46259</v>
      </c>
      <c r="J655" s="10" t="inlineStr">
        <is>
          <t>16:30</t>
        </is>
      </c>
      <c r="K655" s="10" t="inlineStr">
        <is>
          <t>On time</t>
        </is>
      </c>
      <c r="L655" s="6" t="n">
        <v>0</v>
      </c>
      <c r="M655" s="10" t="n"/>
      <c r="N655" s="6" t="n">
        <v>19</v>
      </c>
      <c r="O655" s="6" t="n">
        <v>2546</v>
      </c>
      <c r="P655" s="6" t="n">
        <v>1</v>
      </c>
      <c r="Q655" s="6">
        <f>IF(OR(K655="On time",K655="Late",K655="Very late"),1,0)</f>
        <v/>
      </c>
    </row>
    <row r="656">
      <c r="A656" s="10" t="inlineStr">
        <is>
          <t>DN318873</t>
        </is>
      </c>
      <c r="B656" s="10" t="inlineStr">
        <is>
          <t>SO62680</t>
        </is>
      </c>
      <c r="C656" s="10" t="inlineStr">
        <is>
          <t>C11971</t>
        </is>
      </c>
      <c r="D656" s="10">
        <f>INDEX(Customers!$B:$B,MATCH(C656,Customers!$A:$A,0))</f>
        <v/>
      </c>
      <c r="E656" s="10">
        <f>INDEX(Customers!$D:$D,MATCH(C656,Customers!$A:$A,0))</f>
        <v/>
      </c>
      <c r="F656" s="10" t="inlineStr">
        <is>
          <t>Own trucks</t>
        </is>
      </c>
      <c r="G656" s="5" t="n">
        <v>46258</v>
      </c>
      <c r="H656" s="5" t="n">
        <v>46259</v>
      </c>
      <c r="I656" s="5" t="n">
        <v>46259</v>
      </c>
      <c r="J656" s="10" t="inlineStr">
        <is>
          <t>12:20</t>
        </is>
      </c>
      <c r="K656" s="10" t="inlineStr">
        <is>
          <t>On time</t>
        </is>
      </c>
      <c r="L656" s="6" t="n">
        <v>0</v>
      </c>
      <c r="M656" s="10" t="n"/>
      <c r="N656" s="6" t="n">
        <v>25</v>
      </c>
      <c r="O656" s="6" t="n">
        <v>2600</v>
      </c>
      <c r="P656" s="6" t="n">
        <v>1</v>
      </c>
      <c r="Q656" s="6">
        <f>IF(OR(K656="On time",K656="Late",K656="Very late"),1,0)</f>
        <v/>
      </c>
    </row>
    <row r="657">
      <c r="A657" s="10" t="inlineStr">
        <is>
          <t>DN318874</t>
        </is>
      </c>
      <c r="B657" s="10" t="inlineStr">
        <is>
          <t>SO62681</t>
        </is>
      </c>
      <c r="C657" s="10" t="inlineStr">
        <is>
          <t>C11982</t>
        </is>
      </c>
      <c r="D657" s="10">
        <f>INDEX(Customers!$B:$B,MATCH(C657,Customers!$A:$A,0))</f>
        <v/>
      </c>
      <c r="E657" s="10">
        <f>INDEX(Customers!$D:$D,MATCH(C657,Customers!$A:$A,0))</f>
        <v/>
      </c>
      <c r="F657" s="10" t="inlineStr">
        <is>
          <t>Own trucks</t>
        </is>
      </c>
      <c r="G657" s="5" t="n">
        <v>46258</v>
      </c>
      <c r="H657" s="5" t="n">
        <v>46259</v>
      </c>
      <c r="I657" s="5" t="n">
        <v>46259</v>
      </c>
      <c r="J657" s="10" t="inlineStr">
        <is>
          <t>07:10</t>
        </is>
      </c>
      <c r="K657" s="10" t="inlineStr">
        <is>
          <t>On time</t>
        </is>
      </c>
      <c r="L657" s="6" t="n">
        <v>0</v>
      </c>
      <c r="M657" s="10" t="n"/>
      <c r="N657" s="6" t="n">
        <v>23</v>
      </c>
      <c r="O657" s="6" t="n">
        <v>2185</v>
      </c>
      <c r="P657" s="6" t="n">
        <v>1</v>
      </c>
      <c r="Q657" s="6">
        <f>IF(OR(K657="On time",K657="Late",K657="Very late"),1,0)</f>
        <v/>
      </c>
    </row>
    <row r="658">
      <c r="A658" s="10" t="inlineStr">
        <is>
          <t>DN318875</t>
        </is>
      </c>
      <c r="B658" s="10" t="inlineStr">
        <is>
          <t>SO62683</t>
        </is>
      </c>
      <c r="C658" s="10" t="inlineStr">
        <is>
          <t>C12103</t>
        </is>
      </c>
      <c r="D658" s="10">
        <f>INDEX(Customers!$B:$B,MATCH(C658,Customers!$A:$A,0))</f>
        <v/>
      </c>
      <c r="E658" s="10">
        <f>INDEX(Customers!$D:$D,MATCH(C658,Customers!$A:$A,0))</f>
        <v/>
      </c>
      <c r="F658" s="10" t="inlineStr">
        <is>
          <t>Own trucks</t>
        </is>
      </c>
      <c r="G658" s="5" t="n">
        <v>46258</v>
      </c>
      <c r="H658" s="5" t="n">
        <v>46259</v>
      </c>
      <c r="I658" s="5" t="n">
        <v>46259</v>
      </c>
      <c r="J658" s="10" t="inlineStr">
        <is>
          <t>12:10</t>
        </is>
      </c>
      <c r="K658" s="10" t="inlineStr">
        <is>
          <t>On time</t>
        </is>
      </c>
      <c r="L658" s="6" t="n">
        <v>0</v>
      </c>
      <c r="M658" s="10" t="n"/>
      <c r="N658" s="6" t="n">
        <v>20</v>
      </c>
      <c r="O658" s="6" t="n">
        <v>2000</v>
      </c>
      <c r="P658" s="6" t="n">
        <v>1</v>
      </c>
      <c r="Q658" s="6">
        <f>IF(OR(K658="On time",K658="Late",K658="Very late"),1,0)</f>
        <v/>
      </c>
    </row>
    <row r="659">
      <c r="A659" s="10" t="inlineStr">
        <is>
          <t>DN318876</t>
        </is>
      </c>
      <c r="B659" s="10" t="inlineStr">
        <is>
          <t>SO62684</t>
        </is>
      </c>
      <c r="C659" s="10" t="inlineStr">
        <is>
          <t>C12117</t>
        </is>
      </c>
      <c r="D659" s="10">
        <f>INDEX(Customers!$B:$B,MATCH(C659,Customers!$A:$A,0))</f>
        <v/>
      </c>
      <c r="E659" s="10">
        <f>INDEX(Customers!$D:$D,MATCH(C659,Customers!$A:$A,0))</f>
        <v/>
      </c>
      <c r="F659" s="10" t="inlineStr">
        <is>
          <t>Own trucks</t>
        </is>
      </c>
      <c r="G659" s="5" t="n">
        <v>46258</v>
      </c>
      <c r="H659" s="5" t="n">
        <v>46259</v>
      </c>
      <c r="I659" s="5" t="n">
        <v>46259</v>
      </c>
      <c r="J659" s="10" t="inlineStr">
        <is>
          <t>14:20</t>
        </is>
      </c>
      <c r="K659" s="10" t="inlineStr">
        <is>
          <t>On time</t>
        </is>
      </c>
      <c r="L659" s="6" t="n">
        <v>0</v>
      </c>
      <c r="M659" s="10" t="n"/>
      <c r="N659" s="6" t="n">
        <v>24</v>
      </c>
      <c r="O659" s="6" t="n">
        <v>2040</v>
      </c>
      <c r="P659" s="6" t="n">
        <v>1</v>
      </c>
      <c r="Q659" s="6">
        <f>IF(OR(K659="On time",K659="Late",K659="Very late"),1,0)</f>
        <v/>
      </c>
    </row>
    <row r="660">
      <c r="A660" s="10" t="inlineStr">
        <is>
          <t>DN318877</t>
        </is>
      </c>
      <c r="B660" s="10" t="inlineStr">
        <is>
          <t>SO62685</t>
        </is>
      </c>
      <c r="C660" s="10" t="inlineStr">
        <is>
          <t>C12183</t>
        </is>
      </c>
      <c r="D660" s="10">
        <f>INDEX(Customers!$B:$B,MATCH(C660,Customers!$A:$A,0))</f>
        <v/>
      </c>
      <c r="E660" s="10">
        <f>INDEX(Customers!$D:$D,MATCH(C660,Customers!$A:$A,0))</f>
        <v/>
      </c>
      <c r="F660" s="10" t="inlineStr">
        <is>
          <t>Carrier B</t>
        </is>
      </c>
      <c r="G660" s="5" t="n">
        <v>46258</v>
      </c>
      <c r="H660" s="5" t="n">
        <v>46259</v>
      </c>
      <c r="I660" s="5" t="n">
        <v>46259</v>
      </c>
      <c r="J660" s="10" t="inlineStr">
        <is>
          <t>16:40</t>
        </is>
      </c>
      <c r="K660" s="10" t="inlineStr">
        <is>
          <t>On time</t>
        </is>
      </c>
      <c r="L660" s="6" t="n">
        <v>0</v>
      </c>
      <c r="M660" s="10" t="n"/>
      <c r="N660" s="6" t="n">
        <v>34</v>
      </c>
      <c r="O660" s="6" t="n">
        <v>3740</v>
      </c>
      <c r="P660" s="6" t="n">
        <v>1</v>
      </c>
      <c r="Q660" s="6">
        <f>IF(OR(K660="On time",K660="Late",K660="Very late"),1,0)</f>
        <v/>
      </c>
    </row>
    <row r="661">
      <c r="A661" s="10" t="inlineStr">
        <is>
          <t>DN318878</t>
        </is>
      </c>
      <c r="B661" s="10" t="inlineStr">
        <is>
          <t>SO62687</t>
        </is>
      </c>
      <c r="C661" s="10" t="inlineStr">
        <is>
          <t>C12213</t>
        </is>
      </c>
      <c r="D661" s="10">
        <f>INDEX(Customers!$B:$B,MATCH(C661,Customers!$A:$A,0))</f>
        <v/>
      </c>
      <c r="E661" s="10">
        <f>INDEX(Customers!$D:$D,MATCH(C661,Customers!$A:$A,0))</f>
        <v/>
      </c>
      <c r="F661" s="10" t="inlineStr">
        <is>
          <t>Carrier B</t>
        </is>
      </c>
      <c r="G661" s="5" t="n">
        <v>46258</v>
      </c>
      <c r="H661" s="5" t="n">
        <v>46259</v>
      </c>
      <c r="I661" s="5" t="n">
        <v>46259</v>
      </c>
      <c r="J661" s="10" t="inlineStr">
        <is>
          <t>08:30</t>
        </is>
      </c>
      <c r="K661" s="10" t="inlineStr">
        <is>
          <t>On time</t>
        </is>
      </c>
      <c r="L661" s="6" t="n">
        <v>0</v>
      </c>
      <c r="M661" s="10" t="n"/>
      <c r="N661" s="6" t="n">
        <v>9</v>
      </c>
      <c r="O661" s="6" t="n">
        <v>909</v>
      </c>
      <c r="P661" s="6" t="n">
        <v>1</v>
      </c>
      <c r="Q661" s="6">
        <f>IF(OR(K661="On time",K661="Late",K661="Very late"),1,0)</f>
        <v/>
      </c>
    </row>
    <row r="662">
      <c r="A662" s="10" t="inlineStr">
        <is>
          <t>DN318879</t>
        </is>
      </c>
      <c r="B662" s="10" t="inlineStr">
        <is>
          <t>SO62689</t>
        </is>
      </c>
      <c r="C662" s="10" t="inlineStr">
        <is>
          <t>C12239</t>
        </is>
      </c>
      <c r="D662" s="10">
        <f>INDEX(Customers!$B:$B,MATCH(C662,Customers!$A:$A,0))</f>
        <v/>
      </c>
      <c r="E662" s="10">
        <f>INDEX(Customers!$D:$D,MATCH(C662,Customers!$A:$A,0))</f>
        <v/>
      </c>
      <c r="F662" s="10" t="inlineStr">
        <is>
          <t>Carrier B</t>
        </is>
      </c>
      <c r="G662" s="5" t="n">
        <v>46258</v>
      </c>
      <c r="H662" s="5" t="n">
        <v>46259</v>
      </c>
      <c r="I662" s="5" t="n">
        <v>46259</v>
      </c>
      <c r="J662" s="10" t="inlineStr">
        <is>
          <t>08:10</t>
        </is>
      </c>
      <c r="K662" s="10" t="inlineStr">
        <is>
          <t>On time</t>
        </is>
      </c>
      <c r="L662" s="6" t="n">
        <v>0</v>
      </c>
      <c r="M662" s="10" t="n"/>
      <c r="N662" s="6" t="n">
        <v>36</v>
      </c>
      <c r="O662" s="6" t="n">
        <v>3852</v>
      </c>
      <c r="P662" s="6" t="n">
        <v>1</v>
      </c>
      <c r="Q662" s="6">
        <f>IF(OR(K662="On time",K662="Late",K662="Very late"),1,0)</f>
        <v/>
      </c>
    </row>
    <row r="663">
      <c r="A663" s="10" t="inlineStr">
        <is>
          <t>DN318880</t>
        </is>
      </c>
      <c r="B663" s="10" t="inlineStr">
        <is>
          <t>SO62691</t>
        </is>
      </c>
      <c r="C663" s="10" t="inlineStr">
        <is>
          <t>C12305</t>
        </is>
      </c>
      <c r="D663" s="10">
        <f>INDEX(Customers!$B:$B,MATCH(C663,Customers!$A:$A,0))</f>
        <v/>
      </c>
      <c r="E663" s="10">
        <f>INDEX(Customers!$D:$D,MATCH(C663,Customers!$A:$A,0))</f>
        <v/>
      </c>
      <c r="F663" s="10" t="inlineStr">
        <is>
          <t>Carrier B</t>
        </is>
      </c>
      <c r="G663" s="5" t="n">
        <v>46258</v>
      </c>
      <c r="H663" s="5" t="n">
        <v>46259</v>
      </c>
      <c r="I663" s="5" t="n">
        <v>46259</v>
      </c>
      <c r="J663" s="10" t="inlineStr">
        <is>
          <t>11:00</t>
        </is>
      </c>
      <c r="K663" s="10" t="inlineStr">
        <is>
          <t>On time</t>
        </is>
      </c>
      <c r="L663" s="6" t="n">
        <v>0</v>
      </c>
      <c r="M663" s="10" t="n"/>
      <c r="N663" s="6" t="n">
        <v>7</v>
      </c>
      <c r="O663" s="6" t="n">
        <v>756</v>
      </c>
      <c r="P663" s="6" t="n">
        <v>1</v>
      </c>
      <c r="Q663" s="6">
        <f>IF(OR(K663="On time",K663="Late",K663="Very late"),1,0)</f>
        <v/>
      </c>
    </row>
    <row r="664">
      <c r="A664" s="10" t="inlineStr">
        <is>
          <t>DN318881</t>
        </is>
      </c>
      <c r="B664" s="10" t="inlineStr">
        <is>
          <t>SO62692</t>
        </is>
      </c>
      <c r="C664" s="10" t="inlineStr">
        <is>
          <t>C12365</t>
        </is>
      </c>
      <c r="D664" s="10">
        <f>INDEX(Customers!$B:$B,MATCH(C664,Customers!$A:$A,0))</f>
        <v/>
      </c>
      <c r="E664" s="10">
        <f>INDEX(Customers!$D:$D,MATCH(C664,Customers!$A:$A,0))</f>
        <v/>
      </c>
      <c r="F664" s="10" t="inlineStr">
        <is>
          <t>Carrier B</t>
        </is>
      </c>
      <c r="G664" s="5" t="n">
        <v>46258</v>
      </c>
      <c r="H664" s="5" t="n">
        <v>46259</v>
      </c>
      <c r="I664" s="5" t="n">
        <v>46259</v>
      </c>
      <c r="J664" s="10" t="inlineStr">
        <is>
          <t>08:00</t>
        </is>
      </c>
      <c r="K664" s="10" t="inlineStr">
        <is>
          <t>On time</t>
        </is>
      </c>
      <c r="L664" s="6" t="n">
        <v>0</v>
      </c>
      <c r="M664" s="10" t="n"/>
      <c r="N664" s="6" t="n">
        <v>28</v>
      </c>
      <c r="O664" s="6" t="n">
        <v>3780</v>
      </c>
      <c r="P664" s="6" t="n">
        <v>1</v>
      </c>
      <c r="Q664" s="6">
        <f>IF(OR(K664="On time",K664="Late",K664="Very late"),1,0)</f>
        <v/>
      </c>
    </row>
    <row r="665">
      <c r="A665" s="10" t="inlineStr">
        <is>
          <t>DN318882</t>
        </is>
      </c>
      <c r="B665" s="10" t="inlineStr">
        <is>
          <t>SO62693</t>
        </is>
      </c>
      <c r="C665" s="10" t="inlineStr">
        <is>
          <t>C12389</t>
        </is>
      </c>
      <c r="D665" s="10">
        <f>INDEX(Customers!$B:$B,MATCH(C665,Customers!$A:$A,0))</f>
        <v/>
      </c>
      <c r="E665" s="10">
        <f>INDEX(Customers!$D:$D,MATCH(C665,Customers!$A:$A,0))</f>
        <v/>
      </c>
      <c r="F665" s="10" t="inlineStr">
        <is>
          <t>Carrier A</t>
        </is>
      </c>
      <c r="G665" s="5" t="n">
        <v>46258</v>
      </c>
      <c r="H665" s="5" t="n">
        <v>46259</v>
      </c>
      <c r="I665" s="5" t="n">
        <v>46259</v>
      </c>
      <c r="J665" s="10" t="inlineStr">
        <is>
          <t>16:50</t>
        </is>
      </c>
      <c r="K665" s="10" t="inlineStr">
        <is>
          <t>On time</t>
        </is>
      </c>
      <c r="L665" s="6" t="n">
        <v>0</v>
      </c>
      <c r="M665" s="10" t="n"/>
      <c r="N665" s="6" t="n">
        <v>25</v>
      </c>
      <c r="O665" s="6" t="n">
        <v>1375</v>
      </c>
      <c r="P665" s="6" t="n">
        <v>1</v>
      </c>
      <c r="Q665" s="6">
        <f>IF(OR(K665="On time",K665="Late",K665="Very late"),1,0)</f>
        <v/>
      </c>
    </row>
    <row r="666">
      <c r="A666" s="10" t="inlineStr">
        <is>
          <t>DN318883</t>
        </is>
      </c>
      <c r="B666" s="10" t="inlineStr">
        <is>
          <t>SO62695</t>
        </is>
      </c>
      <c r="C666" s="10" t="inlineStr">
        <is>
          <t>C12420</t>
        </is>
      </c>
      <c r="D666" s="10">
        <f>INDEX(Customers!$B:$B,MATCH(C666,Customers!$A:$A,0))</f>
        <v/>
      </c>
      <c r="E666" s="10">
        <f>INDEX(Customers!$D:$D,MATCH(C666,Customers!$A:$A,0))</f>
        <v/>
      </c>
      <c r="F666" s="10" t="inlineStr">
        <is>
          <t>Carrier A</t>
        </is>
      </c>
      <c r="G666" s="5" t="n">
        <v>46258</v>
      </c>
      <c r="H666" s="5" t="n">
        <v>46259</v>
      </c>
      <c r="I666" s="5" t="n">
        <v>46259</v>
      </c>
      <c r="J666" s="10" t="inlineStr">
        <is>
          <t>12:20</t>
        </is>
      </c>
      <c r="K666" s="10" t="inlineStr">
        <is>
          <t>On time</t>
        </is>
      </c>
      <c r="L666" s="6" t="n">
        <v>0</v>
      </c>
      <c r="M666" s="10" t="n"/>
      <c r="N666" s="6" t="n">
        <v>4</v>
      </c>
      <c r="O666" s="6" t="n">
        <v>384</v>
      </c>
      <c r="P666" s="6" t="n">
        <v>1</v>
      </c>
      <c r="Q666" s="6">
        <f>IF(OR(K666="On time",K666="Late",K666="Very late"),1,0)</f>
        <v/>
      </c>
    </row>
    <row r="667">
      <c r="A667" s="10" t="inlineStr">
        <is>
          <t>DN318884</t>
        </is>
      </c>
      <c r="B667" s="10" t="inlineStr">
        <is>
          <t>SO62697</t>
        </is>
      </c>
      <c r="C667" s="10" t="inlineStr">
        <is>
          <t>C12490</t>
        </is>
      </c>
      <c r="D667" s="10">
        <f>INDEX(Customers!$B:$B,MATCH(C667,Customers!$A:$A,0))</f>
        <v/>
      </c>
      <c r="E667" s="10">
        <f>INDEX(Customers!$D:$D,MATCH(C667,Customers!$A:$A,0))</f>
        <v/>
      </c>
      <c r="F667" s="10" t="inlineStr">
        <is>
          <t>Carrier A</t>
        </is>
      </c>
      <c r="G667" s="5" t="n">
        <v>46258</v>
      </c>
      <c r="H667" s="5" t="n">
        <v>46259</v>
      </c>
      <c r="I667" s="5" t="n">
        <v>46259</v>
      </c>
      <c r="J667" s="10" t="inlineStr">
        <is>
          <t>10:10</t>
        </is>
      </c>
      <c r="K667" s="10" t="inlineStr">
        <is>
          <t>On time</t>
        </is>
      </c>
      <c r="L667" s="6" t="n">
        <v>0</v>
      </c>
      <c r="M667" s="10" t="n"/>
      <c r="N667" s="6" t="n">
        <v>24</v>
      </c>
      <c r="O667" s="6" t="n">
        <v>2400</v>
      </c>
      <c r="P667" s="6" t="n">
        <v>1</v>
      </c>
      <c r="Q667" s="6">
        <f>IF(OR(K667="On time",K667="Late",K667="Very late"),1,0)</f>
        <v/>
      </c>
    </row>
    <row r="668">
      <c r="A668" s="10" t="inlineStr">
        <is>
          <t>DN318885</t>
        </is>
      </c>
      <c r="B668" s="10" t="inlineStr">
        <is>
          <t>SO62699</t>
        </is>
      </c>
      <c r="C668" s="10" t="inlineStr">
        <is>
          <t>C12543</t>
        </is>
      </c>
      <c r="D668" s="10">
        <f>INDEX(Customers!$B:$B,MATCH(C668,Customers!$A:$A,0))</f>
        <v/>
      </c>
      <c r="E668" s="10">
        <f>INDEX(Customers!$D:$D,MATCH(C668,Customers!$A:$A,0))</f>
        <v/>
      </c>
      <c r="F668" s="10" t="inlineStr">
        <is>
          <t>Carrier B</t>
        </is>
      </c>
      <c r="G668" s="5" t="n">
        <v>46255</v>
      </c>
      <c r="H668" s="5" t="n">
        <v>46259</v>
      </c>
      <c r="I668" s="5" t="n">
        <v>46259</v>
      </c>
      <c r="J668" s="10" t="inlineStr">
        <is>
          <t>08:50</t>
        </is>
      </c>
      <c r="K668" s="10" t="inlineStr">
        <is>
          <t>On time</t>
        </is>
      </c>
      <c r="L668" s="6" t="n">
        <v>0</v>
      </c>
      <c r="M668" s="10" t="n"/>
      <c r="N668" s="6" t="n">
        <v>4</v>
      </c>
      <c r="O668" s="6" t="n">
        <v>396</v>
      </c>
      <c r="P668" s="6" t="n">
        <v>1</v>
      </c>
      <c r="Q668" s="6">
        <f>IF(OR(K668="On time",K668="Late",K668="Very late"),1,0)</f>
        <v/>
      </c>
    </row>
    <row r="669">
      <c r="A669" s="10" t="inlineStr">
        <is>
          <t>DN318886</t>
        </is>
      </c>
      <c r="B669" s="10" t="inlineStr">
        <is>
          <t>SO62701</t>
        </is>
      </c>
      <c r="C669" s="10" t="inlineStr">
        <is>
          <t>C12617</t>
        </is>
      </c>
      <c r="D669" s="10">
        <f>INDEX(Customers!$B:$B,MATCH(C669,Customers!$A:$A,0))</f>
        <v/>
      </c>
      <c r="E669" s="10">
        <f>INDEX(Customers!$D:$D,MATCH(C669,Customers!$A:$A,0))</f>
        <v/>
      </c>
      <c r="F669" s="10" t="inlineStr">
        <is>
          <t>Carrier B</t>
        </is>
      </c>
      <c r="G669" s="5" t="n">
        <v>46255</v>
      </c>
      <c r="H669" s="5" t="n">
        <v>46259</v>
      </c>
      <c r="I669" s="5" t="n">
        <v>46259</v>
      </c>
      <c r="J669" s="10" t="inlineStr">
        <is>
          <t>10:50</t>
        </is>
      </c>
      <c r="K669" s="10" t="inlineStr">
        <is>
          <t>On time</t>
        </is>
      </c>
      <c r="L669" s="6" t="n">
        <v>0</v>
      </c>
      <c r="M669" s="10" t="n"/>
      <c r="N669" s="6" t="n">
        <v>15</v>
      </c>
      <c r="O669" s="6" t="n">
        <v>1065</v>
      </c>
      <c r="P669" s="6" t="n">
        <v>1</v>
      </c>
      <c r="Q669" s="6">
        <f>IF(OR(K669="On time",K669="Late",K669="Very late"),1,0)</f>
        <v/>
      </c>
    </row>
    <row r="670">
      <c r="A670" s="10" t="inlineStr">
        <is>
          <t>DN318887</t>
        </is>
      </c>
      <c r="B670" s="10" t="inlineStr">
        <is>
          <t>SO62702</t>
        </is>
      </c>
      <c r="C670" s="10" t="inlineStr">
        <is>
          <t>C12639</t>
        </is>
      </c>
      <c r="D670" s="10">
        <f>INDEX(Customers!$B:$B,MATCH(C670,Customers!$A:$A,0))</f>
        <v/>
      </c>
      <c r="E670" s="10">
        <f>INDEX(Customers!$D:$D,MATCH(C670,Customers!$A:$A,0))</f>
        <v/>
      </c>
      <c r="F670" s="10" t="inlineStr">
        <is>
          <t>Carrier B</t>
        </is>
      </c>
      <c r="G670" s="5" t="n">
        <v>46255</v>
      </c>
      <c r="H670" s="5" t="n">
        <v>46259</v>
      </c>
      <c r="I670" s="5" t="n">
        <v>46259</v>
      </c>
      <c r="J670" s="10" t="inlineStr">
        <is>
          <t>09:00</t>
        </is>
      </c>
      <c r="K670" s="10" t="inlineStr">
        <is>
          <t>On time</t>
        </is>
      </c>
      <c r="L670" s="6" t="n">
        <v>0</v>
      </c>
      <c r="M670" s="10" t="n"/>
      <c r="N670" s="6" t="n">
        <v>40</v>
      </c>
      <c r="O670" s="6" t="n">
        <v>2320</v>
      </c>
      <c r="P670" s="6" t="n">
        <v>1</v>
      </c>
      <c r="Q670" s="6">
        <f>IF(OR(K670="On time",K670="Late",K670="Very late"),1,0)</f>
        <v/>
      </c>
    </row>
    <row r="671">
      <c r="A671" s="10" t="inlineStr">
        <is>
          <t>DN318888</t>
        </is>
      </c>
      <c r="B671" s="10" t="inlineStr">
        <is>
          <t>SO62703</t>
        </is>
      </c>
      <c r="C671" s="10" t="inlineStr">
        <is>
          <t>C12675</t>
        </is>
      </c>
      <c r="D671" s="10">
        <f>INDEX(Customers!$B:$B,MATCH(C671,Customers!$A:$A,0))</f>
        <v/>
      </c>
      <c r="E671" s="10">
        <f>INDEX(Customers!$D:$D,MATCH(C671,Customers!$A:$A,0))</f>
        <v/>
      </c>
      <c r="F671" s="10" t="inlineStr">
        <is>
          <t>Carrier B</t>
        </is>
      </c>
      <c r="G671" s="5" t="n">
        <v>46255</v>
      </c>
      <c r="H671" s="5" t="n">
        <v>46259</v>
      </c>
      <c r="I671" s="5" t="n">
        <v>46259</v>
      </c>
      <c r="J671" s="10" t="inlineStr">
        <is>
          <t>11:10</t>
        </is>
      </c>
      <c r="K671" s="10" t="inlineStr">
        <is>
          <t>On time</t>
        </is>
      </c>
      <c r="L671" s="6" t="n">
        <v>0</v>
      </c>
      <c r="M671" s="10" t="n"/>
      <c r="N671" s="6" t="n">
        <v>35</v>
      </c>
      <c r="O671" s="6" t="n">
        <v>3080</v>
      </c>
      <c r="P671" s="6" t="n">
        <v>1</v>
      </c>
      <c r="Q671" s="6">
        <f>IF(OR(K671="On time",K671="Late",K671="Very late"),1,0)</f>
        <v/>
      </c>
    </row>
    <row r="672">
      <c r="A672" s="10" t="inlineStr">
        <is>
          <t>DN318889</t>
        </is>
      </c>
      <c r="B672" s="10" t="inlineStr">
        <is>
          <t>SO62704</t>
        </is>
      </c>
      <c r="C672" s="10" t="inlineStr">
        <is>
          <t>C10268</t>
        </is>
      </c>
      <c r="D672" s="10">
        <f>INDEX(Customers!$B:$B,MATCH(C672,Customers!$A:$A,0))</f>
        <v/>
      </c>
      <c r="E672" s="10">
        <f>INDEX(Customers!$D:$D,MATCH(C672,Customers!$A:$A,0))</f>
        <v/>
      </c>
      <c r="F672" s="10" t="inlineStr">
        <is>
          <t>Own trucks</t>
        </is>
      </c>
      <c r="G672" s="5" t="n">
        <v>46259</v>
      </c>
      <c r="H672" s="5" t="n">
        <v>46260</v>
      </c>
      <c r="I672" s="5" t="n">
        <v>46260</v>
      </c>
      <c r="J672" s="10" t="inlineStr">
        <is>
          <t>14:30</t>
        </is>
      </c>
      <c r="K672" s="10" t="inlineStr">
        <is>
          <t>On time</t>
        </is>
      </c>
      <c r="L672" s="6" t="n">
        <v>0</v>
      </c>
      <c r="M672" s="10" t="n"/>
      <c r="N672" s="6" t="n">
        <v>26</v>
      </c>
      <c r="O672" s="6" t="n">
        <v>1560</v>
      </c>
      <c r="P672" s="6" t="n">
        <v>1</v>
      </c>
      <c r="Q672" s="6">
        <f>IF(OR(K672="On time",K672="Late",K672="Very late"),1,0)</f>
        <v/>
      </c>
    </row>
    <row r="673">
      <c r="A673" s="10" t="inlineStr">
        <is>
          <t>DN318890</t>
        </is>
      </c>
      <c r="B673" s="10" t="inlineStr">
        <is>
          <t>SO62705</t>
        </is>
      </c>
      <c r="C673" s="10" t="inlineStr">
        <is>
          <t>C10322</t>
        </is>
      </c>
      <c r="D673" s="10">
        <f>INDEX(Customers!$B:$B,MATCH(C673,Customers!$A:$A,0))</f>
        <v/>
      </c>
      <c r="E673" s="10">
        <f>INDEX(Customers!$D:$D,MATCH(C673,Customers!$A:$A,0))</f>
        <v/>
      </c>
      <c r="F673" s="10" t="inlineStr">
        <is>
          <t>Own trucks</t>
        </is>
      </c>
      <c r="G673" s="5" t="n">
        <v>46259</v>
      </c>
      <c r="H673" s="5" t="n">
        <v>46260</v>
      </c>
      <c r="I673" s="5" t="n">
        <v>46261</v>
      </c>
      <c r="J673" s="10" t="inlineStr">
        <is>
          <t>13:20</t>
        </is>
      </c>
      <c r="K673" s="10" t="inlineStr">
        <is>
          <t>Late</t>
        </is>
      </c>
      <c r="L673" s="6" t="n">
        <v>1</v>
      </c>
      <c r="M673" s="10" t="inlineStr">
        <is>
          <t>Customer closed (failed attempt)</t>
        </is>
      </c>
      <c r="N673" s="6" t="n">
        <v>10</v>
      </c>
      <c r="O673" s="6" t="n">
        <v>1080</v>
      </c>
      <c r="P673" s="6" t="n">
        <v>1</v>
      </c>
      <c r="Q673" s="6">
        <f>IF(OR(K673="On time",K673="Late",K673="Very late"),1,0)</f>
        <v/>
      </c>
    </row>
    <row r="674">
      <c r="A674" s="10" t="inlineStr">
        <is>
          <t>DN318891</t>
        </is>
      </c>
      <c r="B674" s="10" t="inlineStr">
        <is>
          <t>SO62706</t>
        </is>
      </c>
      <c r="C674" s="10" t="inlineStr">
        <is>
          <t>C10343</t>
        </is>
      </c>
      <c r="D674" s="10">
        <f>INDEX(Customers!$B:$B,MATCH(C674,Customers!$A:$A,0))</f>
        <v/>
      </c>
      <c r="E674" s="10">
        <f>INDEX(Customers!$D:$D,MATCH(C674,Customers!$A:$A,0))</f>
        <v/>
      </c>
      <c r="F674" s="10" t="inlineStr">
        <is>
          <t>Same-day courier</t>
        </is>
      </c>
      <c r="G674" s="5" t="n">
        <v>46259</v>
      </c>
      <c r="H674" s="5" t="n">
        <v>46260</v>
      </c>
      <c r="I674" s="5" t="n">
        <v>46260</v>
      </c>
      <c r="J674" s="10" t="inlineStr">
        <is>
          <t>09:20</t>
        </is>
      </c>
      <c r="K674" s="10" t="inlineStr">
        <is>
          <t>On time</t>
        </is>
      </c>
      <c r="L674" s="6" t="n">
        <v>0</v>
      </c>
      <c r="M674" s="10" t="n"/>
      <c r="N674" s="6" t="n">
        <v>15</v>
      </c>
      <c r="O674" s="6" t="n">
        <v>1740</v>
      </c>
      <c r="P674" s="6" t="n">
        <v>1</v>
      </c>
      <c r="Q674" s="6">
        <f>IF(OR(K674="On time",K674="Late",K674="Very late"),1,0)</f>
        <v/>
      </c>
    </row>
    <row r="675">
      <c r="A675" s="10" t="inlineStr">
        <is>
          <t>DN318892</t>
        </is>
      </c>
      <c r="B675" s="10" t="inlineStr">
        <is>
          <t>SO62707</t>
        </is>
      </c>
      <c r="C675" s="10" t="inlineStr">
        <is>
          <t>C10413</t>
        </is>
      </c>
      <c r="D675" s="10">
        <f>INDEX(Customers!$B:$B,MATCH(C675,Customers!$A:$A,0))</f>
        <v/>
      </c>
      <c r="E675" s="10">
        <f>INDEX(Customers!$D:$D,MATCH(C675,Customers!$A:$A,0))</f>
        <v/>
      </c>
      <c r="F675" s="10" t="inlineStr">
        <is>
          <t>Own trucks</t>
        </is>
      </c>
      <c r="G675" s="5" t="n">
        <v>46259</v>
      </c>
      <c r="H675" s="5" t="n">
        <v>46260</v>
      </c>
      <c r="I675" s="5" t="n">
        <v>46260</v>
      </c>
      <c r="J675" s="10" t="inlineStr">
        <is>
          <t>10:20</t>
        </is>
      </c>
      <c r="K675" s="10" t="inlineStr">
        <is>
          <t>On time</t>
        </is>
      </c>
      <c r="L675" s="6" t="n">
        <v>0</v>
      </c>
      <c r="M675" s="10" t="n"/>
      <c r="N675" s="6" t="n">
        <v>23</v>
      </c>
      <c r="O675" s="6" t="n">
        <v>2070</v>
      </c>
      <c r="P675" s="6" t="n">
        <v>1</v>
      </c>
      <c r="Q675" s="6">
        <f>IF(OR(K675="On time",K675="Late",K675="Very late"),1,0)</f>
        <v/>
      </c>
    </row>
    <row r="676">
      <c r="A676" s="10" t="inlineStr">
        <is>
          <t>DN318893</t>
        </is>
      </c>
      <c r="B676" s="10" t="inlineStr">
        <is>
          <t>SO62708</t>
        </is>
      </c>
      <c r="C676" s="10" t="inlineStr">
        <is>
          <t>C10446</t>
        </is>
      </c>
      <c r="D676" s="10">
        <f>INDEX(Customers!$B:$B,MATCH(C676,Customers!$A:$A,0))</f>
        <v/>
      </c>
      <c r="E676" s="10">
        <f>INDEX(Customers!$D:$D,MATCH(C676,Customers!$A:$A,0))</f>
        <v/>
      </c>
      <c r="F676" s="10" t="inlineStr">
        <is>
          <t>Own trucks</t>
        </is>
      </c>
      <c r="G676" s="5" t="n">
        <v>46259</v>
      </c>
      <c r="H676" s="5" t="n">
        <v>46260</v>
      </c>
      <c r="I676" s="5" t="n">
        <v>46260</v>
      </c>
      <c r="J676" s="10" t="inlineStr">
        <is>
          <t>16:10</t>
        </is>
      </c>
      <c r="K676" s="10" t="inlineStr">
        <is>
          <t>On time</t>
        </is>
      </c>
      <c r="L676" s="6" t="n">
        <v>0</v>
      </c>
      <c r="M676" s="10" t="n"/>
      <c r="N676" s="6" t="n">
        <v>19</v>
      </c>
      <c r="O676" s="6" t="n">
        <v>2280</v>
      </c>
      <c r="P676" s="6" t="n">
        <v>1</v>
      </c>
      <c r="Q676" s="6">
        <f>IF(OR(K676="On time",K676="Late",K676="Very late"),1,0)</f>
        <v/>
      </c>
    </row>
    <row r="677">
      <c r="A677" s="10" t="inlineStr">
        <is>
          <t>DN318894</t>
        </is>
      </c>
      <c r="B677" s="10" t="inlineStr">
        <is>
          <t>SO62709</t>
        </is>
      </c>
      <c r="C677" s="10" t="inlineStr">
        <is>
          <t>C10522</t>
        </is>
      </c>
      <c r="D677" s="10">
        <f>INDEX(Customers!$B:$B,MATCH(C677,Customers!$A:$A,0))</f>
        <v/>
      </c>
      <c r="E677" s="10">
        <f>INDEX(Customers!$D:$D,MATCH(C677,Customers!$A:$A,0))</f>
        <v/>
      </c>
      <c r="F677" s="10" t="inlineStr">
        <is>
          <t>Own trucks</t>
        </is>
      </c>
      <c r="G677" s="5" t="n">
        <v>46259</v>
      </c>
      <c r="H677" s="5" t="n">
        <v>46260</v>
      </c>
      <c r="I677" s="5" t="n">
        <v>46260</v>
      </c>
      <c r="J677" s="10" t="inlineStr">
        <is>
          <t>12:00</t>
        </is>
      </c>
      <c r="K677" s="10" t="inlineStr">
        <is>
          <t>On time</t>
        </is>
      </c>
      <c r="L677" s="6" t="n">
        <v>0</v>
      </c>
      <c r="M677" s="10" t="n"/>
      <c r="N677" s="6" t="n">
        <v>12</v>
      </c>
      <c r="O677" s="6" t="n">
        <v>852</v>
      </c>
      <c r="P677" s="6" t="n">
        <v>1</v>
      </c>
      <c r="Q677" s="6">
        <f>IF(OR(K677="On time",K677="Late",K677="Very late"),1,0)</f>
        <v/>
      </c>
    </row>
    <row r="678">
      <c r="A678" s="10" t="inlineStr">
        <is>
          <t>DN318895</t>
        </is>
      </c>
      <c r="B678" s="10" t="inlineStr">
        <is>
          <t>SO62711</t>
        </is>
      </c>
      <c r="C678" s="10" t="inlineStr">
        <is>
          <t>C10536</t>
        </is>
      </c>
      <c r="D678" s="10">
        <f>INDEX(Customers!$B:$B,MATCH(C678,Customers!$A:$A,0))</f>
        <v/>
      </c>
      <c r="E678" s="10">
        <f>INDEX(Customers!$D:$D,MATCH(C678,Customers!$A:$A,0))</f>
        <v/>
      </c>
      <c r="F678" s="10" t="inlineStr">
        <is>
          <t>Own trucks</t>
        </is>
      </c>
      <c r="G678" s="5" t="n">
        <v>46259</v>
      </c>
      <c r="H678" s="5" t="n">
        <v>46260</v>
      </c>
      <c r="I678" s="5" t="n">
        <v>46260</v>
      </c>
      <c r="J678" s="10" t="inlineStr">
        <is>
          <t>16:50</t>
        </is>
      </c>
      <c r="K678" s="10" t="inlineStr">
        <is>
          <t>On time</t>
        </is>
      </c>
      <c r="L678" s="6" t="n">
        <v>0</v>
      </c>
      <c r="M678" s="10" t="n"/>
      <c r="N678" s="6" t="n">
        <v>30</v>
      </c>
      <c r="O678" s="6" t="n">
        <v>4020</v>
      </c>
      <c r="P678" s="6" t="n">
        <v>1</v>
      </c>
      <c r="Q678" s="6">
        <f>IF(OR(K678="On time",K678="Late",K678="Very late"),1,0)</f>
        <v/>
      </c>
    </row>
    <row r="679">
      <c r="A679" s="10" t="inlineStr">
        <is>
          <t>DN318896</t>
        </is>
      </c>
      <c r="B679" s="10" t="inlineStr">
        <is>
          <t>SO62712</t>
        </is>
      </c>
      <c r="C679" s="10" t="inlineStr">
        <is>
          <t>C10589</t>
        </is>
      </c>
      <c r="D679" s="10">
        <f>INDEX(Customers!$B:$B,MATCH(C679,Customers!$A:$A,0))</f>
        <v/>
      </c>
      <c r="E679" s="10">
        <f>INDEX(Customers!$D:$D,MATCH(C679,Customers!$A:$A,0))</f>
        <v/>
      </c>
      <c r="F679" s="10" t="inlineStr">
        <is>
          <t>Own trucks</t>
        </is>
      </c>
      <c r="G679" s="5" t="n">
        <v>46259</v>
      </c>
      <c r="H679" s="5" t="n">
        <v>46260</v>
      </c>
      <c r="I679" s="5" t="n">
        <v>46260</v>
      </c>
      <c r="J679" s="10" t="inlineStr">
        <is>
          <t>12:30</t>
        </is>
      </c>
      <c r="K679" s="10" t="inlineStr">
        <is>
          <t>On time</t>
        </is>
      </c>
      <c r="L679" s="6" t="n">
        <v>0</v>
      </c>
      <c r="M679" s="10" t="n"/>
      <c r="N679" s="6" t="n">
        <v>3</v>
      </c>
      <c r="O679" s="6" t="n">
        <v>165</v>
      </c>
      <c r="P679" s="6" t="n">
        <v>1</v>
      </c>
      <c r="Q679" s="6">
        <f>IF(OR(K679="On time",K679="Late",K679="Very late"),1,0)</f>
        <v/>
      </c>
    </row>
    <row r="680">
      <c r="A680" s="10" t="inlineStr">
        <is>
          <t>DN318897</t>
        </is>
      </c>
      <c r="B680" s="10" t="inlineStr">
        <is>
          <t>SO62713</t>
        </is>
      </c>
      <c r="C680" s="10" t="inlineStr">
        <is>
          <t>C10622</t>
        </is>
      </c>
      <c r="D680" s="10">
        <f>INDEX(Customers!$B:$B,MATCH(C680,Customers!$A:$A,0))</f>
        <v/>
      </c>
      <c r="E680" s="10">
        <f>INDEX(Customers!$D:$D,MATCH(C680,Customers!$A:$A,0))</f>
        <v/>
      </c>
      <c r="F680" s="10" t="inlineStr">
        <is>
          <t>Own trucks</t>
        </is>
      </c>
      <c r="G680" s="5" t="n">
        <v>46259</v>
      </c>
      <c r="H680" s="5" t="n">
        <v>46260</v>
      </c>
      <c r="I680" s="5" t="n">
        <v>46260</v>
      </c>
      <c r="J680" s="10" t="inlineStr">
        <is>
          <t>14:50</t>
        </is>
      </c>
      <c r="K680" s="10" t="inlineStr">
        <is>
          <t>On time</t>
        </is>
      </c>
      <c r="L680" s="6" t="n">
        <v>0</v>
      </c>
      <c r="M680" s="10" t="n"/>
      <c r="N680" s="6" t="n">
        <v>8</v>
      </c>
      <c r="O680" s="6" t="n">
        <v>1096</v>
      </c>
      <c r="P680" s="6" t="n">
        <v>1</v>
      </c>
      <c r="Q680" s="6">
        <f>IF(OR(K680="On time",K680="Late",K680="Very late"),1,0)</f>
        <v/>
      </c>
    </row>
    <row r="681">
      <c r="A681" s="10" t="inlineStr">
        <is>
          <t>DN318898</t>
        </is>
      </c>
      <c r="B681" s="10" t="inlineStr">
        <is>
          <t>SO62714</t>
        </is>
      </c>
      <c r="C681" s="10" t="inlineStr">
        <is>
          <t>C10648</t>
        </is>
      </c>
      <c r="D681" s="10">
        <f>INDEX(Customers!$B:$B,MATCH(C681,Customers!$A:$A,0))</f>
        <v/>
      </c>
      <c r="E681" s="10">
        <f>INDEX(Customers!$D:$D,MATCH(C681,Customers!$A:$A,0))</f>
        <v/>
      </c>
      <c r="F681" s="10" t="inlineStr">
        <is>
          <t>Own trucks</t>
        </is>
      </c>
      <c r="G681" s="5" t="n">
        <v>46259</v>
      </c>
      <c r="H681" s="5" t="n">
        <v>46260</v>
      </c>
      <c r="I681" s="5" t="n">
        <v>46260</v>
      </c>
      <c r="J681" s="10" t="inlineStr">
        <is>
          <t>08:50</t>
        </is>
      </c>
      <c r="K681" s="10" t="inlineStr">
        <is>
          <t>On time</t>
        </is>
      </c>
      <c r="L681" s="6" t="n">
        <v>0</v>
      </c>
      <c r="M681" s="10" t="n"/>
      <c r="N681" s="6" t="n">
        <v>7</v>
      </c>
      <c r="O681" s="6" t="n">
        <v>448</v>
      </c>
      <c r="P681" s="6" t="n">
        <v>1</v>
      </c>
      <c r="Q681" s="6">
        <f>IF(OR(K681="On time",K681="Late",K681="Very late"),1,0)</f>
        <v/>
      </c>
    </row>
    <row r="682">
      <c r="A682" s="10" t="inlineStr">
        <is>
          <t>DN318899</t>
        </is>
      </c>
      <c r="B682" s="10" t="inlineStr">
        <is>
          <t>SO62715</t>
        </is>
      </c>
      <c r="C682" s="10" t="inlineStr">
        <is>
          <t>C10676</t>
        </is>
      </c>
      <c r="D682" s="10">
        <f>INDEX(Customers!$B:$B,MATCH(C682,Customers!$A:$A,0))</f>
        <v/>
      </c>
      <c r="E682" s="10">
        <f>INDEX(Customers!$D:$D,MATCH(C682,Customers!$A:$A,0))</f>
        <v/>
      </c>
      <c r="F682" s="10" t="inlineStr">
        <is>
          <t>Own trucks</t>
        </is>
      </c>
      <c r="G682" s="5" t="n">
        <v>46259</v>
      </c>
      <c r="H682" s="5" t="n">
        <v>46260</v>
      </c>
      <c r="I682" s="5" t="n">
        <v>46260</v>
      </c>
      <c r="J682" s="10" t="inlineStr">
        <is>
          <t>16:30</t>
        </is>
      </c>
      <c r="K682" s="10" t="inlineStr">
        <is>
          <t>On time</t>
        </is>
      </c>
      <c r="L682" s="6" t="n">
        <v>0</v>
      </c>
      <c r="M682" s="10" t="n"/>
      <c r="N682" s="6" t="n">
        <v>16</v>
      </c>
      <c r="O682" s="6" t="n">
        <v>1232</v>
      </c>
      <c r="P682" s="6" t="n">
        <v>1</v>
      </c>
      <c r="Q682" s="6">
        <f>IF(OR(K682="On time",K682="Late",K682="Very late"),1,0)</f>
        <v/>
      </c>
    </row>
    <row r="683">
      <c r="A683" s="10" t="inlineStr">
        <is>
          <t>DN318900</t>
        </is>
      </c>
      <c r="B683" s="10" t="inlineStr">
        <is>
          <t>SO62716</t>
        </is>
      </c>
      <c r="C683" s="10" t="inlineStr">
        <is>
          <t>C10689</t>
        </is>
      </c>
      <c r="D683" s="10">
        <f>INDEX(Customers!$B:$B,MATCH(C683,Customers!$A:$A,0))</f>
        <v/>
      </c>
      <c r="E683" s="10">
        <f>INDEX(Customers!$D:$D,MATCH(C683,Customers!$A:$A,0))</f>
        <v/>
      </c>
      <c r="F683" s="10" t="inlineStr">
        <is>
          <t>Own trucks</t>
        </is>
      </c>
      <c r="G683" s="5" t="n">
        <v>46259</v>
      </c>
      <c r="H683" s="5" t="n">
        <v>46260</v>
      </c>
      <c r="I683" s="5" t="n">
        <v>46260</v>
      </c>
      <c r="J683" s="10" t="inlineStr">
        <is>
          <t>09:50</t>
        </is>
      </c>
      <c r="K683" s="10" t="inlineStr">
        <is>
          <t>On time</t>
        </is>
      </c>
      <c r="L683" s="6" t="n">
        <v>0</v>
      </c>
      <c r="M683" s="10" t="n"/>
      <c r="N683" s="6" t="n">
        <v>16</v>
      </c>
      <c r="O683" s="6" t="n">
        <v>1840</v>
      </c>
      <c r="P683" s="6" t="n">
        <v>1</v>
      </c>
      <c r="Q683" s="6">
        <f>IF(OR(K683="On time",K683="Late",K683="Very late"),1,0)</f>
        <v/>
      </c>
    </row>
    <row r="684">
      <c r="A684" s="10" t="inlineStr">
        <is>
          <t>DN318901</t>
        </is>
      </c>
      <c r="B684" s="10" t="inlineStr">
        <is>
          <t>SO62717</t>
        </is>
      </c>
      <c r="C684" s="10" t="inlineStr">
        <is>
          <t>C10746</t>
        </is>
      </c>
      <c r="D684" s="10">
        <f>INDEX(Customers!$B:$B,MATCH(C684,Customers!$A:$A,0))</f>
        <v/>
      </c>
      <c r="E684" s="10">
        <f>INDEX(Customers!$D:$D,MATCH(C684,Customers!$A:$A,0))</f>
        <v/>
      </c>
      <c r="F684" s="10" t="inlineStr">
        <is>
          <t>Own trucks</t>
        </is>
      </c>
      <c r="G684" s="5" t="n">
        <v>46259</v>
      </c>
      <c r="H684" s="5" t="n">
        <v>46260</v>
      </c>
      <c r="I684" s="5" t="n">
        <v>46262</v>
      </c>
      <c r="J684" s="10" t="inlineStr">
        <is>
          <t>13:50</t>
        </is>
      </c>
      <c r="K684" s="10" t="inlineStr">
        <is>
          <t>Very late</t>
        </is>
      </c>
      <c r="L684" s="6" t="n">
        <v>2</v>
      </c>
      <c r="M684" s="10" t="inlineStr">
        <is>
          <t>Carrier delay</t>
        </is>
      </c>
      <c r="N684" s="6" t="n">
        <v>8</v>
      </c>
      <c r="O684" s="6" t="n">
        <v>888</v>
      </c>
      <c r="P684" s="6" t="n">
        <v>0</v>
      </c>
      <c r="Q684" s="6">
        <f>IF(OR(K684="On time",K684="Late",K684="Very late"),1,0)</f>
        <v/>
      </c>
    </row>
    <row r="685">
      <c r="A685" s="10" t="inlineStr">
        <is>
          <t>DN318902</t>
        </is>
      </c>
      <c r="B685" s="10" t="inlineStr">
        <is>
          <t>SO62718</t>
        </is>
      </c>
      <c r="C685" s="10" t="inlineStr">
        <is>
          <t>C10847</t>
        </is>
      </c>
      <c r="D685" s="10">
        <f>INDEX(Customers!$B:$B,MATCH(C685,Customers!$A:$A,0))</f>
        <v/>
      </c>
      <c r="E685" s="10">
        <f>INDEX(Customers!$D:$D,MATCH(C685,Customers!$A:$A,0))</f>
        <v/>
      </c>
      <c r="F685" s="10" t="inlineStr">
        <is>
          <t>Own trucks</t>
        </is>
      </c>
      <c r="G685" s="5" t="n">
        <v>46259</v>
      </c>
      <c r="H685" s="5" t="n">
        <v>46260</v>
      </c>
      <c r="I685" s="5" t="n">
        <v>46260</v>
      </c>
      <c r="J685" s="10" t="inlineStr">
        <is>
          <t>14:20</t>
        </is>
      </c>
      <c r="K685" s="10" t="inlineStr">
        <is>
          <t>On time</t>
        </is>
      </c>
      <c r="L685" s="6" t="n">
        <v>0</v>
      </c>
      <c r="M685" s="10" t="n"/>
      <c r="N685" s="6" t="n">
        <v>24</v>
      </c>
      <c r="O685" s="6" t="n">
        <v>3096</v>
      </c>
      <c r="P685" s="6" t="n">
        <v>1</v>
      </c>
      <c r="Q685" s="6">
        <f>IF(OR(K685="On time",K685="Late",K685="Very late"),1,0)</f>
        <v/>
      </c>
    </row>
    <row r="686">
      <c r="A686" s="10" t="inlineStr">
        <is>
          <t>DN318903</t>
        </is>
      </c>
      <c r="B686" s="10" t="inlineStr">
        <is>
          <t>SO62719</t>
        </is>
      </c>
      <c r="C686" s="10" t="inlineStr">
        <is>
          <t>C10915</t>
        </is>
      </c>
      <c r="D686" s="10">
        <f>INDEX(Customers!$B:$B,MATCH(C686,Customers!$A:$A,0))</f>
        <v/>
      </c>
      <c r="E686" s="10">
        <f>INDEX(Customers!$D:$D,MATCH(C686,Customers!$A:$A,0))</f>
        <v/>
      </c>
      <c r="F686" s="10" t="inlineStr">
        <is>
          <t>Own trucks</t>
        </is>
      </c>
      <c r="G686" s="5" t="n">
        <v>46259</v>
      </c>
      <c r="H686" s="5" t="n">
        <v>46260</v>
      </c>
      <c r="I686" s="5" t="n">
        <v>46260</v>
      </c>
      <c r="J686" s="10" t="inlineStr">
        <is>
          <t>08:00</t>
        </is>
      </c>
      <c r="K686" s="10" t="inlineStr">
        <is>
          <t>On time</t>
        </is>
      </c>
      <c r="L686" s="6" t="n">
        <v>0</v>
      </c>
      <c r="M686" s="10" t="n"/>
      <c r="N686" s="6" t="n">
        <v>36</v>
      </c>
      <c r="O686" s="6" t="n">
        <v>2340</v>
      </c>
      <c r="P686" s="6" t="n">
        <v>1</v>
      </c>
      <c r="Q686" s="6">
        <f>IF(OR(K686="On time",K686="Late",K686="Very late"),1,0)</f>
        <v/>
      </c>
    </row>
    <row r="687">
      <c r="A687" s="10" t="inlineStr">
        <is>
          <t>DN318904</t>
        </is>
      </c>
      <c r="B687" s="10" t="inlineStr">
        <is>
          <t>SO62721</t>
        </is>
      </c>
      <c r="C687" s="10" t="inlineStr">
        <is>
          <t>C10982</t>
        </is>
      </c>
      <c r="D687" s="10">
        <f>INDEX(Customers!$B:$B,MATCH(C687,Customers!$A:$A,0))</f>
        <v/>
      </c>
      <c r="E687" s="10">
        <f>INDEX(Customers!$D:$D,MATCH(C687,Customers!$A:$A,0))</f>
        <v/>
      </c>
      <c r="F687" s="10" t="inlineStr">
        <is>
          <t>Own trucks</t>
        </is>
      </c>
      <c r="G687" s="5" t="n">
        <v>46259</v>
      </c>
      <c r="H687" s="5" t="n">
        <v>46260</v>
      </c>
      <c r="I687" s="5" t="n">
        <v>46260</v>
      </c>
      <c r="J687" s="10" t="inlineStr">
        <is>
          <t>14:10</t>
        </is>
      </c>
      <c r="K687" s="10" t="inlineStr">
        <is>
          <t>On time</t>
        </is>
      </c>
      <c r="L687" s="6" t="n">
        <v>0</v>
      </c>
      <c r="M687" s="10" t="n"/>
      <c r="N687" s="6" t="n">
        <v>11</v>
      </c>
      <c r="O687" s="6" t="n">
        <v>803</v>
      </c>
      <c r="P687" s="6" t="n">
        <v>1</v>
      </c>
      <c r="Q687" s="6">
        <f>IF(OR(K687="On time",K687="Late",K687="Very late"),1,0)</f>
        <v/>
      </c>
    </row>
    <row r="688">
      <c r="A688" s="10" t="inlineStr">
        <is>
          <t>DN318905</t>
        </is>
      </c>
      <c r="B688" s="10" t="inlineStr">
        <is>
          <t>SO62723</t>
        </is>
      </c>
      <c r="C688" s="10" t="inlineStr">
        <is>
          <t>C11049</t>
        </is>
      </c>
      <c r="D688" s="10">
        <f>INDEX(Customers!$B:$B,MATCH(C688,Customers!$A:$A,0))</f>
        <v/>
      </c>
      <c r="E688" s="10">
        <f>INDEX(Customers!$D:$D,MATCH(C688,Customers!$A:$A,0))</f>
        <v/>
      </c>
      <c r="F688" s="10" t="inlineStr">
        <is>
          <t>Own trucks</t>
        </is>
      </c>
      <c r="G688" s="5" t="n">
        <v>46259</v>
      </c>
      <c r="H688" s="5" t="n">
        <v>46260</v>
      </c>
      <c r="I688" s="5" t="n">
        <v>46260</v>
      </c>
      <c r="J688" s="10" t="inlineStr">
        <is>
          <t>08:50</t>
        </is>
      </c>
      <c r="K688" s="10" t="inlineStr">
        <is>
          <t>On time</t>
        </is>
      </c>
      <c r="L688" s="6" t="n">
        <v>0</v>
      </c>
      <c r="M688" s="10" t="n"/>
      <c r="N688" s="6" t="n">
        <v>17</v>
      </c>
      <c r="O688" s="6" t="n">
        <v>2159</v>
      </c>
      <c r="P688" s="6" t="n">
        <v>1</v>
      </c>
      <c r="Q688" s="6">
        <f>IF(OR(K688="On time",K688="Late",K688="Very late"),1,0)</f>
        <v/>
      </c>
    </row>
    <row r="689">
      <c r="A689" s="10" t="inlineStr">
        <is>
          <t>DN318906</t>
        </is>
      </c>
      <c r="B689" s="10" t="inlineStr">
        <is>
          <t>SO62724</t>
        </is>
      </c>
      <c r="C689" s="10" t="inlineStr">
        <is>
          <t>C11107</t>
        </is>
      </c>
      <c r="D689" s="10">
        <f>INDEX(Customers!$B:$B,MATCH(C689,Customers!$A:$A,0))</f>
        <v/>
      </c>
      <c r="E689" s="10">
        <f>INDEX(Customers!$D:$D,MATCH(C689,Customers!$A:$A,0))</f>
        <v/>
      </c>
      <c r="F689" s="10" t="inlineStr">
        <is>
          <t>Own trucks</t>
        </is>
      </c>
      <c r="G689" s="5" t="n">
        <v>46259</v>
      </c>
      <c r="H689" s="5" t="n">
        <v>46260</v>
      </c>
      <c r="I689" s="5" t="n">
        <v>46260</v>
      </c>
      <c r="J689" s="10" t="inlineStr">
        <is>
          <t>13:40</t>
        </is>
      </c>
      <c r="K689" s="10" t="inlineStr">
        <is>
          <t>On time</t>
        </is>
      </c>
      <c r="L689" s="6" t="n">
        <v>0</v>
      </c>
      <c r="M689" s="10" t="n"/>
      <c r="N689" s="6" t="n">
        <v>21</v>
      </c>
      <c r="O689" s="6" t="n">
        <v>1659</v>
      </c>
      <c r="P689" s="6" t="n">
        <v>1</v>
      </c>
      <c r="Q689" s="6">
        <f>IF(OR(K689="On time",K689="Late",K689="Very late"),1,0)</f>
        <v/>
      </c>
    </row>
    <row r="690">
      <c r="A690" s="10" t="inlineStr">
        <is>
          <t>DN318907</t>
        </is>
      </c>
      <c r="B690" s="10" t="inlineStr">
        <is>
          <t>SO62725</t>
        </is>
      </c>
      <c r="C690" s="10" t="inlineStr">
        <is>
          <t>C11143</t>
        </is>
      </c>
      <c r="D690" s="10">
        <f>INDEX(Customers!$B:$B,MATCH(C690,Customers!$A:$A,0))</f>
        <v/>
      </c>
      <c r="E690" s="10">
        <f>INDEX(Customers!$D:$D,MATCH(C690,Customers!$A:$A,0))</f>
        <v/>
      </c>
      <c r="F690" s="10" t="inlineStr">
        <is>
          <t>Own trucks</t>
        </is>
      </c>
      <c r="G690" s="5" t="n">
        <v>46259</v>
      </c>
      <c r="H690" s="5" t="n">
        <v>46260</v>
      </c>
      <c r="I690" s="5" t="n">
        <v>46260</v>
      </c>
      <c r="J690" s="10" t="inlineStr">
        <is>
          <t>08:20</t>
        </is>
      </c>
      <c r="K690" s="10" t="inlineStr">
        <is>
          <t>On time</t>
        </is>
      </c>
      <c r="L690" s="6" t="n">
        <v>0</v>
      </c>
      <c r="M690" s="10" t="n"/>
      <c r="N690" s="6" t="n">
        <v>16</v>
      </c>
      <c r="O690" s="6" t="n">
        <v>1456</v>
      </c>
      <c r="P690" s="6" t="n">
        <v>1</v>
      </c>
      <c r="Q690" s="6">
        <f>IF(OR(K690="On time",K690="Late",K690="Very late"),1,0)</f>
        <v/>
      </c>
    </row>
    <row r="691">
      <c r="A691" s="10" t="inlineStr">
        <is>
          <t>DN318908</t>
        </is>
      </c>
      <c r="B691" s="10" t="inlineStr">
        <is>
          <t>SO62726</t>
        </is>
      </c>
      <c r="C691" s="10" t="inlineStr">
        <is>
          <t>C11186</t>
        </is>
      </c>
      <c r="D691" s="10">
        <f>INDEX(Customers!$B:$B,MATCH(C691,Customers!$A:$A,0))</f>
        <v/>
      </c>
      <c r="E691" s="10">
        <f>INDEX(Customers!$D:$D,MATCH(C691,Customers!$A:$A,0))</f>
        <v/>
      </c>
      <c r="F691" s="10" t="inlineStr">
        <is>
          <t>Own trucks</t>
        </is>
      </c>
      <c r="G691" s="5" t="n">
        <v>46259</v>
      </c>
      <c r="H691" s="5" t="n">
        <v>46260</v>
      </c>
      <c r="I691" s="5" t="n">
        <v>46260</v>
      </c>
      <c r="J691" s="10" t="inlineStr">
        <is>
          <t>07:40</t>
        </is>
      </c>
      <c r="K691" s="10" t="inlineStr">
        <is>
          <t>On time</t>
        </is>
      </c>
      <c r="L691" s="6" t="n">
        <v>0</v>
      </c>
      <c r="M691" s="10" t="n"/>
      <c r="N691" s="6" t="n">
        <v>26</v>
      </c>
      <c r="O691" s="6" t="n">
        <v>2080</v>
      </c>
      <c r="P691" s="6" t="n">
        <v>1</v>
      </c>
      <c r="Q691" s="6">
        <f>IF(OR(K691="On time",K691="Late",K691="Very late"),1,0)</f>
        <v/>
      </c>
    </row>
    <row r="692">
      <c r="A692" s="10" t="inlineStr">
        <is>
          <t>DN318909</t>
        </is>
      </c>
      <c r="B692" s="10" t="inlineStr">
        <is>
          <t>SO62727</t>
        </is>
      </c>
      <c r="C692" s="10" t="inlineStr">
        <is>
          <t>C11247</t>
        </is>
      </c>
      <c r="D692" s="10">
        <f>INDEX(Customers!$B:$B,MATCH(C692,Customers!$A:$A,0))</f>
        <v/>
      </c>
      <c r="E692" s="10">
        <f>INDEX(Customers!$D:$D,MATCH(C692,Customers!$A:$A,0))</f>
        <v/>
      </c>
      <c r="F692" s="10" t="inlineStr">
        <is>
          <t>Own trucks</t>
        </is>
      </c>
      <c r="G692" s="5" t="n">
        <v>46259</v>
      </c>
      <c r="H692" s="5" t="n">
        <v>46260</v>
      </c>
      <c r="I692" s="5" t="n">
        <v>46260</v>
      </c>
      <c r="J692" s="10" t="inlineStr">
        <is>
          <t>07:00</t>
        </is>
      </c>
      <c r="K692" s="10" t="inlineStr">
        <is>
          <t>On time</t>
        </is>
      </c>
      <c r="L692" s="6" t="n">
        <v>0</v>
      </c>
      <c r="M692" s="10" t="n"/>
      <c r="N692" s="6" t="n">
        <v>38</v>
      </c>
      <c r="O692" s="6" t="n">
        <v>2660</v>
      </c>
      <c r="P692" s="6" t="n">
        <v>1</v>
      </c>
      <c r="Q692" s="6">
        <f>IF(OR(K692="On time",K692="Late",K692="Very late"),1,0)</f>
        <v/>
      </c>
    </row>
    <row r="693">
      <c r="A693" s="10" t="inlineStr">
        <is>
          <t>DN318910</t>
        </is>
      </c>
      <c r="B693" s="10" t="inlineStr">
        <is>
          <t>SO62728</t>
        </is>
      </c>
      <c r="C693" s="10" t="inlineStr">
        <is>
          <t>C11264</t>
        </is>
      </c>
      <c r="D693" s="10">
        <f>INDEX(Customers!$B:$B,MATCH(C693,Customers!$A:$A,0))</f>
        <v/>
      </c>
      <c r="E693" s="10">
        <f>INDEX(Customers!$D:$D,MATCH(C693,Customers!$A:$A,0))</f>
        <v/>
      </c>
      <c r="F693" s="10" t="inlineStr">
        <is>
          <t>Own trucks</t>
        </is>
      </c>
      <c r="G693" s="5" t="n">
        <v>46259</v>
      </c>
      <c r="H693" s="5" t="n">
        <v>46260</v>
      </c>
      <c r="I693" s="5" t="n">
        <v>46260</v>
      </c>
      <c r="J693" s="10" t="inlineStr">
        <is>
          <t>15:00</t>
        </is>
      </c>
      <c r="K693" s="10" t="inlineStr">
        <is>
          <t>On time</t>
        </is>
      </c>
      <c r="L693" s="6" t="n">
        <v>0</v>
      </c>
      <c r="M693" s="10" t="n"/>
      <c r="N693" s="6" t="n">
        <v>30</v>
      </c>
      <c r="O693" s="6" t="n">
        <v>3030</v>
      </c>
      <c r="P693" s="6" t="n">
        <v>1</v>
      </c>
      <c r="Q693" s="6">
        <f>IF(OR(K693="On time",K693="Late",K693="Very late"),1,0)</f>
        <v/>
      </c>
    </row>
    <row r="694">
      <c r="A694" s="10" t="inlineStr">
        <is>
          <t>DN318911</t>
        </is>
      </c>
      <c r="B694" s="10" t="inlineStr">
        <is>
          <t>SO62730</t>
        </is>
      </c>
      <c r="C694" s="10" t="inlineStr">
        <is>
          <t>C11314</t>
        </is>
      </c>
      <c r="D694" s="10">
        <f>INDEX(Customers!$B:$B,MATCH(C694,Customers!$A:$A,0))</f>
        <v/>
      </c>
      <c r="E694" s="10">
        <f>INDEX(Customers!$D:$D,MATCH(C694,Customers!$A:$A,0))</f>
        <v/>
      </c>
      <c r="F694" s="10" t="inlineStr">
        <is>
          <t>Own trucks</t>
        </is>
      </c>
      <c r="G694" s="5" t="n">
        <v>46259</v>
      </c>
      <c r="H694" s="5" t="n">
        <v>46260</v>
      </c>
      <c r="I694" s="5" t="n">
        <v>46260</v>
      </c>
      <c r="J694" s="10" t="inlineStr">
        <is>
          <t>15:30</t>
        </is>
      </c>
      <c r="K694" s="10" t="inlineStr">
        <is>
          <t>On time</t>
        </is>
      </c>
      <c r="L694" s="6" t="n">
        <v>0</v>
      </c>
      <c r="M694" s="10" t="n"/>
      <c r="N694" s="6" t="n">
        <v>5</v>
      </c>
      <c r="O694" s="6" t="n">
        <v>555</v>
      </c>
      <c r="P694" s="6" t="n">
        <v>0</v>
      </c>
      <c r="Q694" s="6">
        <f>IF(OR(K694="On time",K694="Late",K694="Very late"),1,0)</f>
        <v/>
      </c>
    </row>
    <row r="695">
      <c r="A695" s="10" t="inlineStr">
        <is>
          <t>DN318912</t>
        </is>
      </c>
      <c r="B695" s="10" t="inlineStr">
        <is>
          <t>SO62731</t>
        </is>
      </c>
      <c r="C695" s="10" t="inlineStr">
        <is>
          <t>C11333</t>
        </is>
      </c>
      <c r="D695" s="10">
        <f>INDEX(Customers!$B:$B,MATCH(C695,Customers!$A:$A,0))</f>
        <v/>
      </c>
      <c r="E695" s="10">
        <f>INDEX(Customers!$D:$D,MATCH(C695,Customers!$A:$A,0))</f>
        <v/>
      </c>
      <c r="F695" s="10" t="inlineStr">
        <is>
          <t>Own trucks</t>
        </is>
      </c>
      <c r="G695" s="5" t="n">
        <v>46259</v>
      </c>
      <c r="H695" s="5" t="n">
        <v>46260</v>
      </c>
      <c r="I695" s="5" t="n">
        <v>46260</v>
      </c>
      <c r="J695" s="10" t="inlineStr">
        <is>
          <t>11:40</t>
        </is>
      </c>
      <c r="K695" s="10" t="inlineStr">
        <is>
          <t>On time</t>
        </is>
      </c>
      <c r="L695" s="6" t="n">
        <v>0</v>
      </c>
      <c r="M695" s="10" t="n"/>
      <c r="N695" s="6" t="n">
        <v>40</v>
      </c>
      <c r="O695" s="6" t="n">
        <v>4920</v>
      </c>
      <c r="P695" s="6" t="n">
        <v>1</v>
      </c>
      <c r="Q695" s="6">
        <f>IF(OR(K695="On time",K695="Late",K695="Very late"),1,0)</f>
        <v/>
      </c>
    </row>
    <row r="696">
      <c r="A696" s="10" t="inlineStr">
        <is>
          <t>DN318913</t>
        </is>
      </c>
      <c r="B696" s="10" t="inlineStr">
        <is>
          <t>SO62733</t>
        </is>
      </c>
      <c r="C696" s="10" t="inlineStr">
        <is>
          <t>C11463</t>
        </is>
      </c>
      <c r="D696" s="10">
        <f>INDEX(Customers!$B:$B,MATCH(C696,Customers!$A:$A,0))</f>
        <v/>
      </c>
      <c r="E696" s="10">
        <f>INDEX(Customers!$D:$D,MATCH(C696,Customers!$A:$A,0))</f>
        <v/>
      </c>
      <c r="F696" s="10" t="inlineStr">
        <is>
          <t>Own trucks</t>
        </is>
      </c>
      <c r="G696" s="5" t="n">
        <v>46259</v>
      </c>
      <c r="H696" s="5" t="n">
        <v>46260</v>
      </c>
      <c r="I696" s="5" t="n">
        <v>46260</v>
      </c>
      <c r="J696" s="10" t="inlineStr">
        <is>
          <t>12:10</t>
        </is>
      </c>
      <c r="K696" s="10" t="inlineStr">
        <is>
          <t>On time</t>
        </is>
      </c>
      <c r="L696" s="6" t="n">
        <v>0</v>
      </c>
      <c r="M696" s="10" t="n"/>
      <c r="N696" s="6" t="n">
        <v>26</v>
      </c>
      <c r="O696" s="6" t="n">
        <v>2652</v>
      </c>
      <c r="P696" s="6" t="n">
        <v>1</v>
      </c>
      <c r="Q696" s="6">
        <f>IF(OR(K696="On time",K696="Late",K696="Very late"),1,0)</f>
        <v/>
      </c>
    </row>
    <row r="697">
      <c r="A697" s="10" t="inlineStr">
        <is>
          <t>DN318914</t>
        </is>
      </c>
      <c r="B697" s="10" t="inlineStr">
        <is>
          <t>SO62734</t>
        </is>
      </c>
      <c r="C697" s="10" t="inlineStr">
        <is>
          <t>C11579</t>
        </is>
      </c>
      <c r="D697" s="10">
        <f>INDEX(Customers!$B:$B,MATCH(C697,Customers!$A:$A,0))</f>
        <v/>
      </c>
      <c r="E697" s="10">
        <f>INDEX(Customers!$D:$D,MATCH(C697,Customers!$A:$A,0))</f>
        <v/>
      </c>
      <c r="F697" s="10" t="inlineStr">
        <is>
          <t>Own trucks</t>
        </is>
      </c>
      <c r="G697" s="5" t="n">
        <v>46259</v>
      </c>
      <c r="H697" s="5" t="n">
        <v>46260</v>
      </c>
      <c r="I697" s="5" t="n">
        <v>46260</v>
      </c>
      <c r="J697" s="10" t="inlineStr">
        <is>
          <t>14:00</t>
        </is>
      </c>
      <c r="K697" s="10" t="inlineStr">
        <is>
          <t>On time</t>
        </is>
      </c>
      <c r="L697" s="6" t="n">
        <v>0</v>
      </c>
      <c r="M697" s="10" t="n"/>
      <c r="N697" s="6" t="n">
        <v>2</v>
      </c>
      <c r="O697" s="6" t="n">
        <v>254</v>
      </c>
      <c r="P697" s="6" t="n">
        <v>1</v>
      </c>
      <c r="Q697" s="6">
        <f>IF(OR(K697="On time",K697="Late",K697="Very late"),1,0)</f>
        <v/>
      </c>
    </row>
    <row r="698">
      <c r="A698" s="10" t="inlineStr">
        <is>
          <t>DN318915</t>
        </is>
      </c>
      <c r="B698" s="10" t="inlineStr">
        <is>
          <t>SO62735</t>
        </is>
      </c>
      <c r="C698" s="10" t="inlineStr">
        <is>
          <t>C11666</t>
        </is>
      </c>
      <c r="D698" s="10">
        <f>INDEX(Customers!$B:$B,MATCH(C698,Customers!$A:$A,0))</f>
        <v/>
      </c>
      <c r="E698" s="10">
        <f>INDEX(Customers!$D:$D,MATCH(C698,Customers!$A:$A,0))</f>
        <v/>
      </c>
      <c r="F698" s="10" t="inlineStr">
        <is>
          <t>Own trucks</t>
        </is>
      </c>
      <c r="G698" s="5" t="n">
        <v>46259</v>
      </c>
      <c r="H698" s="5" t="n">
        <v>46260</v>
      </c>
      <c r="I698" s="5" t="n">
        <v>46260</v>
      </c>
      <c r="J698" s="10" t="inlineStr">
        <is>
          <t>08:50</t>
        </is>
      </c>
      <c r="K698" s="10" t="inlineStr">
        <is>
          <t>On time</t>
        </is>
      </c>
      <c r="L698" s="6" t="n">
        <v>0</v>
      </c>
      <c r="M698" s="10" t="n"/>
      <c r="N698" s="6" t="n">
        <v>18</v>
      </c>
      <c r="O698" s="6" t="n">
        <v>2484</v>
      </c>
      <c r="P698" s="6" t="n">
        <v>1</v>
      </c>
      <c r="Q698" s="6">
        <f>IF(OR(K698="On time",K698="Late",K698="Very late"),1,0)</f>
        <v/>
      </c>
    </row>
    <row r="699">
      <c r="A699" s="10" t="inlineStr">
        <is>
          <t>DN318916</t>
        </is>
      </c>
      <c r="B699" s="10" t="inlineStr">
        <is>
          <t>SO62736</t>
        </is>
      </c>
      <c r="C699" s="10" t="inlineStr">
        <is>
          <t>C11745</t>
        </is>
      </c>
      <c r="D699" s="10">
        <f>INDEX(Customers!$B:$B,MATCH(C699,Customers!$A:$A,0))</f>
        <v/>
      </c>
      <c r="E699" s="10">
        <f>INDEX(Customers!$D:$D,MATCH(C699,Customers!$A:$A,0))</f>
        <v/>
      </c>
      <c r="F699" s="10" t="inlineStr">
        <is>
          <t>Own trucks</t>
        </is>
      </c>
      <c r="G699" s="5" t="n">
        <v>46259</v>
      </c>
      <c r="H699" s="5" t="n">
        <v>46260</v>
      </c>
      <c r="I699" s="5" t="n">
        <v>46260</v>
      </c>
      <c r="J699" s="10" t="inlineStr">
        <is>
          <t>12:40</t>
        </is>
      </c>
      <c r="K699" s="10" t="inlineStr">
        <is>
          <t>On time</t>
        </is>
      </c>
      <c r="L699" s="6" t="n">
        <v>0</v>
      </c>
      <c r="M699" s="10" t="n"/>
      <c r="N699" s="6" t="n">
        <v>31</v>
      </c>
      <c r="O699" s="6" t="n">
        <v>4030</v>
      </c>
      <c r="P699" s="6" t="n">
        <v>1</v>
      </c>
      <c r="Q699" s="6">
        <f>IF(OR(K699="On time",K699="Late",K699="Very late"),1,0)</f>
        <v/>
      </c>
    </row>
    <row r="700">
      <c r="A700" s="10" t="inlineStr">
        <is>
          <t>DN318917</t>
        </is>
      </c>
      <c r="B700" s="10" t="inlineStr">
        <is>
          <t>SO62737</t>
        </is>
      </c>
      <c r="C700" s="10" t="inlineStr">
        <is>
          <t>C11790</t>
        </is>
      </c>
      <c r="D700" s="10">
        <f>INDEX(Customers!$B:$B,MATCH(C700,Customers!$A:$A,0))</f>
        <v/>
      </c>
      <c r="E700" s="10">
        <f>INDEX(Customers!$D:$D,MATCH(C700,Customers!$A:$A,0))</f>
        <v/>
      </c>
      <c r="F700" s="10" t="inlineStr">
        <is>
          <t>Carrier A</t>
        </is>
      </c>
      <c r="G700" s="5" t="n">
        <v>46259</v>
      </c>
      <c r="H700" s="5" t="n">
        <v>46260</v>
      </c>
      <c r="I700" s="5" t="n">
        <v>46260</v>
      </c>
      <c r="J700" s="10" t="inlineStr">
        <is>
          <t>11:10</t>
        </is>
      </c>
      <c r="K700" s="10" t="inlineStr">
        <is>
          <t>On time</t>
        </is>
      </c>
      <c r="L700" s="6" t="n">
        <v>0</v>
      </c>
      <c r="M700" s="10" t="n"/>
      <c r="N700" s="6" t="n">
        <v>15</v>
      </c>
      <c r="O700" s="6" t="n">
        <v>2010</v>
      </c>
      <c r="P700" s="6" t="n">
        <v>1</v>
      </c>
      <c r="Q700" s="6">
        <f>IF(OR(K700="On time",K700="Late",K700="Very late"),1,0)</f>
        <v/>
      </c>
    </row>
    <row r="701">
      <c r="A701" s="10" t="inlineStr">
        <is>
          <t>DN318918</t>
        </is>
      </c>
      <c r="B701" s="10" t="inlineStr">
        <is>
          <t>SO62738</t>
        </is>
      </c>
      <c r="C701" s="10" t="inlineStr">
        <is>
          <t>C11798</t>
        </is>
      </c>
      <c r="D701" s="10">
        <f>INDEX(Customers!$B:$B,MATCH(C701,Customers!$A:$A,0))</f>
        <v/>
      </c>
      <c r="E701" s="10">
        <f>INDEX(Customers!$D:$D,MATCH(C701,Customers!$A:$A,0))</f>
        <v/>
      </c>
      <c r="F701" s="10" t="inlineStr">
        <is>
          <t>Carrier A</t>
        </is>
      </c>
      <c r="G701" s="5" t="n">
        <v>46259</v>
      </c>
      <c r="H701" s="5" t="n">
        <v>46260</v>
      </c>
      <c r="I701" s="5" t="n">
        <v>46260</v>
      </c>
      <c r="J701" s="10" t="inlineStr">
        <is>
          <t>16:40</t>
        </is>
      </c>
      <c r="K701" s="10" t="inlineStr">
        <is>
          <t>On time</t>
        </is>
      </c>
      <c r="L701" s="6" t="n">
        <v>0</v>
      </c>
      <c r="M701" s="10" t="n"/>
      <c r="N701" s="6" t="n">
        <v>36</v>
      </c>
      <c r="O701" s="6" t="n">
        <v>3060</v>
      </c>
      <c r="P701" s="6" t="n">
        <v>1</v>
      </c>
      <c r="Q701" s="6">
        <f>IF(OR(K701="On time",K701="Late",K701="Very late"),1,0)</f>
        <v/>
      </c>
    </row>
    <row r="702">
      <c r="A702" s="10" t="inlineStr">
        <is>
          <t>DN318919</t>
        </is>
      </c>
      <c r="B702" s="10" t="inlineStr">
        <is>
          <t>SO62739</t>
        </is>
      </c>
      <c r="C702" s="10" t="inlineStr">
        <is>
          <t>C11971</t>
        </is>
      </c>
      <c r="D702" s="10">
        <f>INDEX(Customers!$B:$B,MATCH(C702,Customers!$A:$A,0))</f>
        <v/>
      </c>
      <c r="E702" s="10">
        <f>INDEX(Customers!$D:$D,MATCH(C702,Customers!$A:$A,0))</f>
        <v/>
      </c>
      <c r="F702" s="10" t="inlineStr">
        <is>
          <t>Own trucks</t>
        </is>
      </c>
      <c r="G702" s="5" t="n">
        <v>46259</v>
      </c>
      <c r="H702" s="5" t="n">
        <v>46260</v>
      </c>
      <c r="I702" s="5" t="n">
        <v>46260</v>
      </c>
      <c r="J702" s="10" t="inlineStr">
        <is>
          <t>11:50</t>
        </is>
      </c>
      <c r="K702" s="10" t="inlineStr">
        <is>
          <t>On time</t>
        </is>
      </c>
      <c r="L702" s="6" t="n">
        <v>0</v>
      </c>
      <c r="M702" s="10" t="n"/>
      <c r="N702" s="6" t="n">
        <v>5</v>
      </c>
      <c r="O702" s="6" t="n">
        <v>555</v>
      </c>
      <c r="P702" s="6" t="n">
        <v>1</v>
      </c>
      <c r="Q702" s="6">
        <f>IF(OR(K702="On time",K702="Late",K702="Very late"),1,0)</f>
        <v/>
      </c>
    </row>
    <row r="703">
      <c r="A703" s="10" t="inlineStr">
        <is>
          <t>DN318920</t>
        </is>
      </c>
      <c r="B703" s="10" t="inlineStr">
        <is>
          <t>SO62740</t>
        </is>
      </c>
      <c r="C703" s="10" t="inlineStr">
        <is>
          <t>C12103</t>
        </is>
      </c>
      <c r="D703" s="10">
        <f>INDEX(Customers!$B:$B,MATCH(C703,Customers!$A:$A,0))</f>
        <v/>
      </c>
      <c r="E703" s="10">
        <f>INDEX(Customers!$D:$D,MATCH(C703,Customers!$A:$A,0))</f>
        <v/>
      </c>
      <c r="F703" s="10" t="inlineStr">
        <is>
          <t>Own trucks</t>
        </is>
      </c>
      <c r="G703" s="5" t="n">
        <v>46259</v>
      </c>
      <c r="H703" s="5" t="n">
        <v>46260</v>
      </c>
      <c r="I703" s="5" t="n">
        <v>46260</v>
      </c>
      <c r="J703" s="10" t="inlineStr">
        <is>
          <t>10:20</t>
        </is>
      </c>
      <c r="K703" s="10" t="inlineStr">
        <is>
          <t>On time</t>
        </is>
      </c>
      <c r="L703" s="6" t="n">
        <v>0</v>
      </c>
      <c r="M703" s="10" t="n"/>
      <c r="N703" s="6" t="n">
        <v>29</v>
      </c>
      <c r="O703" s="6" t="n">
        <v>2204</v>
      </c>
      <c r="P703" s="6" t="n">
        <v>1</v>
      </c>
      <c r="Q703" s="6">
        <f>IF(OR(K703="On time",K703="Late",K703="Very late"),1,0)</f>
        <v/>
      </c>
    </row>
    <row r="704">
      <c r="A704" s="10" t="inlineStr">
        <is>
          <t>DN318921</t>
        </is>
      </c>
      <c r="B704" s="10" t="inlineStr">
        <is>
          <t>SO62741</t>
        </is>
      </c>
      <c r="C704" s="10" t="inlineStr">
        <is>
          <t>C12117</t>
        </is>
      </c>
      <c r="D704" s="10">
        <f>INDEX(Customers!$B:$B,MATCH(C704,Customers!$A:$A,0))</f>
        <v/>
      </c>
      <c r="E704" s="10">
        <f>INDEX(Customers!$D:$D,MATCH(C704,Customers!$A:$A,0))</f>
        <v/>
      </c>
      <c r="F704" s="10" t="inlineStr">
        <is>
          <t>Own trucks</t>
        </is>
      </c>
      <c r="G704" s="5" t="n">
        <v>46259</v>
      </c>
      <c r="H704" s="5" t="n">
        <v>46260</v>
      </c>
      <c r="I704" s="5" t="n">
        <v>46260</v>
      </c>
      <c r="J704" s="10" t="inlineStr">
        <is>
          <t>13:30</t>
        </is>
      </c>
      <c r="K704" s="10" t="inlineStr">
        <is>
          <t>On time</t>
        </is>
      </c>
      <c r="L704" s="6" t="n">
        <v>0</v>
      </c>
      <c r="M704" s="10" t="n"/>
      <c r="N704" s="6" t="n">
        <v>7</v>
      </c>
      <c r="O704" s="6" t="n">
        <v>889</v>
      </c>
      <c r="P704" s="6" t="n">
        <v>0</v>
      </c>
      <c r="Q704" s="6">
        <f>IF(OR(K704="On time",K704="Late",K704="Very late"),1,0)</f>
        <v/>
      </c>
    </row>
    <row r="705">
      <c r="A705" s="10" t="inlineStr">
        <is>
          <t>DN318922</t>
        </is>
      </c>
      <c r="B705" s="10" t="inlineStr">
        <is>
          <t>SO62742</t>
        </is>
      </c>
      <c r="C705" s="10" t="inlineStr">
        <is>
          <t>C12239</t>
        </is>
      </c>
      <c r="D705" s="10">
        <f>INDEX(Customers!$B:$B,MATCH(C705,Customers!$A:$A,0))</f>
        <v/>
      </c>
      <c r="E705" s="10">
        <f>INDEX(Customers!$D:$D,MATCH(C705,Customers!$A:$A,0))</f>
        <v/>
      </c>
      <c r="F705" s="10" t="inlineStr">
        <is>
          <t>Carrier B</t>
        </is>
      </c>
      <c r="G705" s="5" t="n">
        <v>46259</v>
      </c>
      <c r="H705" s="5" t="n">
        <v>46260</v>
      </c>
      <c r="I705" s="5" t="n">
        <v>46260</v>
      </c>
      <c r="J705" s="10" t="inlineStr">
        <is>
          <t>09:00</t>
        </is>
      </c>
      <c r="K705" s="10" t="inlineStr">
        <is>
          <t>On time</t>
        </is>
      </c>
      <c r="L705" s="6" t="n">
        <v>0</v>
      </c>
      <c r="M705" s="10" t="n"/>
      <c r="N705" s="6" t="n">
        <v>36</v>
      </c>
      <c r="O705" s="6" t="n">
        <v>3672</v>
      </c>
      <c r="P705" s="6" t="n">
        <v>1</v>
      </c>
      <c r="Q705" s="6">
        <f>IF(OR(K705="On time",K705="Late",K705="Very late"),1,0)</f>
        <v/>
      </c>
    </row>
    <row r="706">
      <c r="A706" s="10" t="inlineStr">
        <is>
          <t>DN318923</t>
        </is>
      </c>
      <c r="B706" s="10" t="inlineStr">
        <is>
          <t>SO62743</t>
        </is>
      </c>
      <c r="C706" s="10" t="inlineStr">
        <is>
          <t>C12262</t>
        </is>
      </c>
      <c r="D706" s="10">
        <f>INDEX(Customers!$B:$B,MATCH(C706,Customers!$A:$A,0))</f>
        <v/>
      </c>
      <c r="E706" s="10">
        <f>INDEX(Customers!$D:$D,MATCH(C706,Customers!$A:$A,0))</f>
        <v/>
      </c>
      <c r="F706" s="10" t="inlineStr">
        <is>
          <t>Carrier B</t>
        </is>
      </c>
      <c r="G706" s="5" t="n">
        <v>46259</v>
      </c>
      <c r="H706" s="5" t="n">
        <v>46260</v>
      </c>
      <c r="I706" s="5" t="n">
        <v>46260</v>
      </c>
      <c r="J706" s="10" t="inlineStr">
        <is>
          <t>10:30</t>
        </is>
      </c>
      <c r="K706" s="10" t="inlineStr">
        <is>
          <t>On time</t>
        </is>
      </c>
      <c r="L706" s="6" t="n">
        <v>0</v>
      </c>
      <c r="M706" s="10" t="n"/>
      <c r="N706" s="6" t="n">
        <v>33</v>
      </c>
      <c r="O706" s="6" t="n">
        <v>3564</v>
      </c>
      <c r="P706" s="6" t="n">
        <v>1</v>
      </c>
      <c r="Q706" s="6">
        <f>IF(OR(K706="On time",K706="Late",K706="Very late"),1,0)</f>
        <v/>
      </c>
    </row>
    <row r="707">
      <c r="A707" s="10" t="inlineStr">
        <is>
          <t>DN318925</t>
        </is>
      </c>
      <c r="B707" s="10" t="inlineStr">
        <is>
          <t>SO62744</t>
        </is>
      </c>
      <c r="C707" s="10" t="inlineStr">
        <is>
          <t>C12305</t>
        </is>
      </c>
      <c r="D707" s="10">
        <f>INDEX(Customers!$B:$B,MATCH(C707,Customers!$A:$A,0))</f>
        <v/>
      </c>
      <c r="E707" s="10">
        <f>INDEX(Customers!$D:$D,MATCH(C707,Customers!$A:$A,0))</f>
        <v/>
      </c>
      <c r="F707" s="10" t="inlineStr">
        <is>
          <t>Carrier B</t>
        </is>
      </c>
      <c r="G707" s="5" t="n">
        <v>46259</v>
      </c>
      <c r="H707" s="5" t="n">
        <v>46260</v>
      </c>
      <c r="I707" s="5" t="n">
        <v>46260</v>
      </c>
      <c r="J707" s="10" t="inlineStr">
        <is>
          <t>15:00</t>
        </is>
      </c>
      <c r="K707" s="10" t="inlineStr">
        <is>
          <t>On time</t>
        </is>
      </c>
      <c r="L707" s="6" t="n">
        <v>0</v>
      </c>
      <c r="M707" s="10" t="n"/>
      <c r="N707" s="6" t="n">
        <v>37</v>
      </c>
      <c r="O707" s="6" t="n">
        <v>3589</v>
      </c>
      <c r="P707" s="6" t="n">
        <v>1</v>
      </c>
      <c r="Q707" s="6">
        <f>IF(OR(K707="On time",K707="Late",K707="Very late"),1,0)</f>
        <v/>
      </c>
    </row>
    <row r="708">
      <c r="A708" s="10" t="inlineStr">
        <is>
          <t>DN318926</t>
        </is>
      </c>
      <c r="B708" s="10" t="inlineStr">
        <is>
          <t>SO62745</t>
        </is>
      </c>
      <c r="C708" s="10" t="inlineStr">
        <is>
          <t>C12365</t>
        </is>
      </c>
      <c r="D708" s="10">
        <f>INDEX(Customers!$B:$B,MATCH(C708,Customers!$A:$A,0))</f>
        <v/>
      </c>
      <c r="E708" s="10">
        <f>INDEX(Customers!$D:$D,MATCH(C708,Customers!$A:$A,0))</f>
        <v/>
      </c>
      <c r="F708" s="10" t="inlineStr">
        <is>
          <t>Carrier B</t>
        </is>
      </c>
      <c r="G708" s="5" t="n">
        <v>46259</v>
      </c>
      <c r="H708" s="5" t="n">
        <v>46260</v>
      </c>
      <c r="I708" s="5" t="n">
        <v>46260</v>
      </c>
      <c r="J708" s="10" t="inlineStr">
        <is>
          <t>12:00</t>
        </is>
      </c>
      <c r="K708" s="10" t="inlineStr">
        <is>
          <t>On time</t>
        </is>
      </c>
      <c r="L708" s="6" t="n">
        <v>0</v>
      </c>
      <c r="M708" s="10" t="n"/>
      <c r="N708" s="6" t="n">
        <v>6</v>
      </c>
      <c r="O708" s="6" t="n">
        <v>546</v>
      </c>
      <c r="P708" s="6" t="n">
        <v>1</v>
      </c>
      <c r="Q708" s="6">
        <f>IF(OR(K708="On time",K708="Late",K708="Very late"),1,0)</f>
        <v/>
      </c>
    </row>
    <row r="709">
      <c r="A709" s="10" t="inlineStr">
        <is>
          <t>DN318927</t>
        </is>
      </c>
      <c r="B709" s="10" t="inlineStr">
        <is>
          <t>SO62746</t>
        </is>
      </c>
      <c r="C709" s="10" t="inlineStr">
        <is>
          <t>C12490</t>
        </is>
      </c>
      <c r="D709" s="10">
        <f>INDEX(Customers!$B:$B,MATCH(C709,Customers!$A:$A,0))</f>
        <v/>
      </c>
      <c r="E709" s="10">
        <f>INDEX(Customers!$D:$D,MATCH(C709,Customers!$A:$A,0))</f>
        <v/>
      </c>
      <c r="F709" s="10" t="inlineStr">
        <is>
          <t>Carrier A</t>
        </is>
      </c>
      <c r="G709" s="5" t="n">
        <v>46259</v>
      </c>
      <c r="H709" s="5" t="n">
        <v>46260</v>
      </c>
      <c r="I709" s="5" t="n">
        <v>46261</v>
      </c>
      <c r="J709" s="10" t="inlineStr">
        <is>
          <t>07:10</t>
        </is>
      </c>
      <c r="K709" s="10" t="inlineStr">
        <is>
          <t>Late</t>
        </is>
      </c>
      <c r="L709" s="6" t="n">
        <v>1</v>
      </c>
      <c r="M709" s="10" t="inlineStr">
        <is>
          <t>Carrier delay</t>
        </is>
      </c>
      <c r="N709" s="6" t="n">
        <v>17</v>
      </c>
      <c r="O709" s="6" t="n">
        <v>1547</v>
      </c>
      <c r="P709" s="6" t="n">
        <v>1</v>
      </c>
      <c r="Q709" s="6">
        <f>IF(OR(K709="On time",K709="Late",K709="Very late"),1,0)</f>
        <v/>
      </c>
    </row>
    <row r="710">
      <c r="A710" s="10" t="inlineStr">
        <is>
          <t>DN318928</t>
        </is>
      </c>
      <c r="B710" s="10" t="inlineStr">
        <is>
          <t>SO62747</t>
        </is>
      </c>
      <c r="C710" s="10" t="inlineStr">
        <is>
          <t>C12543</t>
        </is>
      </c>
      <c r="D710" s="10">
        <f>INDEX(Customers!$B:$B,MATCH(C710,Customers!$A:$A,0))</f>
        <v/>
      </c>
      <c r="E710" s="10">
        <f>INDEX(Customers!$D:$D,MATCH(C710,Customers!$A:$A,0))</f>
        <v/>
      </c>
      <c r="F710" s="10" t="inlineStr">
        <is>
          <t>Carrier B</t>
        </is>
      </c>
      <c r="G710" s="5" t="n">
        <v>46258</v>
      </c>
      <c r="H710" s="5" t="n">
        <v>46260</v>
      </c>
      <c r="I710" s="5" t="n">
        <v>46260</v>
      </c>
      <c r="J710" s="10" t="inlineStr">
        <is>
          <t>10:00</t>
        </is>
      </c>
      <c r="K710" s="10" t="inlineStr">
        <is>
          <t>On time</t>
        </is>
      </c>
      <c r="L710" s="6" t="n">
        <v>0</v>
      </c>
      <c r="M710" s="10" t="n"/>
      <c r="N710" s="6" t="n">
        <v>7</v>
      </c>
      <c r="O710" s="6" t="n">
        <v>399</v>
      </c>
      <c r="P710" s="6" t="n">
        <v>1</v>
      </c>
      <c r="Q710" s="6">
        <f>IF(OR(K710="On time",K710="Late",K710="Very late"),1,0)</f>
        <v/>
      </c>
    </row>
    <row r="711">
      <c r="A711" s="10" t="inlineStr">
        <is>
          <t>DN318929</t>
        </is>
      </c>
      <c r="B711" s="10" t="inlineStr">
        <is>
          <t>SO62748</t>
        </is>
      </c>
      <c r="C711" s="10" t="inlineStr">
        <is>
          <t>C12617</t>
        </is>
      </c>
      <c r="D711" s="10">
        <f>INDEX(Customers!$B:$B,MATCH(C711,Customers!$A:$A,0))</f>
        <v/>
      </c>
      <c r="E711" s="10">
        <f>INDEX(Customers!$D:$D,MATCH(C711,Customers!$A:$A,0))</f>
        <v/>
      </c>
      <c r="F711" s="10" t="inlineStr">
        <is>
          <t>Carrier B</t>
        </is>
      </c>
      <c r="G711" s="5" t="n">
        <v>46258</v>
      </c>
      <c r="H711" s="5" t="n">
        <v>46260</v>
      </c>
      <c r="I711" s="5" t="n">
        <v>46260</v>
      </c>
      <c r="J711" s="10" t="inlineStr">
        <is>
          <t>15:20</t>
        </is>
      </c>
      <c r="K711" s="10" t="inlineStr">
        <is>
          <t>On time</t>
        </is>
      </c>
      <c r="L711" s="6" t="n">
        <v>0</v>
      </c>
      <c r="M711" s="10" t="n"/>
      <c r="N711" s="6" t="n">
        <v>13</v>
      </c>
      <c r="O711" s="6" t="n">
        <v>1560</v>
      </c>
      <c r="P711" s="6" t="n">
        <v>1</v>
      </c>
      <c r="Q711" s="6">
        <f>IF(OR(K711="On time",K711="Late",K711="Very late"),1,0)</f>
        <v/>
      </c>
    </row>
    <row r="712">
      <c r="A712" s="10" t="inlineStr">
        <is>
          <t>DN318930</t>
        </is>
      </c>
      <c r="B712" s="10" t="inlineStr">
        <is>
          <t>SO62750</t>
        </is>
      </c>
      <c r="C712" s="10" t="inlineStr">
        <is>
          <t>C12639</t>
        </is>
      </c>
      <c r="D712" s="10">
        <f>INDEX(Customers!$B:$B,MATCH(C712,Customers!$A:$A,0))</f>
        <v/>
      </c>
      <c r="E712" s="10">
        <f>INDEX(Customers!$D:$D,MATCH(C712,Customers!$A:$A,0))</f>
        <v/>
      </c>
      <c r="F712" s="10" t="inlineStr">
        <is>
          <t>Carrier B</t>
        </is>
      </c>
      <c r="G712" s="5" t="n">
        <v>46258</v>
      </c>
      <c r="H712" s="5" t="n">
        <v>46260</v>
      </c>
      <c r="I712" s="5" t="n">
        <v>46260</v>
      </c>
      <c r="J712" s="10" t="inlineStr">
        <is>
          <t>14:10</t>
        </is>
      </c>
      <c r="K712" s="10" t="inlineStr">
        <is>
          <t>On time</t>
        </is>
      </c>
      <c r="L712" s="6" t="n">
        <v>0</v>
      </c>
      <c r="M712" s="10" t="n"/>
      <c r="N712" s="6" t="n">
        <v>7</v>
      </c>
      <c r="O712" s="6" t="n">
        <v>441</v>
      </c>
      <c r="P712" s="6" t="n">
        <v>0</v>
      </c>
      <c r="Q712" s="6">
        <f>IF(OR(K712="On time",K712="Late",K712="Very late"),1,0)</f>
        <v/>
      </c>
    </row>
    <row r="713">
      <c r="A713" s="10" t="inlineStr">
        <is>
          <t>DN318931</t>
        </is>
      </c>
      <c r="B713" s="10" t="inlineStr">
        <is>
          <t>SO62751</t>
        </is>
      </c>
      <c r="C713" s="10" t="inlineStr">
        <is>
          <t>C12675</t>
        </is>
      </c>
      <c r="D713" s="10">
        <f>INDEX(Customers!$B:$B,MATCH(C713,Customers!$A:$A,0))</f>
        <v/>
      </c>
      <c r="E713" s="10">
        <f>INDEX(Customers!$D:$D,MATCH(C713,Customers!$A:$A,0))</f>
        <v/>
      </c>
      <c r="F713" s="10" t="inlineStr">
        <is>
          <t>Carrier B</t>
        </is>
      </c>
      <c r="G713" s="5" t="n">
        <v>46258</v>
      </c>
      <c r="H713" s="5" t="n">
        <v>46260</v>
      </c>
      <c r="I713" s="5" t="n">
        <v>46260</v>
      </c>
      <c r="J713" s="10" t="inlineStr">
        <is>
          <t>07:40</t>
        </is>
      </c>
      <c r="K713" s="10" t="inlineStr">
        <is>
          <t>On time</t>
        </is>
      </c>
      <c r="L713" s="6" t="n">
        <v>0</v>
      </c>
      <c r="M713" s="10" t="n"/>
      <c r="N713" s="6" t="n">
        <v>16</v>
      </c>
      <c r="O713" s="6" t="n">
        <v>912</v>
      </c>
      <c r="P713" s="6" t="n">
        <v>1</v>
      </c>
      <c r="Q713" s="6">
        <f>IF(OR(K713="On time",K713="Late",K713="Very late"),1,0)</f>
        <v/>
      </c>
    </row>
    <row r="714">
      <c r="A714" s="10" t="inlineStr">
        <is>
          <t>DN318932</t>
        </is>
      </c>
      <c r="B714" s="10" t="inlineStr">
        <is>
          <t>SO62752</t>
        </is>
      </c>
      <c r="C714" s="10" t="inlineStr">
        <is>
          <t>C10322</t>
        </is>
      </c>
      <c r="D714" s="10">
        <f>INDEX(Customers!$B:$B,MATCH(C714,Customers!$A:$A,0))</f>
        <v/>
      </c>
      <c r="E714" s="10">
        <f>INDEX(Customers!$D:$D,MATCH(C714,Customers!$A:$A,0))</f>
        <v/>
      </c>
      <c r="F714" s="10" t="inlineStr">
        <is>
          <t>Own trucks</t>
        </is>
      </c>
      <c r="G714" s="5" t="n">
        <v>46260</v>
      </c>
      <c r="H714" s="5" t="n">
        <v>46261</v>
      </c>
      <c r="I714" s="5" t="n">
        <v>46261</v>
      </c>
      <c r="J714" s="10" t="inlineStr">
        <is>
          <t>14:50</t>
        </is>
      </c>
      <c r="K714" s="10" t="inlineStr">
        <is>
          <t>On time</t>
        </is>
      </c>
      <c r="L714" s="6" t="n">
        <v>0</v>
      </c>
      <c r="M714" s="10" t="n"/>
      <c r="N714" s="6" t="n">
        <v>16</v>
      </c>
      <c r="O714" s="6" t="n">
        <v>1312</v>
      </c>
      <c r="P714" s="6" t="n">
        <v>1</v>
      </c>
      <c r="Q714" s="6">
        <f>IF(OR(K714="On time",K714="Late",K714="Very late"),1,0)</f>
        <v/>
      </c>
    </row>
    <row r="715">
      <c r="A715" s="10" t="inlineStr">
        <is>
          <t>DN318933</t>
        </is>
      </c>
      <c r="B715" s="10" t="inlineStr">
        <is>
          <t>SO62753</t>
        </is>
      </c>
      <c r="C715" s="10" t="inlineStr">
        <is>
          <t>C10343</t>
        </is>
      </c>
      <c r="D715" s="10">
        <f>INDEX(Customers!$B:$B,MATCH(C715,Customers!$A:$A,0))</f>
        <v/>
      </c>
      <c r="E715" s="10">
        <f>INDEX(Customers!$D:$D,MATCH(C715,Customers!$A:$A,0))</f>
        <v/>
      </c>
      <c r="F715" s="10" t="inlineStr">
        <is>
          <t>Own trucks</t>
        </is>
      </c>
      <c r="G715" s="5" t="n">
        <v>46260</v>
      </c>
      <c r="H715" s="5" t="n">
        <v>46261</v>
      </c>
      <c r="I715" s="5" t="n">
        <v>46261</v>
      </c>
      <c r="J715" s="10" t="inlineStr">
        <is>
          <t>10:50</t>
        </is>
      </c>
      <c r="K715" s="10" t="inlineStr">
        <is>
          <t>On time</t>
        </is>
      </c>
      <c r="L715" s="6" t="n">
        <v>0</v>
      </c>
      <c r="M715" s="10" t="n"/>
      <c r="N715" s="6" t="n">
        <v>10</v>
      </c>
      <c r="O715" s="6" t="n">
        <v>1020</v>
      </c>
      <c r="P715" s="6" t="n">
        <v>1</v>
      </c>
      <c r="Q715" s="6">
        <f>IF(OR(K715="On time",K715="Late",K715="Very late"),1,0)</f>
        <v/>
      </c>
    </row>
    <row r="716">
      <c r="A716" s="10" t="inlineStr">
        <is>
          <t>DN318934</t>
        </is>
      </c>
      <c r="B716" s="10" t="inlineStr">
        <is>
          <t>SO62754</t>
        </is>
      </c>
      <c r="C716" s="10" t="inlineStr">
        <is>
          <t>C10413</t>
        </is>
      </c>
      <c r="D716" s="10">
        <f>INDEX(Customers!$B:$B,MATCH(C716,Customers!$A:$A,0))</f>
        <v/>
      </c>
      <c r="E716" s="10">
        <f>INDEX(Customers!$D:$D,MATCH(C716,Customers!$A:$A,0))</f>
        <v/>
      </c>
      <c r="F716" s="10" t="inlineStr">
        <is>
          <t>Own trucks</t>
        </is>
      </c>
      <c r="G716" s="5" t="n">
        <v>46260</v>
      </c>
      <c r="H716" s="5" t="n">
        <v>46261</v>
      </c>
      <c r="I716" s="5" t="n">
        <v>46261</v>
      </c>
      <c r="J716" s="10" t="inlineStr">
        <is>
          <t>16:30</t>
        </is>
      </c>
      <c r="K716" s="10" t="inlineStr">
        <is>
          <t>On time</t>
        </is>
      </c>
      <c r="L716" s="6" t="n">
        <v>0</v>
      </c>
      <c r="M716" s="10" t="n"/>
      <c r="N716" s="6" t="n">
        <v>31</v>
      </c>
      <c r="O716" s="6" t="n">
        <v>2542</v>
      </c>
      <c r="P716" s="6" t="n">
        <v>1</v>
      </c>
      <c r="Q716" s="6">
        <f>IF(OR(K716="On time",K716="Late",K716="Very late"),1,0)</f>
        <v/>
      </c>
    </row>
    <row r="717">
      <c r="A717" s="10" t="inlineStr">
        <is>
          <t>DN318935</t>
        </is>
      </c>
      <c r="B717" s="10" t="inlineStr">
        <is>
          <t>SO62755</t>
        </is>
      </c>
      <c r="C717" s="10" t="inlineStr">
        <is>
          <t>C10515</t>
        </is>
      </c>
      <c r="D717" s="10">
        <f>INDEX(Customers!$B:$B,MATCH(C717,Customers!$A:$A,0))</f>
        <v/>
      </c>
      <c r="E717" s="10">
        <f>INDEX(Customers!$D:$D,MATCH(C717,Customers!$A:$A,0))</f>
        <v/>
      </c>
      <c r="F717" s="10" t="inlineStr">
        <is>
          <t>Same-day courier</t>
        </is>
      </c>
      <c r="G717" s="5" t="n">
        <v>46260</v>
      </c>
      <c r="H717" s="5" t="n">
        <v>46261</v>
      </c>
      <c r="I717" s="5" t="n">
        <v>46261</v>
      </c>
      <c r="J717" s="10" t="inlineStr">
        <is>
          <t>14:30</t>
        </is>
      </c>
      <c r="K717" s="10" t="inlineStr">
        <is>
          <t>On time</t>
        </is>
      </c>
      <c r="L717" s="6" t="n">
        <v>0</v>
      </c>
      <c r="M717" s="10" t="n"/>
      <c r="N717" s="6" t="n">
        <v>31</v>
      </c>
      <c r="O717" s="6" t="n">
        <v>3162</v>
      </c>
      <c r="P717" s="6" t="n">
        <v>1</v>
      </c>
      <c r="Q717" s="6">
        <f>IF(OR(K717="On time",K717="Late",K717="Very late"),1,0)</f>
        <v/>
      </c>
    </row>
    <row r="718">
      <c r="A718" s="10" t="inlineStr">
        <is>
          <t>DN318936</t>
        </is>
      </c>
      <c r="B718" s="10" t="inlineStr">
        <is>
          <t>SO62756</t>
        </is>
      </c>
      <c r="C718" s="10" t="inlineStr">
        <is>
          <t>C10522</t>
        </is>
      </c>
      <c r="D718" s="10">
        <f>INDEX(Customers!$B:$B,MATCH(C718,Customers!$A:$A,0))</f>
        <v/>
      </c>
      <c r="E718" s="10">
        <f>INDEX(Customers!$D:$D,MATCH(C718,Customers!$A:$A,0))</f>
        <v/>
      </c>
      <c r="F718" s="10" t="inlineStr">
        <is>
          <t>Own trucks</t>
        </is>
      </c>
      <c r="G718" s="5" t="n">
        <v>46260</v>
      </c>
      <c r="H718" s="5" t="n">
        <v>46261</v>
      </c>
      <c r="I718" s="5" t="n">
        <v>46261</v>
      </c>
      <c r="J718" s="10" t="inlineStr">
        <is>
          <t>09:00</t>
        </is>
      </c>
      <c r="K718" s="10" t="inlineStr">
        <is>
          <t>On time</t>
        </is>
      </c>
      <c r="L718" s="6" t="n">
        <v>0</v>
      </c>
      <c r="M718" s="10" t="n"/>
      <c r="N718" s="6" t="n">
        <v>10</v>
      </c>
      <c r="O718" s="6" t="n">
        <v>1030</v>
      </c>
      <c r="P718" s="6" t="n">
        <v>1</v>
      </c>
      <c r="Q718" s="6">
        <f>IF(OR(K718="On time",K718="Late",K718="Very late"),1,0)</f>
        <v/>
      </c>
    </row>
    <row r="719">
      <c r="A719" s="10" t="inlineStr">
        <is>
          <t>DN318937</t>
        </is>
      </c>
      <c r="B719" s="10" t="inlineStr">
        <is>
          <t>SO62757</t>
        </is>
      </c>
      <c r="C719" s="10" t="inlineStr">
        <is>
          <t>C10536</t>
        </is>
      </c>
      <c r="D719" s="10">
        <f>INDEX(Customers!$B:$B,MATCH(C719,Customers!$A:$A,0))</f>
        <v/>
      </c>
      <c r="E719" s="10">
        <f>INDEX(Customers!$D:$D,MATCH(C719,Customers!$A:$A,0))</f>
        <v/>
      </c>
      <c r="F719" s="10" t="inlineStr">
        <is>
          <t>Own trucks</t>
        </is>
      </c>
      <c r="G719" s="5" t="n">
        <v>46260</v>
      </c>
      <c r="H719" s="5" t="n">
        <v>46261</v>
      </c>
      <c r="I719" s="5" t="n">
        <v>46261</v>
      </c>
      <c r="J719" s="10" t="inlineStr">
        <is>
          <t>13:10</t>
        </is>
      </c>
      <c r="K719" s="10" t="inlineStr">
        <is>
          <t>On time</t>
        </is>
      </c>
      <c r="L719" s="6" t="n">
        <v>0</v>
      </c>
      <c r="M719" s="10" t="n"/>
      <c r="N719" s="6" t="n">
        <v>35</v>
      </c>
      <c r="O719" s="6" t="n">
        <v>3325</v>
      </c>
      <c r="P719" s="6" t="n">
        <v>1</v>
      </c>
      <c r="Q719" s="6">
        <f>IF(OR(K719="On time",K719="Late",K719="Very late"),1,0)</f>
        <v/>
      </c>
    </row>
    <row r="720">
      <c r="A720" s="10" t="inlineStr">
        <is>
          <t>DN318938</t>
        </is>
      </c>
      <c r="B720" s="10" t="inlineStr">
        <is>
          <t>SO62758</t>
        </is>
      </c>
      <c r="C720" s="10" t="inlineStr">
        <is>
          <t>C10551</t>
        </is>
      </c>
      <c r="D720" s="10">
        <f>INDEX(Customers!$B:$B,MATCH(C720,Customers!$A:$A,0))</f>
        <v/>
      </c>
      <c r="E720" s="10">
        <f>INDEX(Customers!$D:$D,MATCH(C720,Customers!$A:$A,0))</f>
        <v/>
      </c>
      <c r="F720" s="10" t="inlineStr">
        <is>
          <t>Own trucks</t>
        </is>
      </c>
      <c r="G720" s="5" t="n">
        <v>46260</v>
      </c>
      <c r="H720" s="5" t="n">
        <v>46261</v>
      </c>
      <c r="I720" s="5" t="n">
        <v>46261</v>
      </c>
      <c r="J720" s="10" t="inlineStr">
        <is>
          <t>08:20</t>
        </is>
      </c>
      <c r="K720" s="10" t="inlineStr">
        <is>
          <t>On time</t>
        </is>
      </c>
      <c r="L720" s="6" t="n">
        <v>0</v>
      </c>
      <c r="M720" s="10" t="n"/>
      <c r="N720" s="6" t="n">
        <v>38</v>
      </c>
      <c r="O720" s="6" t="n">
        <v>3800</v>
      </c>
      <c r="P720" s="6" t="n">
        <v>1</v>
      </c>
      <c r="Q720" s="6">
        <f>IF(OR(K720="On time",K720="Late",K720="Very late"),1,0)</f>
        <v/>
      </c>
    </row>
    <row r="721">
      <c r="A721" s="10" t="inlineStr">
        <is>
          <t>DN318939</t>
        </is>
      </c>
      <c r="B721" s="10" t="inlineStr">
        <is>
          <t>SO62759</t>
        </is>
      </c>
      <c r="C721" s="10" t="inlineStr">
        <is>
          <t>C10589</t>
        </is>
      </c>
      <c r="D721" s="10">
        <f>INDEX(Customers!$B:$B,MATCH(C721,Customers!$A:$A,0))</f>
        <v/>
      </c>
      <c r="E721" s="10">
        <f>INDEX(Customers!$D:$D,MATCH(C721,Customers!$A:$A,0))</f>
        <v/>
      </c>
      <c r="F721" s="10" t="inlineStr">
        <is>
          <t>Own trucks</t>
        </is>
      </c>
      <c r="G721" s="5" t="n">
        <v>46260</v>
      </c>
      <c r="H721" s="5" t="n">
        <v>46261</v>
      </c>
      <c r="I721" s="5" t="n">
        <v>46261</v>
      </c>
      <c r="J721" s="10" t="inlineStr">
        <is>
          <t>16:30</t>
        </is>
      </c>
      <c r="K721" s="10" t="inlineStr">
        <is>
          <t>On time</t>
        </is>
      </c>
      <c r="L721" s="6" t="n">
        <v>0</v>
      </c>
      <c r="M721" s="10" t="n"/>
      <c r="N721" s="6" t="n">
        <v>10</v>
      </c>
      <c r="O721" s="6" t="n">
        <v>1200</v>
      </c>
      <c r="P721" s="6" t="n">
        <v>1</v>
      </c>
      <c r="Q721" s="6">
        <f>IF(OR(K721="On time",K721="Late",K721="Very late"),1,0)</f>
        <v/>
      </c>
    </row>
    <row r="722">
      <c r="A722" s="10" t="inlineStr">
        <is>
          <t>DN318940</t>
        </is>
      </c>
      <c r="B722" s="10" t="inlineStr">
        <is>
          <t>SO62760</t>
        </is>
      </c>
      <c r="C722" s="10" t="inlineStr">
        <is>
          <t>C10676</t>
        </is>
      </c>
      <c r="D722" s="10">
        <f>INDEX(Customers!$B:$B,MATCH(C722,Customers!$A:$A,0))</f>
        <v/>
      </c>
      <c r="E722" s="10">
        <f>INDEX(Customers!$D:$D,MATCH(C722,Customers!$A:$A,0))</f>
        <v/>
      </c>
      <c r="F722" s="10" t="inlineStr">
        <is>
          <t>Own trucks</t>
        </is>
      </c>
      <c r="G722" s="5" t="n">
        <v>46260</v>
      </c>
      <c r="H722" s="5" t="n">
        <v>46261</v>
      </c>
      <c r="I722" s="5" t="n">
        <v>46261</v>
      </c>
      <c r="J722" s="10" t="inlineStr">
        <is>
          <t>13:00</t>
        </is>
      </c>
      <c r="K722" s="10" t="inlineStr">
        <is>
          <t>On time</t>
        </is>
      </c>
      <c r="L722" s="6" t="n">
        <v>0</v>
      </c>
      <c r="M722" s="10" t="n"/>
      <c r="N722" s="6" t="n">
        <v>11</v>
      </c>
      <c r="O722" s="6" t="n">
        <v>946</v>
      </c>
      <c r="P722" s="6" t="n">
        <v>1</v>
      </c>
      <c r="Q722" s="6">
        <f>IF(OR(K722="On time",K722="Late",K722="Very late"),1,0)</f>
        <v/>
      </c>
    </row>
    <row r="723">
      <c r="A723" s="10" t="inlineStr">
        <is>
          <t>DN318941</t>
        </is>
      </c>
      <c r="B723" s="10" t="inlineStr">
        <is>
          <t>SO62761</t>
        </is>
      </c>
      <c r="C723" s="10" t="inlineStr">
        <is>
          <t>C10746</t>
        </is>
      </c>
      <c r="D723" s="10">
        <f>INDEX(Customers!$B:$B,MATCH(C723,Customers!$A:$A,0))</f>
        <v/>
      </c>
      <c r="E723" s="10">
        <f>INDEX(Customers!$D:$D,MATCH(C723,Customers!$A:$A,0))</f>
        <v/>
      </c>
      <c r="F723" s="10" t="inlineStr">
        <is>
          <t>Own trucks</t>
        </is>
      </c>
      <c r="G723" s="5" t="n">
        <v>46260</v>
      </c>
      <c r="H723" s="5" t="n">
        <v>46261</v>
      </c>
      <c r="I723" s="5" t="n">
        <v>46261</v>
      </c>
      <c r="J723" s="10" t="inlineStr">
        <is>
          <t>12:00</t>
        </is>
      </c>
      <c r="K723" s="10" t="inlineStr">
        <is>
          <t>On time</t>
        </is>
      </c>
      <c r="L723" s="6" t="n">
        <v>0</v>
      </c>
      <c r="M723" s="10" t="n"/>
      <c r="N723" s="6" t="n">
        <v>17</v>
      </c>
      <c r="O723" s="6" t="n">
        <v>1224</v>
      </c>
      <c r="P723" s="6" t="n">
        <v>1</v>
      </c>
      <c r="Q723" s="6">
        <f>IF(OR(K723="On time",K723="Late",K723="Very late"),1,0)</f>
        <v/>
      </c>
    </row>
    <row r="724">
      <c r="A724" s="10" t="inlineStr">
        <is>
          <t>DN318942</t>
        </is>
      </c>
      <c r="B724" s="10" t="inlineStr">
        <is>
          <t>SO62762</t>
        </is>
      </c>
      <c r="C724" s="10" t="inlineStr">
        <is>
          <t>C10796</t>
        </is>
      </c>
      <c r="D724" s="10">
        <f>INDEX(Customers!$B:$B,MATCH(C724,Customers!$A:$A,0))</f>
        <v/>
      </c>
      <c r="E724" s="10">
        <f>INDEX(Customers!$D:$D,MATCH(C724,Customers!$A:$A,0))</f>
        <v/>
      </c>
      <c r="F724" s="10" t="inlineStr">
        <is>
          <t>Own trucks</t>
        </is>
      </c>
      <c r="G724" s="5" t="n">
        <v>46260</v>
      </c>
      <c r="H724" s="5" t="n">
        <v>46261</v>
      </c>
      <c r="I724" s="5" t="n">
        <v>46261</v>
      </c>
      <c r="J724" s="10" t="inlineStr">
        <is>
          <t>10:30</t>
        </is>
      </c>
      <c r="K724" s="10" t="inlineStr">
        <is>
          <t>On time</t>
        </is>
      </c>
      <c r="L724" s="6" t="n">
        <v>0</v>
      </c>
      <c r="M724" s="10" t="n"/>
      <c r="N724" s="6" t="n">
        <v>7</v>
      </c>
      <c r="O724" s="6" t="n">
        <v>595</v>
      </c>
      <c r="P724" s="6" t="n">
        <v>1</v>
      </c>
      <c r="Q724" s="6">
        <f>IF(OR(K724="On time",K724="Late",K724="Very late"),1,0)</f>
        <v/>
      </c>
    </row>
    <row r="725">
      <c r="A725" s="10" t="inlineStr">
        <is>
          <t>DN318943</t>
        </is>
      </c>
      <c r="B725" s="10" t="inlineStr">
        <is>
          <t>SO62763</t>
        </is>
      </c>
      <c r="C725" s="10" t="inlineStr">
        <is>
          <t>C10847</t>
        </is>
      </c>
      <c r="D725" s="10">
        <f>INDEX(Customers!$B:$B,MATCH(C725,Customers!$A:$A,0))</f>
        <v/>
      </c>
      <c r="E725" s="10">
        <f>INDEX(Customers!$D:$D,MATCH(C725,Customers!$A:$A,0))</f>
        <v/>
      </c>
      <c r="F725" s="10" t="inlineStr">
        <is>
          <t>Own trucks</t>
        </is>
      </c>
      <c r="G725" s="5" t="n">
        <v>46260</v>
      </c>
      <c r="H725" s="5" t="n">
        <v>46261</v>
      </c>
      <c r="I725" s="5" t="n">
        <v>46261</v>
      </c>
      <c r="J725" s="10" t="inlineStr">
        <is>
          <t>15:50</t>
        </is>
      </c>
      <c r="K725" s="10" t="inlineStr">
        <is>
          <t>On time</t>
        </is>
      </c>
      <c r="L725" s="6" t="n">
        <v>0</v>
      </c>
      <c r="M725" s="10" t="n"/>
      <c r="N725" s="6" t="n">
        <v>39</v>
      </c>
      <c r="O725" s="6" t="n">
        <v>2652</v>
      </c>
      <c r="P725" s="6" t="n">
        <v>1</v>
      </c>
      <c r="Q725" s="6">
        <f>IF(OR(K725="On time",K725="Late",K725="Very late"),1,0)</f>
        <v/>
      </c>
    </row>
    <row r="726">
      <c r="A726" s="10" t="inlineStr">
        <is>
          <t>DN318944</t>
        </is>
      </c>
      <c r="B726" s="10" t="inlineStr">
        <is>
          <t>SO62764</t>
        </is>
      </c>
      <c r="C726" s="10" t="inlineStr">
        <is>
          <t>C10915</t>
        </is>
      </c>
      <c r="D726" s="10">
        <f>INDEX(Customers!$B:$B,MATCH(C726,Customers!$A:$A,0))</f>
        <v/>
      </c>
      <c r="E726" s="10">
        <f>INDEX(Customers!$D:$D,MATCH(C726,Customers!$A:$A,0))</f>
        <v/>
      </c>
      <c r="F726" s="10" t="inlineStr">
        <is>
          <t>Own trucks</t>
        </is>
      </c>
      <c r="G726" s="5" t="n">
        <v>46260</v>
      </c>
      <c r="H726" s="5" t="n">
        <v>46261</v>
      </c>
      <c r="I726" s="5" t="n">
        <v>46261</v>
      </c>
      <c r="J726" s="10" t="inlineStr">
        <is>
          <t>12:10</t>
        </is>
      </c>
      <c r="K726" s="10" t="inlineStr">
        <is>
          <t>On time</t>
        </is>
      </c>
      <c r="L726" s="6" t="n">
        <v>0</v>
      </c>
      <c r="M726" s="10" t="n"/>
      <c r="N726" s="6" t="n">
        <v>4</v>
      </c>
      <c r="O726" s="6" t="n">
        <v>540</v>
      </c>
      <c r="P726" s="6" t="n">
        <v>1</v>
      </c>
      <c r="Q726" s="6">
        <f>IF(OR(K726="On time",K726="Late",K726="Very late"),1,0)</f>
        <v/>
      </c>
    </row>
    <row r="727">
      <c r="A727" s="10" t="inlineStr">
        <is>
          <t>DN318945</t>
        </is>
      </c>
      <c r="B727" s="10" t="inlineStr">
        <is>
          <t>SO62765</t>
        </is>
      </c>
      <c r="C727" s="10" t="inlineStr">
        <is>
          <t>C10982</t>
        </is>
      </c>
      <c r="D727" s="10">
        <f>INDEX(Customers!$B:$B,MATCH(C727,Customers!$A:$A,0))</f>
        <v/>
      </c>
      <c r="E727" s="10">
        <f>INDEX(Customers!$D:$D,MATCH(C727,Customers!$A:$A,0))</f>
        <v/>
      </c>
      <c r="F727" s="10" t="inlineStr">
        <is>
          <t>Own trucks</t>
        </is>
      </c>
      <c r="G727" s="5" t="n">
        <v>46260</v>
      </c>
      <c r="H727" s="5" t="n">
        <v>46261</v>
      </c>
      <c r="I727" s="5" t="n">
        <v>46261</v>
      </c>
      <c r="J727" s="10" t="inlineStr">
        <is>
          <t>14:00</t>
        </is>
      </c>
      <c r="K727" s="10" t="inlineStr">
        <is>
          <t>On time</t>
        </is>
      </c>
      <c r="L727" s="6" t="n">
        <v>0</v>
      </c>
      <c r="M727" s="10" t="n"/>
      <c r="N727" s="6" t="n">
        <v>6</v>
      </c>
      <c r="O727" s="6" t="n">
        <v>540</v>
      </c>
      <c r="P727" s="6" t="n">
        <v>1</v>
      </c>
      <c r="Q727" s="6">
        <f>IF(OR(K727="On time",K727="Late",K727="Very late"),1,0)</f>
        <v/>
      </c>
    </row>
    <row r="728">
      <c r="A728" s="10" t="inlineStr">
        <is>
          <t>DN318946</t>
        </is>
      </c>
      <c r="B728" s="10" t="inlineStr">
        <is>
          <t>SO62766</t>
        </is>
      </c>
      <c r="C728" s="10" t="inlineStr">
        <is>
          <t>C11049</t>
        </is>
      </c>
      <c r="D728" s="10">
        <f>INDEX(Customers!$B:$B,MATCH(C728,Customers!$A:$A,0))</f>
        <v/>
      </c>
      <c r="E728" s="10">
        <f>INDEX(Customers!$D:$D,MATCH(C728,Customers!$A:$A,0))</f>
        <v/>
      </c>
      <c r="F728" s="10" t="inlineStr">
        <is>
          <t>Own trucks</t>
        </is>
      </c>
      <c r="G728" s="5" t="n">
        <v>46260</v>
      </c>
      <c r="H728" s="5" t="n">
        <v>46261</v>
      </c>
      <c r="I728" s="5" t="n">
        <v>46261</v>
      </c>
      <c r="J728" s="10" t="inlineStr">
        <is>
          <t>08:00</t>
        </is>
      </c>
      <c r="K728" s="10" t="inlineStr">
        <is>
          <t>On time</t>
        </is>
      </c>
      <c r="L728" s="6" t="n">
        <v>0</v>
      </c>
      <c r="M728" s="10" t="n"/>
      <c r="N728" s="6" t="n">
        <v>35</v>
      </c>
      <c r="O728" s="6" t="n">
        <v>2940</v>
      </c>
      <c r="P728" s="6" t="n">
        <v>1</v>
      </c>
      <c r="Q728" s="6">
        <f>IF(OR(K728="On time",K728="Late",K728="Very late"),1,0)</f>
        <v/>
      </c>
    </row>
    <row r="729">
      <c r="A729" s="10" t="inlineStr">
        <is>
          <t>DN318947</t>
        </is>
      </c>
      <c r="B729" s="10" t="inlineStr">
        <is>
          <t>SO62768</t>
        </is>
      </c>
      <c r="C729" s="10" t="inlineStr">
        <is>
          <t>C11107</t>
        </is>
      </c>
      <c r="D729" s="10">
        <f>INDEX(Customers!$B:$B,MATCH(C729,Customers!$A:$A,0))</f>
        <v/>
      </c>
      <c r="E729" s="10">
        <f>INDEX(Customers!$D:$D,MATCH(C729,Customers!$A:$A,0))</f>
        <v/>
      </c>
      <c r="F729" s="10" t="inlineStr">
        <is>
          <t>Own trucks</t>
        </is>
      </c>
      <c r="G729" s="5" t="n">
        <v>46260</v>
      </c>
      <c r="H729" s="5" t="n">
        <v>46261</v>
      </c>
      <c r="I729" s="5" t="n">
        <v>46261</v>
      </c>
      <c r="J729" s="10" t="inlineStr">
        <is>
          <t>12:30</t>
        </is>
      </c>
      <c r="K729" s="10" t="inlineStr">
        <is>
          <t>On time</t>
        </is>
      </c>
      <c r="L729" s="6" t="n">
        <v>0</v>
      </c>
      <c r="M729" s="10" t="n"/>
      <c r="N729" s="6" t="n">
        <v>29</v>
      </c>
      <c r="O729" s="6" t="n">
        <v>2929</v>
      </c>
      <c r="P729" s="6" t="n">
        <v>1</v>
      </c>
      <c r="Q729" s="6">
        <f>IF(OR(K729="On time",K729="Late",K729="Very late"),1,0)</f>
        <v/>
      </c>
    </row>
    <row r="730">
      <c r="A730" s="10" t="inlineStr">
        <is>
          <t>DN318948</t>
        </is>
      </c>
      <c r="B730" s="10" t="inlineStr">
        <is>
          <t>SO62769</t>
        </is>
      </c>
      <c r="C730" s="10" t="inlineStr">
        <is>
          <t>C11143</t>
        </is>
      </c>
      <c r="D730" s="10">
        <f>INDEX(Customers!$B:$B,MATCH(C730,Customers!$A:$A,0))</f>
        <v/>
      </c>
      <c r="E730" s="10">
        <f>INDEX(Customers!$D:$D,MATCH(C730,Customers!$A:$A,0))</f>
        <v/>
      </c>
      <c r="F730" s="10" t="inlineStr">
        <is>
          <t>Own trucks</t>
        </is>
      </c>
      <c r="G730" s="5" t="n">
        <v>46260</v>
      </c>
      <c r="H730" s="5" t="n">
        <v>46261</v>
      </c>
      <c r="I730" s="5" t="n">
        <v>46261</v>
      </c>
      <c r="J730" s="10" t="inlineStr">
        <is>
          <t>07:30</t>
        </is>
      </c>
      <c r="K730" s="10" t="inlineStr">
        <is>
          <t>On time</t>
        </is>
      </c>
      <c r="L730" s="6" t="n">
        <v>0</v>
      </c>
      <c r="M730" s="10" t="n"/>
      <c r="N730" s="6" t="n">
        <v>27</v>
      </c>
      <c r="O730" s="6" t="n">
        <v>1674</v>
      </c>
      <c r="P730" s="6" t="n">
        <v>1</v>
      </c>
      <c r="Q730" s="6">
        <f>IF(OR(K730="On time",K730="Late",K730="Very late"),1,0)</f>
        <v/>
      </c>
    </row>
    <row r="731">
      <c r="A731" s="10" t="inlineStr">
        <is>
          <t>DN318949</t>
        </is>
      </c>
      <c r="B731" s="10" t="inlineStr">
        <is>
          <t>SO62770</t>
        </is>
      </c>
      <c r="C731" s="10" t="inlineStr">
        <is>
          <t>C11264</t>
        </is>
      </c>
      <c r="D731" s="10">
        <f>INDEX(Customers!$B:$B,MATCH(C731,Customers!$A:$A,0))</f>
        <v/>
      </c>
      <c r="E731" s="10">
        <f>INDEX(Customers!$D:$D,MATCH(C731,Customers!$A:$A,0))</f>
        <v/>
      </c>
      <c r="F731" s="10" t="inlineStr">
        <is>
          <t>Own trucks</t>
        </is>
      </c>
      <c r="G731" s="5" t="n">
        <v>46260</v>
      </c>
      <c r="H731" s="5" t="n">
        <v>46261</v>
      </c>
      <c r="I731" s="5" t="n">
        <v>46261</v>
      </c>
      <c r="J731" s="10" t="inlineStr">
        <is>
          <t>10:30</t>
        </is>
      </c>
      <c r="K731" s="10" t="inlineStr">
        <is>
          <t>On time</t>
        </is>
      </c>
      <c r="L731" s="6" t="n">
        <v>0</v>
      </c>
      <c r="M731" s="10" t="n"/>
      <c r="N731" s="6" t="n">
        <v>30</v>
      </c>
      <c r="O731" s="6" t="n">
        <v>2490</v>
      </c>
      <c r="P731" s="6" t="n">
        <v>1</v>
      </c>
      <c r="Q731" s="6">
        <f>IF(OR(K731="On time",K731="Late",K731="Very late"),1,0)</f>
        <v/>
      </c>
    </row>
    <row r="732">
      <c r="A732" s="10" t="inlineStr">
        <is>
          <t>DN318950</t>
        </is>
      </c>
      <c r="B732" s="10" t="inlineStr">
        <is>
          <t>SO62771</t>
        </is>
      </c>
      <c r="C732" s="10" t="inlineStr">
        <is>
          <t>C11314</t>
        </is>
      </c>
      <c r="D732" s="10">
        <f>INDEX(Customers!$B:$B,MATCH(C732,Customers!$A:$A,0))</f>
        <v/>
      </c>
      <c r="E732" s="10">
        <f>INDEX(Customers!$D:$D,MATCH(C732,Customers!$A:$A,0))</f>
        <v/>
      </c>
      <c r="F732" s="10" t="inlineStr">
        <is>
          <t>Own trucks</t>
        </is>
      </c>
      <c r="G732" s="5" t="n">
        <v>46260</v>
      </c>
      <c r="H732" s="5" t="n">
        <v>46261</v>
      </c>
      <c r="I732" s="5" t="n">
        <v>46261</v>
      </c>
      <c r="J732" s="10" t="inlineStr">
        <is>
          <t>11:40</t>
        </is>
      </c>
      <c r="K732" s="10" t="inlineStr">
        <is>
          <t>On time</t>
        </is>
      </c>
      <c r="L732" s="6" t="n">
        <v>0</v>
      </c>
      <c r="M732" s="10" t="n"/>
      <c r="N732" s="6" t="n">
        <v>31</v>
      </c>
      <c r="O732" s="6" t="n">
        <v>2697</v>
      </c>
      <c r="P732" s="6" t="n">
        <v>1</v>
      </c>
      <c r="Q732" s="6">
        <f>IF(OR(K732="On time",K732="Late",K732="Very late"),1,0)</f>
        <v/>
      </c>
    </row>
    <row r="733">
      <c r="A733" s="10" t="inlineStr">
        <is>
          <t>DN318951</t>
        </is>
      </c>
      <c r="B733" s="10" t="inlineStr">
        <is>
          <t>SO62772</t>
        </is>
      </c>
      <c r="C733" s="10" t="inlineStr">
        <is>
          <t>C11400</t>
        </is>
      </c>
      <c r="D733" s="10">
        <f>INDEX(Customers!$B:$B,MATCH(C733,Customers!$A:$A,0))</f>
        <v/>
      </c>
      <c r="E733" s="10">
        <f>INDEX(Customers!$D:$D,MATCH(C733,Customers!$A:$A,0))</f>
        <v/>
      </c>
      <c r="F733" s="10" t="inlineStr">
        <is>
          <t>Own trucks</t>
        </is>
      </c>
      <c r="G733" s="5" t="n">
        <v>46260</v>
      </c>
      <c r="H733" s="5" t="n">
        <v>46261</v>
      </c>
      <c r="I733" s="5" t="n">
        <v>46261</v>
      </c>
      <c r="J733" s="10" t="inlineStr">
        <is>
          <t>15:20</t>
        </is>
      </c>
      <c r="K733" s="10" t="inlineStr">
        <is>
          <t>On time</t>
        </is>
      </c>
      <c r="L733" s="6" t="n">
        <v>0</v>
      </c>
      <c r="M733" s="10" t="n"/>
      <c r="N733" s="6" t="n">
        <v>17</v>
      </c>
      <c r="O733" s="6" t="n">
        <v>2057</v>
      </c>
      <c r="P733" s="6" t="n">
        <v>1</v>
      </c>
      <c r="Q733" s="6">
        <f>IF(OR(K733="On time",K733="Late",K733="Very late"),1,0)</f>
        <v/>
      </c>
    </row>
    <row r="734">
      <c r="A734" s="10" t="inlineStr">
        <is>
          <t>DN318952</t>
        </is>
      </c>
      <c r="B734" s="10" t="inlineStr">
        <is>
          <t>SO62774</t>
        </is>
      </c>
      <c r="C734" s="10" t="inlineStr">
        <is>
          <t>C11463</t>
        </is>
      </c>
      <c r="D734" s="10">
        <f>INDEX(Customers!$B:$B,MATCH(C734,Customers!$A:$A,0))</f>
        <v/>
      </c>
      <c r="E734" s="10">
        <f>INDEX(Customers!$D:$D,MATCH(C734,Customers!$A:$A,0))</f>
        <v/>
      </c>
      <c r="F734" s="10" t="inlineStr">
        <is>
          <t>Own trucks</t>
        </is>
      </c>
      <c r="G734" s="5" t="n">
        <v>46260</v>
      </c>
      <c r="H734" s="5" t="n">
        <v>46261</v>
      </c>
      <c r="I734" s="5" t="n">
        <v>46261</v>
      </c>
      <c r="J734" s="10" t="inlineStr">
        <is>
          <t>12:00</t>
        </is>
      </c>
      <c r="K734" s="10" t="inlineStr">
        <is>
          <t>On time</t>
        </is>
      </c>
      <c r="L734" s="6" t="n">
        <v>0</v>
      </c>
      <c r="M734" s="10" t="n"/>
      <c r="N734" s="6" t="n">
        <v>14</v>
      </c>
      <c r="O734" s="6" t="n">
        <v>1694</v>
      </c>
      <c r="P734" s="6" t="n">
        <v>1</v>
      </c>
      <c r="Q734" s="6">
        <f>IF(OR(K734="On time",K734="Late",K734="Very late"),1,0)</f>
        <v/>
      </c>
    </row>
    <row r="735">
      <c r="A735" s="10" t="inlineStr">
        <is>
          <t>DN318953</t>
        </is>
      </c>
      <c r="B735" s="10" t="inlineStr">
        <is>
          <t>SO62775</t>
        </is>
      </c>
      <c r="C735" s="10" t="inlineStr">
        <is>
          <t>C11579</t>
        </is>
      </c>
      <c r="D735" s="10">
        <f>INDEX(Customers!$B:$B,MATCH(C735,Customers!$A:$A,0))</f>
        <v/>
      </c>
      <c r="E735" s="10">
        <f>INDEX(Customers!$D:$D,MATCH(C735,Customers!$A:$A,0))</f>
        <v/>
      </c>
      <c r="F735" s="10" t="inlineStr">
        <is>
          <t>Own trucks</t>
        </is>
      </c>
      <c r="G735" s="5" t="n">
        <v>46260</v>
      </c>
      <c r="H735" s="5" t="n">
        <v>46261</v>
      </c>
      <c r="I735" s="5" t="n">
        <v>46261</v>
      </c>
      <c r="J735" s="10" t="inlineStr">
        <is>
          <t>08:10</t>
        </is>
      </c>
      <c r="K735" s="10" t="inlineStr">
        <is>
          <t>On time</t>
        </is>
      </c>
      <c r="L735" s="6" t="n">
        <v>0</v>
      </c>
      <c r="M735" s="10" t="n"/>
      <c r="N735" s="6" t="n">
        <v>10</v>
      </c>
      <c r="O735" s="6" t="n">
        <v>1250</v>
      </c>
      <c r="P735" s="6" t="n">
        <v>1</v>
      </c>
      <c r="Q735" s="6">
        <f>IF(OR(K735="On time",K735="Late",K735="Very late"),1,0)</f>
        <v/>
      </c>
    </row>
    <row r="736">
      <c r="A736" s="10" t="inlineStr">
        <is>
          <t>DN318954</t>
        </is>
      </c>
      <c r="B736" s="10" t="inlineStr">
        <is>
          <t>SO62776</t>
        </is>
      </c>
      <c r="C736" s="10" t="inlineStr">
        <is>
          <t>C11616</t>
        </is>
      </c>
      <c r="D736" s="10">
        <f>INDEX(Customers!$B:$B,MATCH(C736,Customers!$A:$A,0))</f>
        <v/>
      </c>
      <c r="E736" s="10">
        <f>INDEX(Customers!$D:$D,MATCH(C736,Customers!$A:$A,0))</f>
        <v/>
      </c>
      <c r="F736" s="10" t="inlineStr">
        <is>
          <t>Own trucks</t>
        </is>
      </c>
      <c r="G736" s="5" t="n">
        <v>46260</v>
      </c>
      <c r="H736" s="5" t="n">
        <v>46261</v>
      </c>
      <c r="I736" s="5" t="n">
        <v>46262</v>
      </c>
      <c r="J736" s="10" t="inlineStr">
        <is>
          <t>09:00</t>
        </is>
      </c>
      <c r="K736" s="10" t="inlineStr">
        <is>
          <t>Late</t>
        </is>
      </c>
      <c r="L736" s="6" t="n">
        <v>1</v>
      </c>
      <c r="M736" s="10" t="inlineStr">
        <is>
          <t>Customer closed (failed attempt)</t>
        </is>
      </c>
      <c r="N736" s="6" t="n">
        <v>39</v>
      </c>
      <c r="O736" s="6" t="n">
        <v>4212</v>
      </c>
      <c r="P736" s="6" t="n">
        <v>1</v>
      </c>
      <c r="Q736" s="6">
        <f>IF(OR(K736="On time",K736="Late",K736="Very late"),1,0)</f>
        <v/>
      </c>
    </row>
    <row r="737">
      <c r="A737" s="10" t="inlineStr">
        <is>
          <t>DN318955</t>
        </is>
      </c>
      <c r="B737" s="10" t="inlineStr">
        <is>
          <t>SO62777</t>
        </is>
      </c>
      <c r="C737" s="10" t="inlineStr">
        <is>
          <t>C11666</t>
        </is>
      </c>
      <c r="D737" s="10">
        <f>INDEX(Customers!$B:$B,MATCH(C737,Customers!$A:$A,0))</f>
        <v/>
      </c>
      <c r="E737" s="10">
        <f>INDEX(Customers!$D:$D,MATCH(C737,Customers!$A:$A,0))</f>
        <v/>
      </c>
      <c r="F737" s="10" t="inlineStr">
        <is>
          <t>Own trucks</t>
        </is>
      </c>
      <c r="G737" s="5" t="n">
        <v>46260</v>
      </c>
      <c r="H737" s="5" t="n">
        <v>46261</v>
      </c>
      <c r="I737" s="5" t="n">
        <v>46261</v>
      </c>
      <c r="J737" s="10" t="inlineStr">
        <is>
          <t>11:00</t>
        </is>
      </c>
      <c r="K737" s="10" t="inlineStr">
        <is>
          <t>On time</t>
        </is>
      </c>
      <c r="L737" s="6" t="n">
        <v>0</v>
      </c>
      <c r="M737" s="10" t="n"/>
      <c r="N737" s="6" t="n">
        <v>18</v>
      </c>
      <c r="O737" s="6" t="n">
        <v>1962</v>
      </c>
      <c r="P737" s="6" t="n">
        <v>1</v>
      </c>
      <c r="Q737" s="6">
        <f>IF(OR(K737="On time",K737="Late",K737="Very late"),1,0)</f>
        <v/>
      </c>
    </row>
    <row r="738">
      <c r="A738" s="10" t="inlineStr">
        <is>
          <t>DN318956</t>
        </is>
      </c>
      <c r="B738" s="10" t="inlineStr">
        <is>
          <t>SO62779</t>
        </is>
      </c>
      <c r="C738" s="10" t="inlineStr">
        <is>
          <t>C11798</t>
        </is>
      </c>
      <c r="D738" s="10">
        <f>INDEX(Customers!$B:$B,MATCH(C738,Customers!$A:$A,0))</f>
        <v/>
      </c>
      <c r="E738" s="10">
        <f>INDEX(Customers!$D:$D,MATCH(C738,Customers!$A:$A,0))</f>
        <v/>
      </c>
      <c r="F738" s="10" t="inlineStr">
        <is>
          <t>Carrier A</t>
        </is>
      </c>
      <c r="G738" s="5" t="n">
        <v>46260</v>
      </c>
      <c r="H738" s="5" t="n">
        <v>46261</v>
      </c>
      <c r="I738" s="5" t="n">
        <v>46261</v>
      </c>
      <c r="J738" s="10" t="inlineStr">
        <is>
          <t>07:10</t>
        </is>
      </c>
      <c r="K738" s="10" t="inlineStr">
        <is>
          <t>On time</t>
        </is>
      </c>
      <c r="L738" s="6" t="n">
        <v>0</v>
      </c>
      <c r="M738" s="10" t="n"/>
      <c r="N738" s="6" t="n">
        <v>9</v>
      </c>
      <c r="O738" s="6" t="n">
        <v>963</v>
      </c>
      <c r="P738" s="6" t="n">
        <v>1</v>
      </c>
      <c r="Q738" s="6">
        <f>IF(OR(K738="On time",K738="Late",K738="Very late"),1,0)</f>
        <v/>
      </c>
    </row>
    <row r="739">
      <c r="A739" s="10" t="inlineStr">
        <is>
          <t>DN318957</t>
        </is>
      </c>
      <c r="B739" s="10" t="inlineStr">
        <is>
          <t>SO62780</t>
        </is>
      </c>
      <c r="C739" s="10" t="inlineStr">
        <is>
          <t>C11858</t>
        </is>
      </c>
      <c r="D739" s="10">
        <f>INDEX(Customers!$B:$B,MATCH(C739,Customers!$A:$A,0))</f>
        <v/>
      </c>
      <c r="E739" s="10">
        <f>INDEX(Customers!$D:$D,MATCH(C739,Customers!$A:$A,0))</f>
        <v/>
      </c>
      <c r="F739" s="10" t="inlineStr">
        <is>
          <t>Carrier A</t>
        </is>
      </c>
      <c r="G739" s="5" t="n">
        <v>46260</v>
      </c>
      <c r="H739" s="5" t="n">
        <v>46261</v>
      </c>
      <c r="I739" s="5" t="n">
        <v>46261</v>
      </c>
      <c r="J739" s="10" t="inlineStr">
        <is>
          <t>11:40</t>
        </is>
      </c>
      <c r="K739" s="10" t="inlineStr">
        <is>
          <t>On time</t>
        </is>
      </c>
      <c r="L739" s="6" t="n">
        <v>0</v>
      </c>
      <c r="M739" s="10" t="n"/>
      <c r="N739" s="6" t="n">
        <v>35</v>
      </c>
      <c r="O739" s="6" t="n">
        <v>3360</v>
      </c>
      <c r="P739" s="6" t="n">
        <v>1</v>
      </c>
      <c r="Q739" s="6">
        <f>IF(OR(K739="On time",K739="Late",K739="Very late"),1,0)</f>
        <v/>
      </c>
    </row>
    <row r="740">
      <c r="A740" s="10" t="inlineStr">
        <is>
          <t>DN318958</t>
        </is>
      </c>
      <c r="B740" s="10" t="inlineStr">
        <is>
          <t>SO62781</t>
        </is>
      </c>
      <c r="C740" s="10" t="inlineStr">
        <is>
          <t>C11866</t>
        </is>
      </c>
      <c r="D740" s="10">
        <f>INDEX(Customers!$B:$B,MATCH(C740,Customers!$A:$A,0))</f>
        <v/>
      </c>
      <c r="E740" s="10">
        <f>INDEX(Customers!$D:$D,MATCH(C740,Customers!$A:$A,0))</f>
        <v/>
      </c>
      <c r="F740" s="10" t="inlineStr">
        <is>
          <t>Carrier A</t>
        </is>
      </c>
      <c r="G740" s="5" t="n">
        <v>46260</v>
      </c>
      <c r="H740" s="5" t="n">
        <v>46261</v>
      </c>
      <c r="I740" s="5" t="n">
        <v>46261</v>
      </c>
      <c r="J740" s="10" t="inlineStr">
        <is>
          <t>07:30</t>
        </is>
      </c>
      <c r="K740" s="10" t="inlineStr">
        <is>
          <t>On time</t>
        </is>
      </c>
      <c r="L740" s="6" t="n">
        <v>0</v>
      </c>
      <c r="M740" s="10" t="n"/>
      <c r="N740" s="6" t="n">
        <v>34</v>
      </c>
      <c r="O740" s="6" t="n">
        <v>2346</v>
      </c>
      <c r="P740" s="6" t="n">
        <v>1</v>
      </c>
      <c r="Q740" s="6">
        <f>IF(OR(K740="On time",K740="Late",K740="Very late"),1,0)</f>
        <v/>
      </c>
    </row>
    <row r="741">
      <c r="A741" s="10" t="inlineStr">
        <is>
          <t>DN318959</t>
        </is>
      </c>
      <c r="B741" s="10" t="inlineStr">
        <is>
          <t>SO62783</t>
        </is>
      </c>
      <c r="C741" s="10" t="inlineStr">
        <is>
          <t>C11971</t>
        </is>
      </c>
      <c r="D741" s="10">
        <f>INDEX(Customers!$B:$B,MATCH(C741,Customers!$A:$A,0))</f>
        <v/>
      </c>
      <c r="E741" s="10">
        <f>INDEX(Customers!$D:$D,MATCH(C741,Customers!$A:$A,0))</f>
        <v/>
      </c>
      <c r="F741" s="10" t="inlineStr">
        <is>
          <t>Own trucks</t>
        </is>
      </c>
      <c r="G741" s="5" t="n">
        <v>46260</v>
      </c>
      <c r="H741" s="5" t="n">
        <v>46261</v>
      </c>
      <c r="I741" s="5" t="n">
        <v>46261</v>
      </c>
      <c r="J741" s="10" t="inlineStr">
        <is>
          <t>07:20</t>
        </is>
      </c>
      <c r="K741" s="10" t="inlineStr">
        <is>
          <t>On time</t>
        </is>
      </c>
      <c r="L741" s="6" t="n">
        <v>0</v>
      </c>
      <c r="M741" s="10" t="n"/>
      <c r="N741" s="6" t="n">
        <v>16</v>
      </c>
      <c r="O741" s="6" t="n">
        <v>2048</v>
      </c>
      <c r="P741" s="6" t="n">
        <v>1</v>
      </c>
      <c r="Q741" s="6">
        <f>IF(OR(K741="On time",K741="Late",K741="Very late"),1,0)</f>
        <v/>
      </c>
    </row>
    <row r="742">
      <c r="A742" s="10" t="inlineStr">
        <is>
          <t>DN318960</t>
        </is>
      </c>
      <c r="B742" s="10" t="inlineStr">
        <is>
          <t>SO62784</t>
        </is>
      </c>
      <c r="C742" s="10" t="inlineStr">
        <is>
          <t>C11982</t>
        </is>
      </c>
      <c r="D742" s="10">
        <f>INDEX(Customers!$B:$B,MATCH(C742,Customers!$A:$A,0))</f>
        <v/>
      </c>
      <c r="E742" s="10">
        <f>INDEX(Customers!$D:$D,MATCH(C742,Customers!$A:$A,0))</f>
        <v/>
      </c>
      <c r="F742" s="10" t="inlineStr">
        <is>
          <t>Own trucks</t>
        </is>
      </c>
      <c r="G742" s="5" t="n">
        <v>46260</v>
      </c>
      <c r="H742" s="5" t="n">
        <v>46261</v>
      </c>
      <c r="I742" s="5" t="n">
        <v>46261</v>
      </c>
      <c r="J742" s="10" t="inlineStr">
        <is>
          <t>14:20</t>
        </is>
      </c>
      <c r="K742" s="10" t="inlineStr">
        <is>
          <t>On time</t>
        </is>
      </c>
      <c r="L742" s="6" t="n">
        <v>0</v>
      </c>
      <c r="M742" s="10" t="n"/>
      <c r="N742" s="6" t="n">
        <v>24</v>
      </c>
      <c r="O742" s="6" t="n">
        <v>2520</v>
      </c>
      <c r="P742" s="6" t="n">
        <v>0</v>
      </c>
      <c r="Q742" s="6">
        <f>IF(OR(K742="On time",K742="Late",K742="Very late"),1,0)</f>
        <v/>
      </c>
    </row>
    <row r="743">
      <c r="A743" s="10" t="inlineStr">
        <is>
          <t>DN318961</t>
        </is>
      </c>
      <c r="B743" s="10" t="inlineStr">
        <is>
          <t>SO62785</t>
        </is>
      </c>
      <c r="C743" s="10" t="inlineStr">
        <is>
          <t>C12103</t>
        </is>
      </c>
      <c r="D743" s="10">
        <f>INDEX(Customers!$B:$B,MATCH(C743,Customers!$A:$A,0))</f>
        <v/>
      </c>
      <c r="E743" s="10">
        <f>INDEX(Customers!$D:$D,MATCH(C743,Customers!$A:$A,0))</f>
        <v/>
      </c>
      <c r="F743" s="10" t="inlineStr">
        <is>
          <t>Own trucks</t>
        </is>
      </c>
      <c r="G743" s="5" t="n">
        <v>46260</v>
      </c>
      <c r="H743" s="5" t="n">
        <v>46261</v>
      </c>
      <c r="I743" s="5" t="n">
        <v>46261</v>
      </c>
      <c r="J743" s="10" t="inlineStr">
        <is>
          <t>09:00</t>
        </is>
      </c>
      <c r="K743" s="10" t="inlineStr">
        <is>
          <t>On time</t>
        </is>
      </c>
      <c r="L743" s="6" t="n">
        <v>0</v>
      </c>
      <c r="M743" s="10" t="n"/>
      <c r="N743" s="6" t="n">
        <v>6</v>
      </c>
      <c r="O743" s="6" t="n">
        <v>438</v>
      </c>
      <c r="P743" s="6" t="n">
        <v>1</v>
      </c>
      <c r="Q743" s="6">
        <f>IF(OR(K743="On time",K743="Late",K743="Very late"),1,0)</f>
        <v/>
      </c>
    </row>
    <row r="744">
      <c r="A744" s="10" t="inlineStr">
        <is>
          <t>DN318962</t>
        </is>
      </c>
      <c r="B744" s="10" t="inlineStr">
        <is>
          <t>SO62786</t>
        </is>
      </c>
      <c r="C744" s="10" t="inlineStr">
        <is>
          <t>C12183</t>
        </is>
      </c>
      <c r="D744" s="10">
        <f>INDEX(Customers!$B:$B,MATCH(C744,Customers!$A:$A,0))</f>
        <v/>
      </c>
      <c r="E744" s="10">
        <f>INDEX(Customers!$D:$D,MATCH(C744,Customers!$A:$A,0))</f>
        <v/>
      </c>
      <c r="F744" s="10" t="inlineStr">
        <is>
          <t>Carrier B</t>
        </is>
      </c>
      <c r="G744" s="5" t="n">
        <v>46260</v>
      </c>
      <c r="H744" s="5" t="n">
        <v>46261</v>
      </c>
      <c r="I744" s="5" t="n">
        <v>46261</v>
      </c>
      <c r="J744" s="10" t="inlineStr">
        <is>
          <t>11:00</t>
        </is>
      </c>
      <c r="K744" s="10" t="inlineStr">
        <is>
          <t>On time</t>
        </is>
      </c>
      <c r="L744" s="6" t="n">
        <v>0</v>
      </c>
      <c r="M744" s="10" t="n"/>
      <c r="N744" s="6" t="n">
        <v>27</v>
      </c>
      <c r="O744" s="6" t="n">
        <v>2835</v>
      </c>
      <c r="P744" s="6" t="n">
        <v>1</v>
      </c>
      <c r="Q744" s="6">
        <f>IF(OR(K744="On time",K744="Late",K744="Very late"),1,0)</f>
        <v/>
      </c>
    </row>
    <row r="745">
      <c r="A745" s="10" t="inlineStr">
        <is>
          <t>DN318963</t>
        </is>
      </c>
      <c r="B745" s="10" t="inlineStr">
        <is>
          <t>SO62787</t>
        </is>
      </c>
      <c r="C745" s="10" t="inlineStr">
        <is>
          <t>C12239</t>
        </is>
      </c>
      <c r="D745" s="10">
        <f>INDEX(Customers!$B:$B,MATCH(C745,Customers!$A:$A,0))</f>
        <v/>
      </c>
      <c r="E745" s="10">
        <f>INDEX(Customers!$D:$D,MATCH(C745,Customers!$A:$A,0))</f>
        <v/>
      </c>
      <c r="F745" s="10" t="inlineStr">
        <is>
          <t>Carrier B</t>
        </is>
      </c>
      <c r="G745" s="5" t="n">
        <v>46260</v>
      </c>
      <c r="H745" s="5" t="n">
        <v>46261</v>
      </c>
      <c r="I745" s="5" t="n">
        <v>46261</v>
      </c>
      <c r="J745" s="10" t="inlineStr">
        <is>
          <t>16:40</t>
        </is>
      </c>
      <c r="K745" s="10" t="inlineStr">
        <is>
          <t>On time</t>
        </is>
      </c>
      <c r="L745" s="6" t="n">
        <v>0</v>
      </c>
      <c r="M745" s="10" t="n"/>
      <c r="N745" s="6" t="n">
        <v>6</v>
      </c>
      <c r="O745" s="6" t="n">
        <v>462</v>
      </c>
      <c r="P745" s="6" t="n">
        <v>1</v>
      </c>
      <c r="Q745" s="6">
        <f>IF(OR(K745="On time",K745="Late",K745="Very late"),1,0)</f>
        <v/>
      </c>
    </row>
    <row r="746">
      <c r="A746" s="10" t="inlineStr">
        <is>
          <t>DN318964</t>
        </is>
      </c>
      <c r="B746" s="10" t="inlineStr">
        <is>
          <t>SO62788</t>
        </is>
      </c>
      <c r="C746" s="10" t="inlineStr">
        <is>
          <t>C12262</t>
        </is>
      </c>
      <c r="D746" s="10">
        <f>INDEX(Customers!$B:$B,MATCH(C746,Customers!$A:$A,0))</f>
        <v/>
      </c>
      <c r="E746" s="10">
        <f>INDEX(Customers!$D:$D,MATCH(C746,Customers!$A:$A,0))</f>
        <v/>
      </c>
      <c r="F746" s="10" t="inlineStr">
        <is>
          <t>Carrier B</t>
        </is>
      </c>
      <c r="G746" s="5" t="n">
        <v>46260</v>
      </c>
      <c r="H746" s="5" t="n">
        <v>46261</v>
      </c>
      <c r="I746" s="5" t="n">
        <v>46261</v>
      </c>
      <c r="J746" s="10" t="inlineStr">
        <is>
          <t>09:50</t>
        </is>
      </c>
      <c r="K746" s="10" t="inlineStr">
        <is>
          <t>On time</t>
        </is>
      </c>
      <c r="L746" s="6" t="n">
        <v>0</v>
      </c>
      <c r="M746" s="10" t="n"/>
      <c r="N746" s="6" t="n">
        <v>17</v>
      </c>
      <c r="O746" s="6" t="n">
        <v>1734</v>
      </c>
      <c r="P746" s="6" t="n">
        <v>1</v>
      </c>
      <c r="Q746" s="6">
        <f>IF(OR(K746="On time",K746="Late",K746="Very late"),1,0)</f>
        <v/>
      </c>
    </row>
    <row r="747">
      <c r="A747" s="10" t="inlineStr">
        <is>
          <t>DN318965</t>
        </is>
      </c>
      <c r="B747" s="10" t="inlineStr">
        <is>
          <t>SO62790</t>
        </is>
      </c>
      <c r="C747" s="10" t="inlineStr">
        <is>
          <t>C12305</t>
        </is>
      </c>
      <c r="D747" s="10">
        <f>INDEX(Customers!$B:$B,MATCH(C747,Customers!$A:$A,0))</f>
        <v/>
      </c>
      <c r="E747" s="10">
        <f>INDEX(Customers!$D:$D,MATCH(C747,Customers!$A:$A,0))</f>
        <v/>
      </c>
      <c r="F747" s="10" t="inlineStr">
        <is>
          <t>Carrier B</t>
        </is>
      </c>
      <c r="G747" s="5" t="n">
        <v>46260</v>
      </c>
      <c r="H747" s="5" t="n">
        <v>46261</v>
      </c>
      <c r="I747" s="5" t="n">
        <v>46261</v>
      </c>
      <c r="J747" s="10" t="inlineStr">
        <is>
          <t>16:40</t>
        </is>
      </c>
      <c r="K747" s="10" t="inlineStr">
        <is>
          <t>On time</t>
        </is>
      </c>
      <c r="L747" s="6" t="n">
        <v>0</v>
      </c>
      <c r="M747" s="10" t="n"/>
      <c r="N747" s="6" t="n">
        <v>28</v>
      </c>
      <c r="O747" s="6" t="n">
        <v>3556</v>
      </c>
      <c r="P747" s="6" t="n">
        <v>1</v>
      </c>
      <c r="Q747" s="6">
        <f>IF(OR(K747="On time",K747="Late",K747="Very late"),1,0)</f>
        <v/>
      </c>
    </row>
    <row r="748">
      <c r="A748" s="10" t="inlineStr">
        <is>
          <t>DN318966</t>
        </is>
      </c>
      <c r="B748" s="10" t="inlineStr">
        <is>
          <t>SO62791</t>
        </is>
      </c>
      <c r="C748" s="10" t="inlineStr">
        <is>
          <t>C12365</t>
        </is>
      </c>
      <c r="D748" s="10">
        <f>INDEX(Customers!$B:$B,MATCH(C748,Customers!$A:$A,0))</f>
        <v/>
      </c>
      <c r="E748" s="10">
        <f>INDEX(Customers!$D:$D,MATCH(C748,Customers!$A:$A,0))</f>
        <v/>
      </c>
      <c r="F748" s="10" t="inlineStr">
        <is>
          <t>Carrier B</t>
        </is>
      </c>
      <c r="G748" s="5" t="n">
        <v>46260</v>
      </c>
      <c r="H748" s="5" t="n">
        <v>46261</v>
      </c>
      <c r="I748" s="5" t="n">
        <v>46261</v>
      </c>
      <c r="J748" s="10" t="inlineStr">
        <is>
          <t>13:00</t>
        </is>
      </c>
      <c r="K748" s="10" t="inlineStr">
        <is>
          <t>On time</t>
        </is>
      </c>
      <c r="L748" s="6" t="n">
        <v>0</v>
      </c>
      <c r="M748" s="10" t="n"/>
      <c r="N748" s="6" t="n">
        <v>16</v>
      </c>
      <c r="O748" s="6" t="n">
        <v>1248</v>
      </c>
      <c r="P748" s="6" t="n">
        <v>1</v>
      </c>
      <c r="Q748" s="6">
        <f>IF(OR(K748="On time",K748="Late",K748="Very late"),1,0)</f>
        <v/>
      </c>
    </row>
    <row r="749">
      <c r="A749" s="10" t="inlineStr">
        <is>
          <t>DN318967</t>
        </is>
      </c>
      <c r="B749" s="10" t="inlineStr">
        <is>
          <t>SO62792</t>
        </is>
      </c>
      <c r="C749" s="10" t="inlineStr">
        <is>
          <t>C12371</t>
        </is>
      </c>
      <c r="D749" s="10">
        <f>INDEX(Customers!$B:$B,MATCH(C749,Customers!$A:$A,0))</f>
        <v/>
      </c>
      <c r="E749" s="10">
        <f>INDEX(Customers!$D:$D,MATCH(C749,Customers!$A:$A,0))</f>
        <v/>
      </c>
      <c r="F749" s="10" t="inlineStr">
        <is>
          <t>Carrier A</t>
        </is>
      </c>
      <c r="G749" s="5" t="n">
        <v>46260</v>
      </c>
      <c r="H749" s="5" t="n">
        <v>46261</v>
      </c>
      <c r="I749" s="5" t="n">
        <v>46261</v>
      </c>
      <c r="J749" s="10" t="inlineStr">
        <is>
          <t>10:50</t>
        </is>
      </c>
      <c r="K749" s="10" t="inlineStr">
        <is>
          <t>On time</t>
        </is>
      </c>
      <c r="L749" s="6" t="n">
        <v>0</v>
      </c>
      <c r="M749" s="10" t="n"/>
      <c r="N749" s="6" t="n">
        <v>35</v>
      </c>
      <c r="O749" s="6" t="n">
        <v>2835</v>
      </c>
      <c r="P749" s="6" t="n">
        <v>1</v>
      </c>
      <c r="Q749" s="6">
        <f>IF(OR(K749="On time",K749="Late",K749="Very late"),1,0)</f>
        <v/>
      </c>
    </row>
    <row r="750">
      <c r="A750" s="10" t="inlineStr">
        <is>
          <t>DN318968</t>
        </is>
      </c>
      <c r="B750" s="10" t="inlineStr">
        <is>
          <t>SO62793</t>
        </is>
      </c>
      <c r="C750" s="10" t="inlineStr">
        <is>
          <t>C12389</t>
        </is>
      </c>
      <c r="D750" s="10">
        <f>INDEX(Customers!$B:$B,MATCH(C750,Customers!$A:$A,0))</f>
        <v/>
      </c>
      <c r="E750" s="10">
        <f>INDEX(Customers!$D:$D,MATCH(C750,Customers!$A:$A,0))</f>
        <v/>
      </c>
      <c r="F750" s="10" t="inlineStr">
        <is>
          <t>Carrier A</t>
        </is>
      </c>
      <c r="G750" s="5" t="n">
        <v>46260</v>
      </c>
      <c r="H750" s="5" t="n">
        <v>46261</v>
      </c>
      <c r="I750" s="5" t="n">
        <v>46261</v>
      </c>
      <c r="J750" s="10" t="inlineStr">
        <is>
          <t>13:10</t>
        </is>
      </c>
      <c r="K750" s="10" t="inlineStr">
        <is>
          <t>On time</t>
        </is>
      </c>
      <c r="L750" s="6" t="n">
        <v>0</v>
      </c>
      <c r="M750" s="10" t="n"/>
      <c r="N750" s="6" t="n">
        <v>15</v>
      </c>
      <c r="O750" s="6" t="n">
        <v>1695</v>
      </c>
      <c r="P750" s="6" t="n">
        <v>1</v>
      </c>
      <c r="Q750" s="6">
        <f>IF(OR(K750="On time",K750="Late",K750="Very late"),1,0)</f>
        <v/>
      </c>
    </row>
    <row r="751">
      <c r="A751" s="10" t="inlineStr">
        <is>
          <t>DN318969</t>
        </is>
      </c>
      <c r="B751" s="10" t="inlineStr">
        <is>
          <t>SO62794</t>
        </is>
      </c>
      <c r="C751" s="10" t="inlineStr">
        <is>
          <t>C12420</t>
        </is>
      </c>
      <c r="D751" s="10">
        <f>INDEX(Customers!$B:$B,MATCH(C751,Customers!$A:$A,0))</f>
        <v/>
      </c>
      <c r="E751" s="10">
        <f>INDEX(Customers!$D:$D,MATCH(C751,Customers!$A:$A,0))</f>
        <v/>
      </c>
      <c r="F751" s="10" t="inlineStr">
        <is>
          <t>Carrier A</t>
        </is>
      </c>
      <c r="G751" s="5" t="n">
        <v>46260</v>
      </c>
      <c r="H751" s="5" t="n">
        <v>46261</v>
      </c>
      <c r="I751" s="5" t="n">
        <v>46261</v>
      </c>
      <c r="J751" s="10" t="inlineStr">
        <is>
          <t>08:50</t>
        </is>
      </c>
      <c r="K751" s="10" t="inlineStr">
        <is>
          <t>On time</t>
        </is>
      </c>
      <c r="L751" s="6" t="n">
        <v>0</v>
      </c>
      <c r="M751" s="10" t="n"/>
      <c r="N751" s="6" t="n">
        <v>40</v>
      </c>
      <c r="O751" s="6" t="n">
        <v>3760</v>
      </c>
      <c r="P751" s="6" t="n">
        <v>1</v>
      </c>
      <c r="Q751" s="6">
        <f>IF(OR(K751="On time",K751="Late",K751="Very late"),1,0)</f>
        <v/>
      </c>
    </row>
    <row r="752">
      <c r="A752" s="10" t="inlineStr">
        <is>
          <t>DN318970</t>
        </is>
      </c>
      <c r="B752" s="10" t="inlineStr">
        <is>
          <t>SO62795</t>
        </is>
      </c>
      <c r="C752" s="10" t="inlineStr">
        <is>
          <t>C12543</t>
        </is>
      </c>
      <c r="D752" s="10">
        <f>INDEX(Customers!$B:$B,MATCH(C752,Customers!$A:$A,0))</f>
        <v/>
      </c>
      <c r="E752" s="10">
        <f>INDEX(Customers!$D:$D,MATCH(C752,Customers!$A:$A,0))</f>
        <v/>
      </c>
      <c r="F752" s="10" t="inlineStr">
        <is>
          <t>Carrier B</t>
        </is>
      </c>
      <c r="G752" s="5" t="n">
        <v>46259</v>
      </c>
      <c r="H752" s="5" t="n">
        <v>46261</v>
      </c>
      <c r="I752" s="5" t="n">
        <v>46261</v>
      </c>
      <c r="J752" s="10" t="inlineStr">
        <is>
          <t>07:20</t>
        </is>
      </c>
      <c r="K752" s="10" t="inlineStr">
        <is>
          <t>On time</t>
        </is>
      </c>
      <c r="L752" s="6" t="n">
        <v>0</v>
      </c>
      <c r="M752" s="10" t="n"/>
      <c r="N752" s="6" t="n">
        <v>35</v>
      </c>
      <c r="O752" s="6" t="n">
        <v>4340</v>
      </c>
      <c r="P752" s="6" t="n">
        <v>1</v>
      </c>
      <c r="Q752" s="6">
        <f>IF(OR(K752="On time",K752="Late",K752="Very late"),1,0)</f>
        <v/>
      </c>
    </row>
    <row r="753">
      <c r="A753" s="10" t="inlineStr">
        <is>
          <t>DN318971</t>
        </is>
      </c>
      <c r="B753" s="10" t="inlineStr">
        <is>
          <t>SO62796</t>
        </is>
      </c>
      <c r="C753" s="10" t="inlineStr">
        <is>
          <t>C12557</t>
        </is>
      </c>
      <c r="D753" s="10">
        <f>INDEX(Customers!$B:$B,MATCH(C753,Customers!$A:$A,0))</f>
        <v/>
      </c>
      <c r="E753" s="10">
        <f>INDEX(Customers!$D:$D,MATCH(C753,Customers!$A:$A,0))</f>
        <v/>
      </c>
      <c r="F753" s="10" t="inlineStr">
        <is>
          <t>Carrier B</t>
        </is>
      </c>
      <c r="G753" s="5" t="n">
        <v>46259</v>
      </c>
      <c r="H753" s="5" t="n">
        <v>46261</v>
      </c>
      <c r="I753" s="5" t="n">
        <v>46261</v>
      </c>
      <c r="J753" s="10" t="inlineStr">
        <is>
          <t>13:40</t>
        </is>
      </c>
      <c r="K753" s="10" t="inlineStr">
        <is>
          <t>On time</t>
        </is>
      </c>
      <c r="L753" s="6" t="n">
        <v>0</v>
      </c>
      <c r="M753" s="10" t="n"/>
      <c r="N753" s="6" t="n">
        <v>26</v>
      </c>
      <c r="O753" s="6" t="n">
        <v>2808</v>
      </c>
      <c r="P753" s="6" t="n">
        <v>1</v>
      </c>
      <c r="Q753" s="6">
        <f>IF(OR(K753="On time",K753="Late",K753="Very late"),1,0)</f>
        <v/>
      </c>
    </row>
    <row r="754">
      <c r="A754" s="10" t="inlineStr">
        <is>
          <t>DN318972</t>
        </is>
      </c>
      <c r="B754" s="10" t="inlineStr">
        <is>
          <t>SO62797</t>
        </is>
      </c>
      <c r="C754" s="10" t="inlineStr">
        <is>
          <t>C12617</t>
        </is>
      </c>
      <c r="D754" s="10">
        <f>INDEX(Customers!$B:$B,MATCH(C754,Customers!$A:$A,0))</f>
        <v/>
      </c>
      <c r="E754" s="10">
        <f>INDEX(Customers!$D:$D,MATCH(C754,Customers!$A:$A,0))</f>
        <v/>
      </c>
      <c r="F754" s="10" t="inlineStr">
        <is>
          <t>Carrier B</t>
        </is>
      </c>
      <c r="G754" s="5" t="n">
        <v>46259</v>
      </c>
      <c r="H754" s="5" t="n">
        <v>46261</v>
      </c>
      <c r="I754" s="5" t="n">
        <v>46261</v>
      </c>
      <c r="J754" s="10" t="inlineStr">
        <is>
          <t>11:30</t>
        </is>
      </c>
      <c r="K754" s="10" t="inlineStr">
        <is>
          <t>On time</t>
        </is>
      </c>
      <c r="L754" s="6" t="n">
        <v>0</v>
      </c>
      <c r="M754" s="10" t="n"/>
      <c r="N754" s="6" t="n">
        <v>39</v>
      </c>
      <c r="O754" s="6" t="n">
        <v>2301</v>
      </c>
      <c r="P754" s="6" t="n">
        <v>1</v>
      </c>
      <c r="Q754" s="6">
        <f>IF(OR(K754="On time",K754="Late",K754="Very late"),1,0)</f>
        <v/>
      </c>
    </row>
    <row r="755">
      <c r="A755" s="10" t="inlineStr">
        <is>
          <t>DN318973</t>
        </is>
      </c>
      <c r="B755" s="10" t="inlineStr">
        <is>
          <t>SO62798</t>
        </is>
      </c>
      <c r="C755" s="10" t="inlineStr">
        <is>
          <t>C12631</t>
        </is>
      </c>
      <c r="D755" s="10">
        <f>INDEX(Customers!$B:$B,MATCH(C755,Customers!$A:$A,0))</f>
        <v/>
      </c>
      <c r="E755" s="10">
        <f>INDEX(Customers!$D:$D,MATCH(C755,Customers!$A:$A,0))</f>
        <v/>
      </c>
      <c r="F755" s="10" t="inlineStr">
        <is>
          <t>Carrier B</t>
        </is>
      </c>
      <c r="G755" s="5" t="n">
        <v>46259</v>
      </c>
      <c r="H755" s="5" t="n">
        <v>46261</v>
      </c>
      <c r="I755" s="5" t="n">
        <v>46261</v>
      </c>
      <c r="J755" s="10" t="inlineStr">
        <is>
          <t>08:40</t>
        </is>
      </c>
      <c r="K755" s="10" t="inlineStr">
        <is>
          <t>On time</t>
        </is>
      </c>
      <c r="L755" s="6" t="n">
        <v>0</v>
      </c>
      <c r="M755" s="10" t="n"/>
      <c r="N755" s="6" t="n">
        <v>16</v>
      </c>
      <c r="O755" s="6" t="n">
        <v>1632</v>
      </c>
      <c r="P755" s="6" t="n">
        <v>0</v>
      </c>
      <c r="Q755" s="6">
        <f>IF(OR(K755="On time",K755="Late",K755="Very late"),1,0)</f>
        <v/>
      </c>
    </row>
    <row r="756">
      <c r="A756" s="10" t="inlineStr">
        <is>
          <t>DN318974</t>
        </is>
      </c>
      <c r="B756" s="10" t="inlineStr">
        <is>
          <t>SO62800</t>
        </is>
      </c>
      <c r="C756" s="10" t="inlineStr">
        <is>
          <t>C12639</t>
        </is>
      </c>
      <c r="D756" s="10">
        <f>INDEX(Customers!$B:$B,MATCH(C756,Customers!$A:$A,0))</f>
        <v/>
      </c>
      <c r="E756" s="10">
        <f>INDEX(Customers!$D:$D,MATCH(C756,Customers!$A:$A,0))</f>
        <v/>
      </c>
      <c r="F756" s="10" t="inlineStr">
        <is>
          <t>Carrier B</t>
        </is>
      </c>
      <c r="G756" s="5" t="n">
        <v>46259</v>
      </c>
      <c r="H756" s="5" t="n">
        <v>46261</v>
      </c>
      <c r="I756" s="5" t="n">
        <v>46261</v>
      </c>
      <c r="J756" s="10" t="inlineStr">
        <is>
          <t>14:50</t>
        </is>
      </c>
      <c r="K756" s="10" t="inlineStr">
        <is>
          <t>On time</t>
        </is>
      </c>
      <c r="L756" s="6" t="n">
        <v>0</v>
      </c>
      <c r="M756" s="10" t="n"/>
      <c r="N756" s="6" t="n">
        <v>5</v>
      </c>
      <c r="O756" s="6" t="n">
        <v>360</v>
      </c>
      <c r="P756" s="6" t="n">
        <v>1</v>
      </c>
      <c r="Q756" s="6">
        <f>IF(OR(K756="On time",K756="Late",K756="Very late"),1,0)</f>
        <v/>
      </c>
    </row>
    <row r="757">
      <c r="A757" s="10" t="inlineStr">
        <is>
          <t>DN318975</t>
        </is>
      </c>
      <c r="B757" s="10" t="inlineStr">
        <is>
          <t>SO62801</t>
        </is>
      </c>
      <c r="C757" s="10" t="inlineStr">
        <is>
          <t>C12675</t>
        </is>
      </c>
      <c r="D757" s="10">
        <f>INDEX(Customers!$B:$B,MATCH(C757,Customers!$A:$A,0))</f>
        <v/>
      </c>
      <c r="E757" s="10">
        <f>INDEX(Customers!$D:$D,MATCH(C757,Customers!$A:$A,0))</f>
        <v/>
      </c>
      <c r="F757" s="10" t="inlineStr">
        <is>
          <t>Carrier B</t>
        </is>
      </c>
      <c r="G757" s="5" t="n">
        <v>46259</v>
      </c>
      <c r="H757" s="5" t="n">
        <v>46261</v>
      </c>
      <c r="I757" s="5" t="n">
        <v>46261</v>
      </c>
      <c r="J757" s="10" t="inlineStr">
        <is>
          <t>09:30</t>
        </is>
      </c>
      <c r="K757" s="10" t="inlineStr">
        <is>
          <t>On time</t>
        </is>
      </c>
      <c r="L757" s="6" t="n">
        <v>0</v>
      </c>
      <c r="M757" s="10" t="n"/>
      <c r="N757" s="6" t="n">
        <v>21</v>
      </c>
      <c r="O757" s="6" t="n">
        <v>2121</v>
      </c>
      <c r="P757" s="6" t="n">
        <v>1</v>
      </c>
      <c r="Q757" s="6">
        <f>IF(OR(K757="On time",K757="Late",K757="Very late"),1,0)</f>
        <v/>
      </c>
    </row>
    <row r="758">
      <c r="A758" s="10" t="inlineStr">
        <is>
          <t>DN318976</t>
        </is>
      </c>
      <c r="B758" s="10" t="inlineStr">
        <is>
          <t>SO62803</t>
        </is>
      </c>
      <c r="C758" s="10" t="inlineStr">
        <is>
          <t>C10268</t>
        </is>
      </c>
      <c r="D758" s="10">
        <f>INDEX(Customers!$B:$B,MATCH(C758,Customers!$A:$A,0))</f>
        <v/>
      </c>
      <c r="E758" s="10">
        <f>INDEX(Customers!$D:$D,MATCH(C758,Customers!$A:$A,0))</f>
        <v/>
      </c>
      <c r="F758" s="10" t="inlineStr">
        <is>
          <t>Own trucks</t>
        </is>
      </c>
      <c r="G758" s="5" t="n">
        <v>46261</v>
      </c>
      <c r="H758" s="5" t="n">
        <v>46262</v>
      </c>
      <c r="I758" s="5" t="n">
        <v>46262</v>
      </c>
      <c r="J758" s="10" t="inlineStr">
        <is>
          <t>15:20</t>
        </is>
      </c>
      <c r="K758" s="10" t="inlineStr">
        <is>
          <t>On time</t>
        </is>
      </c>
      <c r="L758" s="6" t="n">
        <v>0</v>
      </c>
      <c r="M758" s="10" t="n"/>
      <c r="N758" s="6" t="n">
        <v>24</v>
      </c>
      <c r="O758" s="6" t="n">
        <v>2448</v>
      </c>
      <c r="P758" s="6" t="n">
        <v>1</v>
      </c>
      <c r="Q758" s="6">
        <f>IF(OR(K758="On time",K758="Late",K758="Very late"),1,0)</f>
        <v/>
      </c>
    </row>
    <row r="759">
      <c r="A759" s="10" t="inlineStr">
        <is>
          <t>DN318977</t>
        </is>
      </c>
      <c r="B759" s="10" t="inlineStr">
        <is>
          <t>SO62804</t>
        </is>
      </c>
      <c r="C759" s="10" t="inlineStr">
        <is>
          <t>C10322</t>
        </is>
      </c>
      <c r="D759" s="10">
        <f>INDEX(Customers!$B:$B,MATCH(C759,Customers!$A:$A,0))</f>
        <v/>
      </c>
      <c r="E759" s="10">
        <f>INDEX(Customers!$D:$D,MATCH(C759,Customers!$A:$A,0))</f>
        <v/>
      </c>
      <c r="F759" s="10" t="inlineStr">
        <is>
          <t>Own trucks</t>
        </is>
      </c>
      <c r="G759" s="5" t="n">
        <v>46261</v>
      </c>
      <c r="H759" s="5" t="n">
        <v>46262</v>
      </c>
      <c r="I759" s="5" t="n">
        <v>46262</v>
      </c>
      <c r="J759" s="10" t="inlineStr">
        <is>
          <t>16:40</t>
        </is>
      </c>
      <c r="K759" s="10" t="inlineStr">
        <is>
          <t>On time</t>
        </is>
      </c>
      <c r="L759" s="6" t="n">
        <v>0</v>
      </c>
      <c r="M759" s="10" t="n"/>
      <c r="N759" s="6" t="n">
        <v>2</v>
      </c>
      <c r="O759" s="6" t="n">
        <v>160</v>
      </c>
      <c r="P759" s="6" t="n">
        <v>1</v>
      </c>
      <c r="Q759" s="6">
        <f>IF(OR(K759="On time",K759="Late",K759="Very late"),1,0)</f>
        <v/>
      </c>
    </row>
    <row r="760">
      <c r="A760" s="10" t="inlineStr">
        <is>
          <t>DN318978</t>
        </is>
      </c>
      <c r="B760" s="10" t="inlineStr">
        <is>
          <t>SO62806</t>
        </is>
      </c>
      <c r="C760" s="10" t="inlineStr">
        <is>
          <t>C10343</t>
        </is>
      </c>
      <c r="D760" s="10">
        <f>INDEX(Customers!$B:$B,MATCH(C760,Customers!$A:$A,0))</f>
        <v/>
      </c>
      <c r="E760" s="10">
        <f>INDEX(Customers!$D:$D,MATCH(C760,Customers!$A:$A,0))</f>
        <v/>
      </c>
      <c r="F760" s="10" t="inlineStr">
        <is>
          <t>Same-day courier</t>
        </is>
      </c>
      <c r="G760" s="5" t="n">
        <v>46261</v>
      </c>
      <c r="H760" s="5" t="n">
        <v>46262</v>
      </c>
      <c r="I760" s="5" t="n">
        <v>46262</v>
      </c>
      <c r="J760" s="10" t="inlineStr">
        <is>
          <t>11:40</t>
        </is>
      </c>
      <c r="K760" s="10" t="inlineStr">
        <is>
          <t>On time</t>
        </is>
      </c>
      <c r="L760" s="6" t="n">
        <v>0</v>
      </c>
      <c r="M760" s="10" t="n"/>
      <c r="N760" s="6" t="n">
        <v>23</v>
      </c>
      <c r="O760" s="6" t="n">
        <v>2139</v>
      </c>
      <c r="P760" s="6" t="n">
        <v>1</v>
      </c>
      <c r="Q760" s="6">
        <f>IF(OR(K760="On time",K760="Late",K760="Very late"),1,0)</f>
        <v/>
      </c>
    </row>
    <row r="761">
      <c r="A761" s="10" t="inlineStr">
        <is>
          <t>DN318979</t>
        </is>
      </c>
      <c r="B761" s="10" t="inlineStr">
        <is>
          <t>SO62807</t>
        </is>
      </c>
      <c r="C761" s="10" t="inlineStr">
        <is>
          <t>C10413</t>
        </is>
      </c>
      <c r="D761" s="10">
        <f>INDEX(Customers!$B:$B,MATCH(C761,Customers!$A:$A,0))</f>
        <v/>
      </c>
      <c r="E761" s="10">
        <f>INDEX(Customers!$D:$D,MATCH(C761,Customers!$A:$A,0))</f>
        <v/>
      </c>
      <c r="F761" s="10" t="inlineStr">
        <is>
          <t>Own trucks</t>
        </is>
      </c>
      <c r="G761" s="5" t="n">
        <v>46261</v>
      </c>
      <c r="H761" s="5" t="n">
        <v>46262</v>
      </c>
      <c r="I761" s="5" t="n">
        <v>46262</v>
      </c>
      <c r="J761" s="10" t="inlineStr">
        <is>
          <t>13:40</t>
        </is>
      </c>
      <c r="K761" s="10" t="inlineStr">
        <is>
          <t>On time</t>
        </is>
      </c>
      <c r="L761" s="6" t="n">
        <v>0</v>
      </c>
      <c r="M761" s="10" t="n"/>
      <c r="N761" s="6" t="n">
        <v>14</v>
      </c>
      <c r="O761" s="6" t="n">
        <v>1022</v>
      </c>
      <c r="P761" s="6" t="n">
        <v>1</v>
      </c>
      <c r="Q761" s="6">
        <f>IF(OR(K761="On time",K761="Late",K761="Very late"),1,0)</f>
        <v/>
      </c>
    </row>
    <row r="762">
      <c r="A762" s="10" t="inlineStr">
        <is>
          <t>DN318980</t>
        </is>
      </c>
      <c r="B762" s="10" t="inlineStr">
        <is>
          <t>SO62808</t>
        </is>
      </c>
      <c r="C762" s="10" t="inlineStr">
        <is>
          <t>C10446</t>
        </is>
      </c>
      <c r="D762" s="10">
        <f>INDEX(Customers!$B:$B,MATCH(C762,Customers!$A:$A,0))</f>
        <v/>
      </c>
      <c r="E762" s="10">
        <f>INDEX(Customers!$D:$D,MATCH(C762,Customers!$A:$A,0))</f>
        <v/>
      </c>
      <c r="F762" s="10" t="inlineStr">
        <is>
          <t>Same-day courier</t>
        </is>
      </c>
      <c r="G762" s="5" t="n">
        <v>46261</v>
      </c>
      <c r="H762" s="5" t="n">
        <v>46262</v>
      </c>
      <c r="I762" s="5" t="n">
        <v>46262</v>
      </c>
      <c r="J762" s="10" t="inlineStr">
        <is>
          <t>12:10</t>
        </is>
      </c>
      <c r="K762" s="10" t="inlineStr">
        <is>
          <t>On time</t>
        </is>
      </c>
      <c r="L762" s="6" t="n">
        <v>0</v>
      </c>
      <c r="M762" s="10" t="n"/>
      <c r="N762" s="6" t="n">
        <v>13</v>
      </c>
      <c r="O762" s="6" t="n">
        <v>988</v>
      </c>
      <c r="P762" s="6" t="n">
        <v>0</v>
      </c>
      <c r="Q762" s="6">
        <f>IF(OR(K762="On time",K762="Late",K762="Very late"),1,0)</f>
        <v/>
      </c>
    </row>
    <row r="763">
      <c r="A763" s="10" t="inlineStr">
        <is>
          <t>DN318981</t>
        </is>
      </c>
      <c r="B763" s="10" t="inlineStr">
        <is>
          <t>SO62809</t>
        </is>
      </c>
      <c r="C763" s="10" t="inlineStr">
        <is>
          <t>C10515</t>
        </is>
      </c>
      <c r="D763" s="10">
        <f>INDEX(Customers!$B:$B,MATCH(C763,Customers!$A:$A,0))</f>
        <v/>
      </c>
      <c r="E763" s="10">
        <f>INDEX(Customers!$D:$D,MATCH(C763,Customers!$A:$A,0))</f>
        <v/>
      </c>
      <c r="F763" s="10" t="inlineStr">
        <is>
          <t>Own trucks</t>
        </is>
      </c>
      <c r="G763" s="5" t="n">
        <v>46261</v>
      </c>
      <c r="H763" s="5" t="n">
        <v>46262</v>
      </c>
      <c r="I763" s="5" t="n">
        <v>46262</v>
      </c>
      <c r="J763" s="10" t="inlineStr">
        <is>
          <t>13:10</t>
        </is>
      </c>
      <c r="K763" s="10" t="inlineStr">
        <is>
          <t>On time</t>
        </is>
      </c>
      <c r="L763" s="6" t="n">
        <v>0</v>
      </c>
      <c r="M763" s="10" t="n"/>
      <c r="N763" s="6" t="n">
        <v>2</v>
      </c>
      <c r="O763" s="6" t="n">
        <v>248</v>
      </c>
      <c r="P763" s="6" t="n">
        <v>1</v>
      </c>
      <c r="Q763" s="6">
        <f>IF(OR(K763="On time",K763="Late",K763="Very late"),1,0)</f>
        <v/>
      </c>
    </row>
    <row r="764">
      <c r="A764" s="10" t="inlineStr">
        <is>
          <t>DN318982</t>
        </is>
      </c>
      <c r="B764" s="10" t="inlineStr">
        <is>
          <t>SO62810</t>
        </is>
      </c>
      <c r="C764" s="10" t="inlineStr">
        <is>
          <t>C10536</t>
        </is>
      </c>
      <c r="D764" s="10">
        <f>INDEX(Customers!$B:$B,MATCH(C764,Customers!$A:$A,0))</f>
        <v/>
      </c>
      <c r="E764" s="10">
        <f>INDEX(Customers!$D:$D,MATCH(C764,Customers!$A:$A,0))</f>
        <v/>
      </c>
      <c r="F764" s="10" t="inlineStr">
        <is>
          <t>Own trucks</t>
        </is>
      </c>
      <c r="G764" s="5" t="n">
        <v>46261</v>
      </c>
      <c r="H764" s="5" t="n">
        <v>46262</v>
      </c>
      <c r="I764" s="5" t="n">
        <v>46262</v>
      </c>
      <c r="J764" s="10" t="inlineStr">
        <is>
          <t>14:10</t>
        </is>
      </c>
      <c r="K764" s="10" t="inlineStr">
        <is>
          <t>On time</t>
        </is>
      </c>
      <c r="L764" s="6" t="n">
        <v>0</v>
      </c>
      <c r="M764" s="10" t="n"/>
      <c r="N764" s="6" t="n">
        <v>2</v>
      </c>
      <c r="O764" s="6" t="n">
        <v>224</v>
      </c>
      <c r="P764" s="6" t="n">
        <v>1</v>
      </c>
      <c r="Q764" s="6">
        <f>IF(OR(K764="On time",K764="Late",K764="Very late"),1,0)</f>
        <v/>
      </c>
    </row>
    <row r="765">
      <c r="A765" s="10" t="inlineStr">
        <is>
          <t>DN318983</t>
        </is>
      </c>
      <c r="B765" s="10" t="inlineStr">
        <is>
          <t>SO62811</t>
        </is>
      </c>
      <c r="C765" s="10" t="inlineStr">
        <is>
          <t>C10589</t>
        </is>
      </c>
      <c r="D765" s="10">
        <f>INDEX(Customers!$B:$B,MATCH(C765,Customers!$A:$A,0))</f>
        <v/>
      </c>
      <c r="E765" s="10">
        <f>INDEX(Customers!$D:$D,MATCH(C765,Customers!$A:$A,0))</f>
        <v/>
      </c>
      <c r="F765" s="10" t="inlineStr">
        <is>
          <t>Own trucks</t>
        </is>
      </c>
      <c r="G765" s="5" t="n">
        <v>46261</v>
      </c>
      <c r="H765" s="5" t="n">
        <v>46262</v>
      </c>
      <c r="I765" s="5" t="n">
        <v>46262</v>
      </c>
      <c r="J765" s="10" t="inlineStr">
        <is>
          <t>08:20</t>
        </is>
      </c>
      <c r="K765" s="10" t="inlineStr">
        <is>
          <t>On time</t>
        </is>
      </c>
      <c r="L765" s="6" t="n">
        <v>0</v>
      </c>
      <c r="M765" s="10" t="n"/>
      <c r="N765" s="6" t="n">
        <v>26</v>
      </c>
      <c r="O765" s="6" t="n">
        <v>2730</v>
      </c>
      <c r="P765" s="6" t="n">
        <v>1</v>
      </c>
      <c r="Q765" s="6">
        <f>IF(OR(K765="On time",K765="Late",K765="Very late"),1,0)</f>
        <v/>
      </c>
    </row>
    <row r="766">
      <c r="A766" s="10" t="inlineStr">
        <is>
          <t>DN318984</t>
        </is>
      </c>
      <c r="B766" s="10" t="inlineStr">
        <is>
          <t>SO62812</t>
        </is>
      </c>
      <c r="C766" s="10" t="inlineStr">
        <is>
          <t>C10622</t>
        </is>
      </c>
      <c r="D766" s="10">
        <f>INDEX(Customers!$B:$B,MATCH(C766,Customers!$A:$A,0))</f>
        <v/>
      </c>
      <c r="E766" s="10">
        <f>INDEX(Customers!$D:$D,MATCH(C766,Customers!$A:$A,0))</f>
        <v/>
      </c>
      <c r="F766" s="10" t="inlineStr">
        <is>
          <t>Own trucks</t>
        </is>
      </c>
      <c r="G766" s="5" t="n">
        <v>46261</v>
      </c>
      <c r="H766" s="5" t="n">
        <v>46262</v>
      </c>
      <c r="I766" s="5" t="n">
        <v>46262</v>
      </c>
      <c r="J766" s="10" t="inlineStr">
        <is>
          <t>10:10</t>
        </is>
      </c>
      <c r="K766" s="10" t="inlineStr">
        <is>
          <t>On time</t>
        </is>
      </c>
      <c r="L766" s="6" t="n">
        <v>0</v>
      </c>
      <c r="M766" s="10" t="n"/>
      <c r="N766" s="6" t="n">
        <v>2</v>
      </c>
      <c r="O766" s="6" t="n">
        <v>150</v>
      </c>
      <c r="P766" s="6" t="n">
        <v>1</v>
      </c>
      <c r="Q766" s="6">
        <f>IF(OR(K766="On time",K766="Late",K766="Very late"),1,0)</f>
        <v/>
      </c>
    </row>
    <row r="767">
      <c r="A767" s="10" t="inlineStr">
        <is>
          <t>DN318985</t>
        </is>
      </c>
      <c r="B767" s="10" t="inlineStr">
        <is>
          <t>SO62813</t>
        </is>
      </c>
      <c r="C767" s="10" t="inlineStr">
        <is>
          <t>C10676</t>
        </is>
      </c>
      <c r="D767" s="10">
        <f>INDEX(Customers!$B:$B,MATCH(C767,Customers!$A:$A,0))</f>
        <v/>
      </c>
      <c r="E767" s="10">
        <f>INDEX(Customers!$D:$D,MATCH(C767,Customers!$A:$A,0))</f>
        <v/>
      </c>
      <c r="F767" s="10" t="inlineStr">
        <is>
          <t>Own trucks</t>
        </is>
      </c>
      <c r="G767" s="5" t="n">
        <v>46261</v>
      </c>
      <c r="H767" s="5" t="n">
        <v>46262</v>
      </c>
      <c r="I767" s="5" t="n">
        <v>46262</v>
      </c>
      <c r="J767" s="10" t="inlineStr">
        <is>
          <t>07:00</t>
        </is>
      </c>
      <c r="K767" s="10" t="inlineStr">
        <is>
          <t>On time</t>
        </is>
      </c>
      <c r="L767" s="6" t="n">
        <v>0</v>
      </c>
      <c r="M767" s="10" t="n"/>
      <c r="N767" s="6" t="n">
        <v>31</v>
      </c>
      <c r="O767" s="6" t="n">
        <v>3968</v>
      </c>
      <c r="P767" s="6" t="n">
        <v>1</v>
      </c>
      <c r="Q767" s="6">
        <f>IF(OR(K767="On time",K767="Late",K767="Very late"),1,0)</f>
        <v/>
      </c>
    </row>
    <row r="768">
      <c r="A768" s="10" t="inlineStr">
        <is>
          <t>DN318986</t>
        </is>
      </c>
      <c r="B768" s="10" t="inlineStr">
        <is>
          <t>SO62814</t>
        </is>
      </c>
      <c r="C768" s="10" t="inlineStr">
        <is>
          <t>C10746</t>
        </is>
      </c>
      <c r="D768" s="10">
        <f>INDEX(Customers!$B:$B,MATCH(C768,Customers!$A:$A,0))</f>
        <v/>
      </c>
      <c r="E768" s="10">
        <f>INDEX(Customers!$D:$D,MATCH(C768,Customers!$A:$A,0))</f>
        <v/>
      </c>
      <c r="F768" s="10" t="inlineStr">
        <is>
          <t>Own trucks</t>
        </is>
      </c>
      <c r="G768" s="5" t="n">
        <v>46261</v>
      </c>
      <c r="H768" s="5" t="n">
        <v>46262</v>
      </c>
      <c r="I768" s="5" t="n">
        <v>46262</v>
      </c>
      <c r="J768" s="10" t="inlineStr">
        <is>
          <t>08:30</t>
        </is>
      </c>
      <c r="K768" s="10" t="inlineStr">
        <is>
          <t>On time</t>
        </is>
      </c>
      <c r="L768" s="6" t="n">
        <v>0</v>
      </c>
      <c r="M768" s="10" t="n"/>
      <c r="N768" s="6" t="n">
        <v>22</v>
      </c>
      <c r="O768" s="6" t="n">
        <v>2376</v>
      </c>
      <c r="P768" s="6" t="n">
        <v>1</v>
      </c>
      <c r="Q768" s="6">
        <f>IF(OR(K768="On time",K768="Late",K768="Very late"),1,0)</f>
        <v/>
      </c>
    </row>
    <row r="769">
      <c r="A769" s="10" t="inlineStr">
        <is>
          <t>DN318987</t>
        </is>
      </c>
      <c r="B769" s="10" t="inlineStr">
        <is>
          <t>SO62815</t>
        </is>
      </c>
      <c r="C769" s="10" t="inlineStr">
        <is>
          <t>C10796</t>
        </is>
      </c>
      <c r="D769" s="10">
        <f>INDEX(Customers!$B:$B,MATCH(C769,Customers!$A:$A,0))</f>
        <v/>
      </c>
      <c r="E769" s="10">
        <f>INDEX(Customers!$D:$D,MATCH(C769,Customers!$A:$A,0))</f>
        <v/>
      </c>
      <c r="F769" s="10" t="inlineStr">
        <is>
          <t>Own trucks</t>
        </is>
      </c>
      <c r="G769" s="5" t="n">
        <v>46261</v>
      </c>
      <c r="H769" s="5" t="n">
        <v>46262</v>
      </c>
      <c r="I769" s="5" t="n">
        <v>46262</v>
      </c>
      <c r="J769" s="10" t="inlineStr">
        <is>
          <t>12:00</t>
        </is>
      </c>
      <c r="K769" s="10" t="inlineStr">
        <is>
          <t>On time</t>
        </is>
      </c>
      <c r="L769" s="6" t="n">
        <v>0</v>
      </c>
      <c r="M769" s="10" t="n"/>
      <c r="N769" s="6" t="n">
        <v>8</v>
      </c>
      <c r="O769" s="6" t="n">
        <v>656</v>
      </c>
      <c r="P769" s="6" t="n">
        <v>1</v>
      </c>
      <c r="Q769" s="6">
        <f>IF(OR(K769="On time",K769="Late",K769="Very late"),1,0)</f>
        <v/>
      </c>
    </row>
    <row r="770">
      <c r="A770" s="10" t="inlineStr">
        <is>
          <t>DN318988</t>
        </is>
      </c>
      <c r="B770" s="10" t="inlineStr">
        <is>
          <t>SO62816</t>
        </is>
      </c>
      <c r="C770" s="10" t="inlineStr">
        <is>
          <t>C10847</t>
        </is>
      </c>
      <c r="D770" s="10">
        <f>INDEX(Customers!$B:$B,MATCH(C770,Customers!$A:$A,0))</f>
        <v/>
      </c>
      <c r="E770" s="10">
        <f>INDEX(Customers!$D:$D,MATCH(C770,Customers!$A:$A,0))</f>
        <v/>
      </c>
      <c r="F770" s="10" t="inlineStr">
        <is>
          <t>Own trucks</t>
        </is>
      </c>
      <c r="G770" s="5" t="n">
        <v>46261</v>
      </c>
      <c r="H770" s="5" t="n">
        <v>46262</v>
      </c>
      <c r="I770" s="5" t="n">
        <v>46262</v>
      </c>
      <c r="J770" s="10" t="inlineStr">
        <is>
          <t>09:30</t>
        </is>
      </c>
      <c r="K770" s="10" t="inlineStr">
        <is>
          <t>On time</t>
        </is>
      </c>
      <c r="L770" s="6" t="n">
        <v>0</v>
      </c>
      <c r="M770" s="10" t="n"/>
      <c r="N770" s="6" t="n">
        <v>8</v>
      </c>
      <c r="O770" s="6" t="n">
        <v>984</v>
      </c>
      <c r="P770" s="6" t="n">
        <v>1</v>
      </c>
      <c r="Q770" s="6">
        <f>IF(OR(K770="On time",K770="Late",K770="Very late"),1,0)</f>
        <v/>
      </c>
    </row>
    <row r="771">
      <c r="A771" s="10" t="inlineStr">
        <is>
          <t>DN318989</t>
        </is>
      </c>
      <c r="B771" s="10" t="inlineStr">
        <is>
          <t>SO62818</t>
        </is>
      </c>
      <c r="C771" s="10" t="inlineStr">
        <is>
          <t>C10982</t>
        </is>
      </c>
      <c r="D771" s="10">
        <f>INDEX(Customers!$B:$B,MATCH(C771,Customers!$A:$A,0))</f>
        <v/>
      </c>
      <c r="E771" s="10">
        <f>INDEX(Customers!$D:$D,MATCH(C771,Customers!$A:$A,0))</f>
        <v/>
      </c>
      <c r="F771" s="10" t="inlineStr">
        <is>
          <t>Own trucks</t>
        </is>
      </c>
      <c r="G771" s="5" t="n">
        <v>46261</v>
      </c>
      <c r="H771" s="5" t="n">
        <v>46262</v>
      </c>
      <c r="I771" s="5" t="n">
        <v>46262</v>
      </c>
      <c r="J771" s="10" t="inlineStr">
        <is>
          <t>10:20</t>
        </is>
      </c>
      <c r="K771" s="10" t="inlineStr">
        <is>
          <t>On time</t>
        </is>
      </c>
      <c r="L771" s="6" t="n">
        <v>0</v>
      </c>
      <c r="M771" s="10" t="n"/>
      <c r="N771" s="6" t="n">
        <v>28</v>
      </c>
      <c r="O771" s="6" t="n">
        <v>3780</v>
      </c>
      <c r="P771" s="6" t="n">
        <v>1</v>
      </c>
      <c r="Q771" s="6">
        <f>IF(OR(K771="On time",K771="Late",K771="Very late"),1,0)</f>
        <v/>
      </c>
    </row>
    <row r="772">
      <c r="A772" s="10" t="inlineStr">
        <is>
          <t>DN318990</t>
        </is>
      </c>
      <c r="B772" s="10" t="inlineStr">
        <is>
          <t>SO62819</t>
        </is>
      </c>
      <c r="C772" s="10" t="inlineStr">
        <is>
          <t>C11107</t>
        </is>
      </c>
      <c r="D772" s="10">
        <f>INDEX(Customers!$B:$B,MATCH(C772,Customers!$A:$A,0))</f>
        <v/>
      </c>
      <c r="E772" s="10">
        <f>INDEX(Customers!$D:$D,MATCH(C772,Customers!$A:$A,0))</f>
        <v/>
      </c>
      <c r="F772" s="10" t="inlineStr">
        <is>
          <t>Own trucks</t>
        </is>
      </c>
      <c r="G772" s="5" t="n">
        <v>46261</v>
      </c>
      <c r="H772" s="5" t="n">
        <v>46262</v>
      </c>
      <c r="I772" s="5" t="n">
        <v>46262</v>
      </c>
      <c r="J772" s="10" t="inlineStr">
        <is>
          <t>09:20</t>
        </is>
      </c>
      <c r="K772" s="10" t="inlineStr">
        <is>
          <t>On time</t>
        </is>
      </c>
      <c r="L772" s="6" t="n">
        <v>0</v>
      </c>
      <c r="M772" s="10" t="n"/>
      <c r="N772" s="6" t="n">
        <v>4</v>
      </c>
      <c r="O772" s="6" t="n">
        <v>264</v>
      </c>
      <c r="P772" s="6" t="n">
        <v>1</v>
      </c>
      <c r="Q772" s="6">
        <f>IF(OR(K772="On time",K772="Late",K772="Very late"),1,0)</f>
        <v/>
      </c>
    </row>
    <row r="773">
      <c r="A773" s="10" t="inlineStr">
        <is>
          <t>DN318991</t>
        </is>
      </c>
      <c r="B773" s="10" t="inlineStr">
        <is>
          <t>SO62820</t>
        </is>
      </c>
      <c r="C773" s="10" t="inlineStr">
        <is>
          <t>C11143</t>
        </is>
      </c>
      <c r="D773" s="10">
        <f>INDEX(Customers!$B:$B,MATCH(C773,Customers!$A:$A,0))</f>
        <v/>
      </c>
      <c r="E773" s="10">
        <f>INDEX(Customers!$D:$D,MATCH(C773,Customers!$A:$A,0))</f>
        <v/>
      </c>
      <c r="F773" s="10" t="inlineStr">
        <is>
          <t>Own trucks</t>
        </is>
      </c>
      <c r="G773" s="5" t="n">
        <v>46261</v>
      </c>
      <c r="H773" s="5" t="n">
        <v>46262</v>
      </c>
      <c r="I773" s="5" t="n">
        <v>46262</v>
      </c>
      <c r="J773" s="10" t="inlineStr">
        <is>
          <t>09:50</t>
        </is>
      </c>
      <c r="K773" s="10" t="inlineStr">
        <is>
          <t>On time</t>
        </is>
      </c>
      <c r="L773" s="6" t="n">
        <v>0</v>
      </c>
      <c r="M773" s="10" t="n"/>
      <c r="N773" s="6" t="n">
        <v>16</v>
      </c>
      <c r="O773" s="6" t="n">
        <v>1104</v>
      </c>
      <c r="P773" s="6" t="n">
        <v>1</v>
      </c>
      <c r="Q773" s="6">
        <f>IF(OR(K773="On time",K773="Late",K773="Very late"),1,0)</f>
        <v/>
      </c>
    </row>
    <row r="774">
      <c r="A774" s="10" t="inlineStr">
        <is>
          <t>DN318993</t>
        </is>
      </c>
      <c r="B774" s="10" t="inlineStr">
        <is>
          <t>SO62822</t>
        </is>
      </c>
      <c r="C774" s="10" t="inlineStr">
        <is>
          <t>C11186</t>
        </is>
      </c>
      <c r="D774" s="10">
        <f>INDEX(Customers!$B:$B,MATCH(C774,Customers!$A:$A,0))</f>
        <v/>
      </c>
      <c r="E774" s="10">
        <f>INDEX(Customers!$D:$D,MATCH(C774,Customers!$A:$A,0))</f>
        <v/>
      </c>
      <c r="F774" s="10" t="inlineStr">
        <is>
          <t>Own trucks</t>
        </is>
      </c>
      <c r="G774" s="5" t="n">
        <v>46261</v>
      </c>
      <c r="H774" s="5" t="n">
        <v>46262</v>
      </c>
      <c r="I774" s="5" t="n">
        <v>46262</v>
      </c>
      <c r="J774" s="10" t="inlineStr">
        <is>
          <t>11:00</t>
        </is>
      </c>
      <c r="K774" s="10" t="inlineStr">
        <is>
          <t>On time</t>
        </is>
      </c>
      <c r="L774" s="6" t="n">
        <v>0</v>
      </c>
      <c r="M774" s="10" t="n"/>
      <c r="N774" s="6" t="n">
        <v>37</v>
      </c>
      <c r="O774" s="6" t="n">
        <v>4884</v>
      </c>
      <c r="P774" s="6" t="n">
        <v>1</v>
      </c>
      <c r="Q774" s="6">
        <f>IF(OR(K774="On time",K774="Late",K774="Very late"),1,0)</f>
        <v/>
      </c>
    </row>
    <row r="775">
      <c r="A775" s="10" t="inlineStr">
        <is>
          <t>DN318994</t>
        </is>
      </c>
      <c r="B775" s="10" t="inlineStr">
        <is>
          <t>SO62823</t>
        </is>
      </c>
      <c r="C775" s="10" t="inlineStr">
        <is>
          <t>C11247</t>
        </is>
      </c>
      <c r="D775" s="10">
        <f>INDEX(Customers!$B:$B,MATCH(C775,Customers!$A:$A,0))</f>
        <v/>
      </c>
      <c r="E775" s="10">
        <f>INDEX(Customers!$D:$D,MATCH(C775,Customers!$A:$A,0))</f>
        <v/>
      </c>
      <c r="F775" s="10" t="inlineStr">
        <is>
          <t>Own trucks</t>
        </is>
      </c>
      <c r="G775" s="5" t="n">
        <v>46261</v>
      </c>
      <c r="H775" s="5" t="n">
        <v>46262</v>
      </c>
      <c r="I775" s="5" t="n">
        <v>46262</v>
      </c>
      <c r="J775" s="10" t="inlineStr">
        <is>
          <t>14:20</t>
        </is>
      </c>
      <c r="K775" s="10" t="inlineStr">
        <is>
          <t>On time</t>
        </is>
      </c>
      <c r="L775" s="6" t="n">
        <v>0</v>
      </c>
      <c r="M775" s="10" t="n"/>
      <c r="N775" s="6" t="n">
        <v>40</v>
      </c>
      <c r="O775" s="6" t="n">
        <v>3080</v>
      </c>
      <c r="P775" s="6" t="n">
        <v>1</v>
      </c>
      <c r="Q775" s="6">
        <f>IF(OR(K775="On time",K775="Late",K775="Very late"),1,0)</f>
        <v/>
      </c>
    </row>
    <row r="776">
      <c r="A776" s="10" t="inlineStr">
        <is>
          <t>DN318995</t>
        </is>
      </c>
      <c r="B776" s="10" t="inlineStr">
        <is>
          <t>SO62824</t>
        </is>
      </c>
      <c r="C776" s="10" t="inlineStr">
        <is>
          <t>C11264</t>
        </is>
      </c>
      <c r="D776" s="10">
        <f>INDEX(Customers!$B:$B,MATCH(C776,Customers!$A:$A,0))</f>
        <v/>
      </c>
      <c r="E776" s="10">
        <f>INDEX(Customers!$D:$D,MATCH(C776,Customers!$A:$A,0))</f>
        <v/>
      </c>
      <c r="F776" s="10" t="inlineStr">
        <is>
          <t>Own trucks</t>
        </is>
      </c>
      <c r="G776" s="5" t="n">
        <v>46261</v>
      </c>
      <c r="H776" s="5" t="n">
        <v>46262</v>
      </c>
      <c r="I776" s="5" t="n">
        <v>46262</v>
      </c>
      <c r="J776" s="10" t="inlineStr">
        <is>
          <t>08:40</t>
        </is>
      </c>
      <c r="K776" s="10" t="inlineStr">
        <is>
          <t>On time</t>
        </is>
      </c>
      <c r="L776" s="6" t="n">
        <v>0</v>
      </c>
      <c r="M776" s="10" t="n"/>
      <c r="N776" s="6" t="n">
        <v>30</v>
      </c>
      <c r="O776" s="6" t="n">
        <v>2670</v>
      </c>
      <c r="P776" s="6" t="n">
        <v>1</v>
      </c>
      <c r="Q776" s="6">
        <f>IF(OR(K776="On time",K776="Late",K776="Very late"),1,0)</f>
        <v/>
      </c>
    </row>
    <row r="777">
      <c r="A777" s="10" t="inlineStr">
        <is>
          <t>DN318996</t>
        </is>
      </c>
      <c r="B777" s="10" t="inlineStr">
        <is>
          <t>SO62825</t>
        </is>
      </c>
      <c r="C777" s="10" t="inlineStr">
        <is>
          <t>C11314</t>
        </is>
      </c>
      <c r="D777" s="10">
        <f>INDEX(Customers!$B:$B,MATCH(C777,Customers!$A:$A,0))</f>
        <v/>
      </c>
      <c r="E777" s="10">
        <f>INDEX(Customers!$D:$D,MATCH(C777,Customers!$A:$A,0))</f>
        <v/>
      </c>
      <c r="F777" s="10" t="inlineStr">
        <is>
          <t>Own trucks</t>
        </is>
      </c>
      <c r="G777" s="5" t="n">
        <v>46261</v>
      </c>
      <c r="H777" s="5" t="n">
        <v>46262</v>
      </c>
      <c r="I777" s="5" t="n">
        <v>46262</v>
      </c>
      <c r="J777" s="10" t="inlineStr">
        <is>
          <t>15:20</t>
        </is>
      </c>
      <c r="K777" s="10" t="inlineStr">
        <is>
          <t>On time</t>
        </is>
      </c>
      <c r="L777" s="6" t="n">
        <v>0</v>
      </c>
      <c r="M777" s="10" t="n"/>
      <c r="N777" s="6" t="n">
        <v>16</v>
      </c>
      <c r="O777" s="6" t="n">
        <v>2192</v>
      </c>
      <c r="P777" s="6" t="n">
        <v>1</v>
      </c>
      <c r="Q777" s="6">
        <f>IF(OR(K777="On time",K777="Late",K777="Very late"),1,0)</f>
        <v/>
      </c>
    </row>
    <row r="778">
      <c r="A778" s="10" t="inlineStr">
        <is>
          <t>DN318997</t>
        </is>
      </c>
      <c r="B778" s="10" t="inlineStr">
        <is>
          <t>SO62827</t>
        </is>
      </c>
      <c r="C778" s="10" t="inlineStr">
        <is>
          <t>C11518</t>
        </is>
      </c>
      <c r="D778" s="10">
        <f>INDEX(Customers!$B:$B,MATCH(C778,Customers!$A:$A,0))</f>
        <v/>
      </c>
      <c r="E778" s="10">
        <f>INDEX(Customers!$D:$D,MATCH(C778,Customers!$A:$A,0))</f>
        <v/>
      </c>
      <c r="F778" s="10" t="inlineStr">
        <is>
          <t>Own trucks</t>
        </is>
      </c>
      <c r="G778" s="5" t="n">
        <v>46261</v>
      </c>
      <c r="H778" s="5" t="n">
        <v>46262</v>
      </c>
      <c r="I778" s="5" t="n">
        <v>46262</v>
      </c>
      <c r="J778" s="10" t="inlineStr">
        <is>
          <t>07:50</t>
        </is>
      </c>
      <c r="K778" s="10" t="inlineStr">
        <is>
          <t>On time</t>
        </is>
      </c>
      <c r="L778" s="6" t="n">
        <v>0</v>
      </c>
      <c r="M778" s="10" t="n"/>
      <c r="N778" s="6" t="n">
        <v>5</v>
      </c>
      <c r="O778" s="6" t="n">
        <v>550</v>
      </c>
      <c r="P778" s="6" t="n">
        <v>1</v>
      </c>
      <c r="Q778" s="6">
        <f>IF(OR(K778="On time",K778="Late",K778="Very late"),1,0)</f>
        <v/>
      </c>
    </row>
    <row r="779">
      <c r="A779" s="10" t="inlineStr">
        <is>
          <t>DN318998</t>
        </is>
      </c>
      <c r="B779" s="10" t="inlineStr">
        <is>
          <t>SO62828</t>
        </is>
      </c>
      <c r="C779" s="10" t="inlineStr">
        <is>
          <t>C11579</t>
        </is>
      </c>
      <c r="D779" s="10">
        <f>INDEX(Customers!$B:$B,MATCH(C779,Customers!$A:$A,0))</f>
        <v/>
      </c>
      <c r="E779" s="10">
        <f>INDEX(Customers!$D:$D,MATCH(C779,Customers!$A:$A,0))</f>
        <v/>
      </c>
      <c r="F779" s="10" t="inlineStr">
        <is>
          <t>Own trucks</t>
        </is>
      </c>
      <c r="G779" s="5" t="n">
        <v>46261</v>
      </c>
      <c r="H779" s="5" t="n">
        <v>46262</v>
      </c>
      <c r="I779" s="5" t="n">
        <v>46262</v>
      </c>
      <c r="J779" s="10" t="inlineStr">
        <is>
          <t>15:20</t>
        </is>
      </c>
      <c r="K779" s="10" t="inlineStr">
        <is>
          <t>On time</t>
        </is>
      </c>
      <c r="L779" s="6" t="n">
        <v>0</v>
      </c>
      <c r="M779" s="10" t="n"/>
      <c r="N779" s="6" t="n">
        <v>17</v>
      </c>
      <c r="O779" s="6" t="n">
        <v>2142</v>
      </c>
      <c r="P779" s="6" t="n">
        <v>1</v>
      </c>
      <c r="Q779" s="6">
        <f>IF(OR(K779="On time",K779="Late",K779="Very late"),1,0)</f>
        <v/>
      </c>
    </row>
    <row r="780">
      <c r="A780" s="10" t="inlineStr">
        <is>
          <t>DN318999</t>
        </is>
      </c>
      <c r="B780" s="10" t="inlineStr">
        <is>
          <t>SO62830</t>
        </is>
      </c>
      <c r="C780" s="10" t="inlineStr">
        <is>
          <t>C11666</t>
        </is>
      </c>
      <c r="D780" s="10">
        <f>INDEX(Customers!$B:$B,MATCH(C780,Customers!$A:$A,0))</f>
        <v/>
      </c>
      <c r="E780" s="10">
        <f>INDEX(Customers!$D:$D,MATCH(C780,Customers!$A:$A,0))</f>
        <v/>
      </c>
      <c r="F780" s="10" t="inlineStr">
        <is>
          <t>Own trucks</t>
        </is>
      </c>
      <c r="G780" s="5" t="n">
        <v>46261</v>
      </c>
      <c r="H780" s="5" t="n">
        <v>46262</v>
      </c>
      <c r="I780" s="5" t="n">
        <v>46262</v>
      </c>
      <c r="J780" s="10" t="inlineStr">
        <is>
          <t>10:20</t>
        </is>
      </c>
      <c r="K780" s="10" t="inlineStr">
        <is>
          <t>On time</t>
        </is>
      </c>
      <c r="L780" s="6" t="n">
        <v>0</v>
      </c>
      <c r="M780" s="10" t="n"/>
      <c r="N780" s="6" t="n">
        <v>40</v>
      </c>
      <c r="O780" s="6" t="n">
        <v>3360</v>
      </c>
      <c r="P780" s="6" t="n">
        <v>1</v>
      </c>
      <c r="Q780" s="6">
        <f>IF(OR(K780="On time",K780="Late",K780="Very late"),1,0)</f>
        <v/>
      </c>
    </row>
    <row r="781">
      <c r="A781" s="10" t="inlineStr">
        <is>
          <t>DN319000</t>
        </is>
      </c>
      <c r="B781" s="10" t="inlineStr">
        <is>
          <t>SO62831</t>
        </is>
      </c>
      <c r="C781" s="10" t="inlineStr">
        <is>
          <t>C11745</t>
        </is>
      </c>
      <c r="D781" s="10">
        <f>INDEX(Customers!$B:$B,MATCH(C781,Customers!$A:$A,0))</f>
        <v/>
      </c>
      <c r="E781" s="10">
        <f>INDEX(Customers!$D:$D,MATCH(C781,Customers!$A:$A,0))</f>
        <v/>
      </c>
      <c r="F781" s="10" t="inlineStr">
        <is>
          <t>Own trucks</t>
        </is>
      </c>
      <c r="G781" s="5" t="n">
        <v>46261</v>
      </c>
      <c r="H781" s="5" t="n">
        <v>46262</v>
      </c>
      <c r="I781" s="5" t="n">
        <v>46262</v>
      </c>
      <c r="J781" s="10" t="inlineStr">
        <is>
          <t>10:20</t>
        </is>
      </c>
      <c r="K781" s="10" t="inlineStr">
        <is>
          <t>On time</t>
        </is>
      </c>
      <c r="L781" s="6" t="n">
        <v>0</v>
      </c>
      <c r="M781" s="10" t="n"/>
      <c r="N781" s="6" t="n">
        <v>8</v>
      </c>
      <c r="O781" s="6" t="n">
        <v>496</v>
      </c>
      <c r="P781" s="6" t="n">
        <v>1</v>
      </c>
      <c r="Q781" s="6">
        <f>IF(OR(K781="On time",K781="Late",K781="Very late"),1,0)</f>
        <v/>
      </c>
    </row>
    <row r="782">
      <c r="A782" s="10" t="inlineStr">
        <is>
          <t>DN319001</t>
        </is>
      </c>
      <c r="B782" s="10" t="inlineStr">
        <is>
          <t>SO62833</t>
        </is>
      </c>
      <c r="C782" s="10" t="inlineStr">
        <is>
          <t>C11866</t>
        </is>
      </c>
      <c r="D782" s="10">
        <f>INDEX(Customers!$B:$B,MATCH(C782,Customers!$A:$A,0))</f>
        <v/>
      </c>
      <c r="E782" s="10">
        <f>INDEX(Customers!$D:$D,MATCH(C782,Customers!$A:$A,0))</f>
        <v/>
      </c>
      <c r="F782" s="10" t="inlineStr">
        <is>
          <t>Carrier A</t>
        </is>
      </c>
      <c r="G782" s="5" t="n">
        <v>46261</v>
      </c>
      <c r="H782" s="5" t="n">
        <v>46262</v>
      </c>
      <c r="I782" s="5" t="n">
        <v>46262</v>
      </c>
      <c r="J782" s="10" t="inlineStr">
        <is>
          <t>10:40</t>
        </is>
      </c>
      <c r="K782" s="10" t="inlineStr">
        <is>
          <t>On time</t>
        </is>
      </c>
      <c r="L782" s="6" t="n">
        <v>0</v>
      </c>
      <c r="M782" s="10" t="n"/>
      <c r="N782" s="6" t="n">
        <v>29</v>
      </c>
      <c r="O782" s="6" t="n">
        <v>2610</v>
      </c>
      <c r="P782" s="6" t="n">
        <v>1</v>
      </c>
      <c r="Q782" s="6">
        <f>IF(OR(K782="On time",K782="Late",K782="Very late"),1,0)</f>
        <v/>
      </c>
    </row>
    <row r="783">
      <c r="A783" s="10" t="inlineStr">
        <is>
          <t>DN319002</t>
        </is>
      </c>
      <c r="B783" s="10" t="inlineStr">
        <is>
          <t>SO62834</t>
        </is>
      </c>
      <c r="C783" s="10" t="inlineStr">
        <is>
          <t>C11910</t>
        </is>
      </c>
      <c r="D783" s="10">
        <f>INDEX(Customers!$B:$B,MATCH(C783,Customers!$A:$A,0))</f>
        <v/>
      </c>
      <c r="E783" s="10">
        <f>INDEX(Customers!$D:$D,MATCH(C783,Customers!$A:$A,0))</f>
        <v/>
      </c>
      <c r="F783" s="10" t="inlineStr">
        <is>
          <t>Carrier A</t>
        </is>
      </c>
      <c r="G783" s="5" t="n">
        <v>46261</v>
      </c>
      <c r="H783" s="5" t="n">
        <v>46262</v>
      </c>
      <c r="I783" s="5" t="n">
        <v>46262</v>
      </c>
      <c r="J783" s="10" t="inlineStr">
        <is>
          <t>07:50</t>
        </is>
      </c>
      <c r="K783" s="10" t="inlineStr">
        <is>
          <t>On time</t>
        </is>
      </c>
      <c r="L783" s="6" t="n">
        <v>0</v>
      </c>
      <c r="M783" s="10" t="n"/>
      <c r="N783" s="6" t="n">
        <v>28</v>
      </c>
      <c r="O783" s="6" t="n">
        <v>2408</v>
      </c>
      <c r="P783" s="6" t="n">
        <v>1</v>
      </c>
      <c r="Q783" s="6">
        <f>IF(OR(K783="On time",K783="Late",K783="Very late"),1,0)</f>
        <v/>
      </c>
    </row>
    <row r="784">
      <c r="A784" s="10" t="inlineStr">
        <is>
          <t>DN319003</t>
        </is>
      </c>
      <c r="B784" s="10" t="inlineStr">
        <is>
          <t>SO62835</t>
        </is>
      </c>
      <c r="C784" s="10" t="inlineStr">
        <is>
          <t>C11950</t>
        </is>
      </c>
      <c r="D784" s="10">
        <f>INDEX(Customers!$B:$B,MATCH(C784,Customers!$A:$A,0))</f>
        <v/>
      </c>
      <c r="E784" s="10">
        <f>INDEX(Customers!$D:$D,MATCH(C784,Customers!$A:$A,0))</f>
        <v/>
      </c>
      <c r="F784" s="10" t="inlineStr">
        <is>
          <t>Carrier A</t>
        </is>
      </c>
      <c r="G784" s="5" t="n">
        <v>46261</v>
      </c>
      <c r="H784" s="5" t="n">
        <v>46262</v>
      </c>
      <c r="I784" s="5" t="n">
        <v>46262</v>
      </c>
      <c r="J784" s="10" t="inlineStr">
        <is>
          <t>12:00</t>
        </is>
      </c>
      <c r="K784" s="10" t="inlineStr">
        <is>
          <t>On time</t>
        </is>
      </c>
      <c r="L784" s="6" t="n">
        <v>0</v>
      </c>
      <c r="M784" s="10" t="n"/>
      <c r="N784" s="6" t="n">
        <v>2</v>
      </c>
      <c r="O784" s="6" t="n">
        <v>236</v>
      </c>
      <c r="P784" s="6" t="n">
        <v>1</v>
      </c>
      <c r="Q784" s="6">
        <f>IF(OR(K784="On time",K784="Late",K784="Very late"),1,0)</f>
        <v/>
      </c>
    </row>
    <row r="785">
      <c r="A785" s="10" t="inlineStr">
        <is>
          <t>DN319004</t>
        </is>
      </c>
      <c r="B785" s="10" t="inlineStr">
        <is>
          <t>SO62836</t>
        </is>
      </c>
      <c r="C785" s="10" t="inlineStr">
        <is>
          <t>C11971</t>
        </is>
      </c>
      <c r="D785" s="10">
        <f>INDEX(Customers!$B:$B,MATCH(C785,Customers!$A:$A,0))</f>
        <v/>
      </c>
      <c r="E785" s="10">
        <f>INDEX(Customers!$D:$D,MATCH(C785,Customers!$A:$A,0))</f>
        <v/>
      </c>
      <c r="F785" s="10" t="inlineStr">
        <is>
          <t>Own trucks</t>
        </is>
      </c>
      <c r="G785" s="5" t="n">
        <v>46261</v>
      </c>
      <c r="H785" s="5" t="n">
        <v>46262</v>
      </c>
      <c r="I785" s="5" t="n">
        <v>46262</v>
      </c>
      <c r="J785" s="10" t="inlineStr">
        <is>
          <t>09:40</t>
        </is>
      </c>
      <c r="K785" s="10" t="inlineStr">
        <is>
          <t>On time</t>
        </is>
      </c>
      <c r="L785" s="6" t="n">
        <v>0</v>
      </c>
      <c r="M785" s="10" t="n"/>
      <c r="N785" s="6" t="n">
        <v>30</v>
      </c>
      <c r="O785" s="6" t="n">
        <v>1650</v>
      </c>
      <c r="P785" s="6" t="n">
        <v>1</v>
      </c>
      <c r="Q785" s="6">
        <f>IF(OR(K785="On time",K785="Late",K785="Very late"),1,0)</f>
        <v/>
      </c>
    </row>
    <row r="786">
      <c r="A786" s="10" t="inlineStr">
        <is>
          <t>DN319005</t>
        </is>
      </c>
      <c r="B786" s="10" t="inlineStr">
        <is>
          <t>SO62837</t>
        </is>
      </c>
      <c r="C786" s="10" t="inlineStr">
        <is>
          <t>C12037</t>
        </is>
      </c>
      <c r="D786" s="10">
        <f>INDEX(Customers!$B:$B,MATCH(C786,Customers!$A:$A,0))</f>
        <v/>
      </c>
      <c r="E786" s="10">
        <f>INDEX(Customers!$D:$D,MATCH(C786,Customers!$A:$A,0))</f>
        <v/>
      </c>
      <c r="F786" s="10" t="inlineStr">
        <is>
          <t>Own trucks</t>
        </is>
      </c>
      <c r="G786" s="5" t="n">
        <v>46261</v>
      </c>
      <c r="H786" s="5" t="n">
        <v>46262</v>
      </c>
      <c r="I786" s="5" t="n">
        <v>46262</v>
      </c>
      <c r="J786" s="10" t="inlineStr">
        <is>
          <t>12:40</t>
        </is>
      </c>
      <c r="K786" s="10" t="inlineStr">
        <is>
          <t>On time</t>
        </is>
      </c>
      <c r="L786" s="6" t="n">
        <v>0</v>
      </c>
      <c r="M786" s="10" t="n"/>
      <c r="N786" s="6" t="n">
        <v>28</v>
      </c>
      <c r="O786" s="6" t="n">
        <v>2464</v>
      </c>
      <c r="P786" s="6" t="n">
        <v>1</v>
      </c>
      <c r="Q786" s="6">
        <f>IF(OR(K786="On time",K786="Late",K786="Very late"),1,0)</f>
        <v/>
      </c>
    </row>
    <row r="787">
      <c r="A787" s="10" t="inlineStr">
        <is>
          <t>DN319006</t>
        </is>
      </c>
      <c r="B787" s="10" t="inlineStr">
        <is>
          <t>SO62838</t>
        </is>
      </c>
      <c r="C787" s="10" t="inlineStr">
        <is>
          <t>C12103</t>
        </is>
      </c>
      <c r="D787" s="10">
        <f>INDEX(Customers!$B:$B,MATCH(C787,Customers!$A:$A,0))</f>
        <v/>
      </c>
      <c r="E787" s="10">
        <f>INDEX(Customers!$D:$D,MATCH(C787,Customers!$A:$A,0))</f>
        <v/>
      </c>
      <c r="F787" s="10" t="inlineStr">
        <is>
          <t>Own trucks</t>
        </is>
      </c>
      <c r="G787" s="5" t="n">
        <v>46261</v>
      </c>
      <c r="H787" s="5" t="n">
        <v>46262</v>
      </c>
      <c r="I787" s="5" t="n">
        <v>46262</v>
      </c>
      <c r="J787" s="10" t="inlineStr">
        <is>
          <t>08:30</t>
        </is>
      </c>
      <c r="K787" s="10" t="inlineStr">
        <is>
          <t>On time</t>
        </is>
      </c>
      <c r="L787" s="6" t="n">
        <v>0</v>
      </c>
      <c r="M787" s="10" t="n"/>
      <c r="N787" s="6" t="n">
        <v>19</v>
      </c>
      <c r="O787" s="6" t="n">
        <v>1216</v>
      </c>
      <c r="P787" s="6" t="n">
        <v>1</v>
      </c>
      <c r="Q787" s="6">
        <f>IF(OR(K787="On time",K787="Late",K787="Very late"),1,0)</f>
        <v/>
      </c>
    </row>
    <row r="788">
      <c r="A788" s="10" t="inlineStr">
        <is>
          <t>DN319007</t>
        </is>
      </c>
      <c r="B788" s="10" t="inlineStr">
        <is>
          <t>SO62839</t>
        </is>
      </c>
      <c r="C788" s="10" t="inlineStr">
        <is>
          <t>C12183</t>
        </is>
      </c>
      <c r="D788" s="10">
        <f>INDEX(Customers!$B:$B,MATCH(C788,Customers!$A:$A,0))</f>
        <v/>
      </c>
      <c r="E788" s="10">
        <f>INDEX(Customers!$D:$D,MATCH(C788,Customers!$A:$A,0))</f>
        <v/>
      </c>
      <c r="F788" s="10" t="inlineStr">
        <is>
          <t>Carrier B</t>
        </is>
      </c>
      <c r="G788" s="5" t="n">
        <v>46261</v>
      </c>
      <c r="H788" s="5" t="n">
        <v>46262</v>
      </c>
      <c r="I788" s="5" t="n">
        <v>46262</v>
      </c>
      <c r="J788" s="10" t="inlineStr">
        <is>
          <t>09:30</t>
        </is>
      </c>
      <c r="K788" s="10" t="inlineStr">
        <is>
          <t>On time</t>
        </is>
      </c>
      <c r="L788" s="6" t="n">
        <v>0</v>
      </c>
      <c r="M788" s="10" t="n"/>
      <c r="N788" s="6" t="n">
        <v>11</v>
      </c>
      <c r="O788" s="6" t="n">
        <v>1320</v>
      </c>
      <c r="P788" s="6" t="n">
        <v>1</v>
      </c>
      <c r="Q788" s="6">
        <f>IF(OR(K788="On time",K788="Late",K788="Very late"),1,0)</f>
        <v/>
      </c>
    </row>
    <row r="789">
      <c r="A789" s="10" t="inlineStr">
        <is>
          <t>DN319008</t>
        </is>
      </c>
      <c r="B789" s="10" t="inlineStr">
        <is>
          <t>SO62840</t>
        </is>
      </c>
      <c r="C789" s="10" t="inlineStr">
        <is>
          <t>C12239</t>
        </is>
      </c>
      <c r="D789" s="10">
        <f>INDEX(Customers!$B:$B,MATCH(C789,Customers!$A:$A,0))</f>
        <v/>
      </c>
      <c r="E789" s="10">
        <f>INDEX(Customers!$D:$D,MATCH(C789,Customers!$A:$A,0))</f>
        <v/>
      </c>
      <c r="F789" s="10" t="inlineStr">
        <is>
          <t>Carrier B</t>
        </is>
      </c>
      <c r="G789" s="5" t="n">
        <v>46261</v>
      </c>
      <c r="H789" s="5" t="n">
        <v>46262</v>
      </c>
      <c r="I789" s="5" t="n">
        <v>46262</v>
      </c>
      <c r="J789" s="10" t="inlineStr">
        <is>
          <t>08:30</t>
        </is>
      </c>
      <c r="K789" s="10" t="inlineStr">
        <is>
          <t>On time</t>
        </is>
      </c>
      <c r="L789" s="6" t="n">
        <v>0</v>
      </c>
      <c r="M789" s="10" t="n"/>
      <c r="N789" s="6" t="n">
        <v>9</v>
      </c>
      <c r="O789" s="6" t="n">
        <v>612</v>
      </c>
      <c r="P789" s="6" t="n">
        <v>1</v>
      </c>
      <c r="Q789" s="6">
        <f>IF(OR(K789="On time",K789="Late",K789="Very late"),1,0)</f>
        <v/>
      </c>
    </row>
    <row r="790">
      <c r="A790" s="10" t="inlineStr">
        <is>
          <t>DN319009</t>
        </is>
      </c>
      <c r="B790" s="10" t="inlineStr">
        <is>
          <t>SO62841</t>
        </is>
      </c>
      <c r="C790" s="10" t="inlineStr">
        <is>
          <t>C12262</t>
        </is>
      </c>
      <c r="D790" s="10">
        <f>INDEX(Customers!$B:$B,MATCH(C790,Customers!$A:$A,0))</f>
        <v/>
      </c>
      <c r="E790" s="10">
        <f>INDEX(Customers!$D:$D,MATCH(C790,Customers!$A:$A,0))</f>
        <v/>
      </c>
      <c r="F790" s="10" t="inlineStr">
        <is>
          <t>Carrier B</t>
        </is>
      </c>
      <c r="G790" s="5" t="n">
        <v>46261</v>
      </c>
      <c r="H790" s="5" t="n">
        <v>46262</v>
      </c>
      <c r="I790" s="5" t="n">
        <v>46262</v>
      </c>
      <c r="J790" s="10" t="inlineStr">
        <is>
          <t>11:40</t>
        </is>
      </c>
      <c r="K790" s="10" t="inlineStr">
        <is>
          <t>On time</t>
        </is>
      </c>
      <c r="L790" s="6" t="n">
        <v>0</v>
      </c>
      <c r="M790" s="10" t="n"/>
      <c r="N790" s="6" t="n">
        <v>13</v>
      </c>
      <c r="O790" s="6" t="n">
        <v>1469</v>
      </c>
      <c r="P790" s="6" t="n">
        <v>1</v>
      </c>
      <c r="Q790" s="6">
        <f>IF(OR(K790="On time",K790="Late",K790="Very late"),1,0)</f>
        <v/>
      </c>
    </row>
    <row r="791">
      <c r="A791" s="10" t="inlineStr">
        <is>
          <t>DN319010</t>
        </is>
      </c>
      <c r="B791" s="10" t="inlineStr">
        <is>
          <t>SO62842</t>
        </is>
      </c>
      <c r="C791" s="10" t="inlineStr">
        <is>
          <t>C12305</t>
        </is>
      </c>
      <c r="D791" s="10">
        <f>INDEX(Customers!$B:$B,MATCH(C791,Customers!$A:$A,0))</f>
        <v/>
      </c>
      <c r="E791" s="10">
        <f>INDEX(Customers!$D:$D,MATCH(C791,Customers!$A:$A,0))</f>
        <v/>
      </c>
      <c r="F791" s="10" t="inlineStr">
        <is>
          <t>Carrier B</t>
        </is>
      </c>
      <c r="G791" s="5" t="n">
        <v>46261</v>
      </c>
      <c r="H791" s="5" t="n">
        <v>46262</v>
      </c>
      <c r="I791" s="5" t="n">
        <v>46262</v>
      </c>
      <c r="J791" s="10" t="inlineStr">
        <is>
          <t>12:00</t>
        </is>
      </c>
      <c r="K791" s="10" t="inlineStr">
        <is>
          <t>On time</t>
        </is>
      </c>
      <c r="L791" s="6" t="n">
        <v>0</v>
      </c>
      <c r="M791" s="10" t="n"/>
      <c r="N791" s="6" t="n">
        <v>14</v>
      </c>
      <c r="O791" s="6" t="n">
        <v>1134</v>
      </c>
      <c r="P791" s="6" t="n">
        <v>1</v>
      </c>
      <c r="Q791" s="6">
        <f>IF(OR(K791="On time",K791="Late",K791="Very late"),1,0)</f>
        <v/>
      </c>
    </row>
    <row r="792">
      <c r="A792" s="10" t="inlineStr">
        <is>
          <t>DN319011</t>
        </is>
      </c>
      <c r="B792" s="10" t="inlineStr">
        <is>
          <t>SO62843</t>
        </is>
      </c>
      <c r="C792" s="10" t="inlineStr">
        <is>
          <t>C12371</t>
        </is>
      </c>
      <c r="D792" s="10">
        <f>INDEX(Customers!$B:$B,MATCH(C792,Customers!$A:$A,0))</f>
        <v/>
      </c>
      <c r="E792" s="10">
        <f>INDEX(Customers!$D:$D,MATCH(C792,Customers!$A:$A,0))</f>
        <v/>
      </c>
      <c r="F792" s="10" t="inlineStr">
        <is>
          <t>Carrier A</t>
        </is>
      </c>
      <c r="G792" s="5" t="n">
        <v>46261</v>
      </c>
      <c r="H792" s="5" t="n">
        <v>46262</v>
      </c>
      <c r="I792" s="5" t="n">
        <v>46262</v>
      </c>
      <c r="J792" s="10" t="inlineStr">
        <is>
          <t>11:00</t>
        </is>
      </c>
      <c r="K792" s="10" t="inlineStr">
        <is>
          <t>On time</t>
        </is>
      </c>
      <c r="L792" s="6" t="n">
        <v>0</v>
      </c>
      <c r="M792" s="10" t="n"/>
      <c r="N792" s="6" t="n">
        <v>32</v>
      </c>
      <c r="O792" s="6" t="n">
        <v>3872</v>
      </c>
      <c r="P792" s="6" t="n">
        <v>1</v>
      </c>
      <c r="Q792" s="6">
        <f>IF(OR(K792="On time",K792="Late",K792="Very late"),1,0)</f>
        <v/>
      </c>
    </row>
    <row r="793">
      <c r="A793" s="10" t="inlineStr">
        <is>
          <t>DN319013</t>
        </is>
      </c>
      <c r="B793" s="10" t="inlineStr">
        <is>
          <t>SO62844</t>
        </is>
      </c>
      <c r="C793" s="10" t="inlineStr">
        <is>
          <t>C12393</t>
        </is>
      </c>
      <c r="D793" s="10">
        <f>INDEX(Customers!$B:$B,MATCH(C793,Customers!$A:$A,0))</f>
        <v/>
      </c>
      <c r="E793" s="10">
        <f>INDEX(Customers!$D:$D,MATCH(C793,Customers!$A:$A,0))</f>
        <v/>
      </c>
      <c r="F793" s="10" t="inlineStr">
        <is>
          <t>Carrier A</t>
        </is>
      </c>
      <c r="G793" s="5" t="n">
        <v>46261</v>
      </c>
      <c r="H793" s="5" t="n">
        <v>46262</v>
      </c>
      <c r="I793" s="5" t="n">
        <v>46262</v>
      </c>
      <c r="J793" s="10" t="inlineStr">
        <is>
          <t>10:50</t>
        </is>
      </c>
      <c r="K793" s="10" t="inlineStr">
        <is>
          <t>On time</t>
        </is>
      </c>
      <c r="L793" s="6" t="n">
        <v>0</v>
      </c>
      <c r="M793" s="10" t="n"/>
      <c r="N793" s="6" t="n">
        <v>38</v>
      </c>
      <c r="O793" s="6" t="n">
        <v>3192</v>
      </c>
      <c r="P793" s="6" t="n">
        <v>1</v>
      </c>
      <c r="Q793" s="6">
        <f>IF(OR(K793="On time",K793="Late",K793="Very late"),1,0)</f>
        <v/>
      </c>
    </row>
    <row r="794">
      <c r="A794" s="10" t="inlineStr">
        <is>
          <t>DN319014</t>
        </is>
      </c>
      <c r="B794" s="10" t="inlineStr">
        <is>
          <t>SO62845</t>
        </is>
      </c>
      <c r="C794" s="10" t="inlineStr">
        <is>
          <t>C12420</t>
        </is>
      </c>
      <c r="D794" s="10">
        <f>INDEX(Customers!$B:$B,MATCH(C794,Customers!$A:$A,0))</f>
        <v/>
      </c>
      <c r="E794" s="10">
        <f>INDEX(Customers!$D:$D,MATCH(C794,Customers!$A:$A,0))</f>
        <v/>
      </c>
      <c r="F794" s="10" t="inlineStr">
        <is>
          <t>Carrier A</t>
        </is>
      </c>
      <c r="G794" s="5" t="n">
        <v>46261</v>
      </c>
      <c r="H794" s="5" t="n">
        <v>46262</v>
      </c>
      <c r="I794" s="5" t="n">
        <v>46262</v>
      </c>
      <c r="J794" s="10" t="inlineStr">
        <is>
          <t>09:40</t>
        </is>
      </c>
      <c r="K794" s="10" t="inlineStr">
        <is>
          <t>On time</t>
        </is>
      </c>
      <c r="L794" s="6" t="n">
        <v>0</v>
      </c>
      <c r="M794" s="10" t="n"/>
      <c r="N794" s="6" t="n">
        <v>5</v>
      </c>
      <c r="O794" s="6" t="n">
        <v>355</v>
      </c>
      <c r="P794" s="6" t="n">
        <v>1</v>
      </c>
      <c r="Q794" s="6">
        <f>IF(OR(K794="On time",K794="Late",K794="Very late"),1,0)</f>
        <v/>
      </c>
    </row>
    <row r="795">
      <c r="A795" s="10" t="inlineStr">
        <is>
          <t>DN319015</t>
        </is>
      </c>
      <c r="B795" s="10" t="inlineStr">
        <is>
          <t>SO62846</t>
        </is>
      </c>
      <c r="C795" s="10" t="inlineStr">
        <is>
          <t>C12527</t>
        </is>
      </c>
      <c r="D795" s="10">
        <f>INDEX(Customers!$B:$B,MATCH(C795,Customers!$A:$A,0))</f>
        <v/>
      </c>
      <c r="E795" s="10">
        <f>INDEX(Customers!$D:$D,MATCH(C795,Customers!$A:$A,0))</f>
        <v/>
      </c>
      <c r="F795" s="10" t="inlineStr">
        <is>
          <t>Carrier A</t>
        </is>
      </c>
      <c r="G795" s="5" t="n">
        <v>46261</v>
      </c>
      <c r="H795" s="5" t="n">
        <v>46262</v>
      </c>
      <c r="I795" s="5" t="n">
        <v>46262</v>
      </c>
      <c r="J795" s="10" t="inlineStr">
        <is>
          <t>16:50</t>
        </is>
      </c>
      <c r="K795" s="10" t="inlineStr">
        <is>
          <t>On time</t>
        </is>
      </c>
      <c r="L795" s="6" t="n">
        <v>0</v>
      </c>
      <c r="M795" s="10" t="n"/>
      <c r="N795" s="6" t="n">
        <v>11</v>
      </c>
      <c r="O795" s="6" t="n">
        <v>847</v>
      </c>
      <c r="P795" s="6" t="n">
        <v>1</v>
      </c>
      <c r="Q795" s="6">
        <f>IF(OR(K795="On time",K795="Late",K795="Very late"),1,0)</f>
        <v/>
      </c>
    </row>
    <row r="796">
      <c r="A796" s="10" t="inlineStr">
        <is>
          <t>DN319016</t>
        </is>
      </c>
      <c r="B796" s="10" t="inlineStr">
        <is>
          <t>SO62847</t>
        </is>
      </c>
      <c r="C796" s="10" t="inlineStr">
        <is>
          <t>C12543</t>
        </is>
      </c>
      <c r="D796" s="10">
        <f>INDEX(Customers!$B:$B,MATCH(C796,Customers!$A:$A,0))</f>
        <v/>
      </c>
      <c r="E796" s="10">
        <f>INDEX(Customers!$D:$D,MATCH(C796,Customers!$A:$A,0))</f>
        <v/>
      </c>
      <c r="F796" s="10" t="inlineStr">
        <is>
          <t>Carrier B</t>
        </is>
      </c>
      <c r="G796" s="5" t="n">
        <v>46260</v>
      </c>
      <c r="H796" s="5" t="n">
        <v>46262</v>
      </c>
      <c r="I796" s="5" t="n">
        <v>46262</v>
      </c>
      <c r="J796" s="10" t="inlineStr">
        <is>
          <t>09:10</t>
        </is>
      </c>
      <c r="K796" s="10" t="inlineStr">
        <is>
          <t>On time</t>
        </is>
      </c>
      <c r="L796" s="6" t="n">
        <v>0</v>
      </c>
      <c r="M796" s="10" t="n"/>
      <c r="N796" s="6" t="n">
        <v>23</v>
      </c>
      <c r="O796" s="6" t="n">
        <v>1518</v>
      </c>
      <c r="P796" s="6" t="n">
        <v>1</v>
      </c>
      <c r="Q796" s="6">
        <f>IF(OR(K796="On time",K796="Late",K796="Very late"),1,0)</f>
        <v/>
      </c>
    </row>
    <row r="797">
      <c r="A797" s="10" t="inlineStr">
        <is>
          <t>DN319017</t>
        </is>
      </c>
      <c r="B797" s="10" t="inlineStr">
        <is>
          <t>SO62848</t>
        </is>
      </c>
      <c r="C797" s="10" t="inlineStr">
        <is>
          <t>C12617</t>
        </is>
      </c>
      <c r="D797" s="10">
        <f>INDEX(Customers!$B:$B,MATCH(C797,Customers!$A:$A,0))</f>
        <v/>
      </c>
      <c r="E797" s="10">
        <f>INDEX(Customers!$D:$D,MATCH(C797,Customers!$A:$A,0))</f>
        <v/>
      </c>
      <c r="F797" s="10" t="inlineStr">
        <is>
          <t>Carrier B</t>
        </is>
      </c>
      <c r="G797" s="5" t="n">
        <v>46260</v>
      </c>
      <c r="H797" s="5" t="n">
        <v>46262</v>
      </c>
      <c r="I797" s="5" t="n">
        <v>46262</v>
      </c>
      <c r="J797" s="10" t="inlineStr">
        <is>
          <t>11:10</t>
        </is>
      </c>
      <c r="K797" s="10" t="inlineStr">
        <is>
          <t>On time</t>
        </is>
      </c>
      <c r="L797" s="6" t="n">
        <v>0</v>
      </c>
      <c r="M797" s="10" t="n"/>
      <c r="N797" s="6" t="n">
        <v>35</v>
      </c>
      <c r="O797" s="6" t="n">
        <v>2730</v>
      </c>
      <c r="P797" s="6" t="n">
        <v>1</v>
      </c>
      <c r="Q797" s="6">
        <f>IF(OR(K797="On time",K797="Late",K797="Very late"),1,0)</f>
        <v/>
      </c>
    </row>
    <row r="798">
      <c r="A798" s="10" t="inlineStr">
        <is>
          <t>DN319018</t>
        </is>
      </c>
      <c r="B798" s="10" t="inlineStr">
        <is>
          <t>SO62849</t>
        </is>
      </c>
      <c r="C798" s="10" t="inlineStr">
        <is>
          <t>C12631</t>
        </is>
      </c>
      <c r="D798" s="10">
        <f>INDEX(Customers!$B:$B,MATCH(C798,Customers!$A:$A,0))</f>
        <v/>
      </c>
      <c r="E798" s="10">
        <f>INDEX(Customers!$D:$D,MATCH(C798,Customers!$A:$A,0))</f>
        <v/>
      </c>
      <c r="F798" s="10" t="inlineStr">
        <is>
          <t>Carrier B</t>
        </is>
      </c>
      <c r="G798" s="5" t="n">
        <v>46260</v>
      </c>
      <c r="H798" s="5" t="n">
        <v>46262</v>
      </c>
      <c r="I798" s="5" t="n">
        <v>46262</v>
      </c>
      <c r="J798" s="10" t="inlineStr">
        <is>
          <t>09:20</t>
        </is>
      </c>
      <c r="K798" s="10" t="inlineStr">
        <is>
          <t>On time</t>
        </is>
      </c>
      <c r="L798" s="6" t="n">
        <v>0</v>
      </c>
      <c r="M798" s="10" t="n"/>
      <c r="N798" s="6" t="n">
        <v>5</v>
      </c>
      <c r="O798" s="6" t="n">
        <v>465</v>
      </c>
      <c r="P798" s="6" t="n">
        <v>1</v>
      </c>
      <c r="Q798" s="6">
        <f>IF(OR(K798="On time",K798="Late",K798="Very late"),1,0)</f>
        <v/>
      </c>
    </row>
    <row r="799">
      <c r="A799" s="10" t="inlineStr">
        <is>
          <t>DN319019</t>
        </is>
      </c>
      <c r="B799" s="10" t="inlineStr">
        <is>
          <t>SO62850</t>
        </is>
      </c>
      <c r="C799" s="10" t="inlineStr">
        <is>
          <t>C12639</t>
        </is>
      </c>
      <c r="D799" s="10">
        <f>INDEX(Customers!$B:$B,MATCH(C799,Customers!$A:$A,0))</f>
        <v/>
      </c>
      <c r="E799" s="10">
        <f>INDEX(Customers!$D:$D,MATCH(C799,Customers!$A:$A,0))</f>
        <v/>
      </c>
      <c r="F799" s="10" t="inlineStr">
        <is>
          <t>Carrier B</t>
        </is>
      </c>
      <c r="G799" s="5" t="n">
        <v>46260</v>
      </c>
      <c r="H799" s="5" t="n">
        <v>46262</v>
      </c>
      <c r="I799" s="5" t="n">
        <v>46262</v>
      </c>
      <c r="J799" s="10" t="inlineStr">
        <is>
          <t>14:40</t>
        </is>
      </c>
      <c r="K799" s="10" t="inlineStr">
        <is>
          <t>On time</t>
        </is>
      </c>
      <c r="L799" s="6" t="n">
        <v>0</v>
      </c>
      <c r="M799" s="10" t="n"/>
      <c r="N799" s="6" t="n">
        <v>3</v>
      </c>
      <c r="O799" s="6" t="n">
        <v>321</v>
      </c>
      <c r="P799" s="6" t="n">
        <v>1</v>
      </c>
      <c r="Q799" s="6">
        <f>IF(OR(K799="On time",K799="Late",K799="Very late"),1,0)</f>
        <v/>
      </c>
    </row>
    <row r="800">
      <c r="A800" s="10" t="inlineStr">
        <is>
          <t>DN319020</t>
        </is>
      </c>
      <c r="B800" s="10" t="inlineStr">
        <is>
          <t>SO62852</t>
        </is>
      </c>
      <c r="C800" s="10" t="inlineStr">
        <is>
          <t>C12675</t>
        </is>
      </c>
      <c r="D800" s="10">
        <f>INDEX(Customers!$B:$B,MATCH(C800,Customers!$A:$A,0))</f>
        <v/>
      </c>
      <c r="E800" s="10">
        <f>INDEX(Customers!$D:$D,MATCH(C800,Customers!$A:$A,0))</f>
        <v/>
      </c>
      <c r="F800" s="10" t="inlineStr">
        <is>
          <t>Carrier B</t>
        </is>
      </c>
      <c r="G800" s="5" t="n">
        <v>46260</v>
      </c>
      <c r="H800" s="5" t="n">
        <v>46262</v>
      </c>
      <c r="I800" s="5" t="n">
        <v>46262</v>
      </c>
      <c r="J800" s="10" t="inlineStr">
        <is>
          <t>11:00</t>
        </is>
      </c>
      <c r="K800" s="10" t="inlineStr">
        <is>
          <t>On time</t>
        </is>
      </c>
      <c r="L800" s="6" t="n">
        <v>0</v>
      </c>
      <c r="M800" s="10" t="n"/>
      <c r="N800" s="6" t="n">
        <v>23</v>
      </c>
      <c r="O800" s="6" t="n">
        <v>2415</v>
      </c>
      <c r="P800" s="6" t="n">
        <v>1</v>
      </c>
      <c r="Q800" s="6">
        <f>IF(OR(K800="On time",K800="Late",K800="Very late"),1,0)</f>
        <v/>
      </c>
    </row>
    <row r="801">
      <c r="A801" s="10" t="inlineStr">
        <is>
          <t>DN319021</t>
        </is>
      </c>
      <c r="B801" s="10" t="inlineStr">
        <is>
          <t>SO62853</t>
        </is>
      </c>
      <c r="C801" s="10" t="inlineStr">
        <is>
          <t>C10322</t>
        </is>
      </c>
      <c r="D801" s="10">
        <f>INDEX(Customers!$B:$B,MATCH(C801,Customers!$A:$A,0))</f>
        <v/>
      </c>
      <c r="E801" s="10">
        <f>INDEX(Customers!$D:$D,MATCH(C801,Customers!$A:$A,0))</f>
        <v/>
      </c>
      <c r="F801" s="10" t="inlineStr">
        <is>
          <t>Own trucks</t>
        </is>
      </c>
      <c r="G801" s="5" t="n">
        <v>46262</v>
      </c>
      <c r="H801" s="5" t="n">
        <v>46265</v>
      </c>
      <c r="I801" s="5" t="n">
        <v>46265</v>
      </c>
      <c r="J801" s="10" t="inlineStr">
        <is>
          <t>07:30</t>
        </is>
      </c>
      <c r="K801" s="10" t="inlineStr">
        <is>
          <t>On time</t>
        </is>
      </c>
      <c r="L801" s="6" t="n">
        <v>0</v>
      </c>
      <c r="M801" s="10" t="n"/>
      <c r="N801" s="6" t="n">
        <v>10</v>
      </c>
      <c r="O801" s="6" t="n">
        <v>1250</v>
      </c>
      <c r="P801" s="6" t="n">
        <v>1</v>
      </c>
      <c r="Q801" s="6">
        <f>IF(OR(K801="On time",K801="Late",K801="Very late"),1,0)</f>
        <v/>
      </c>
    </row>
    <row r="802">
      <c r="A802" s="10" t="inlineStr">
        <is>
          <t>DN319022</t>
        </is>
      </c>
      <c r="B802" s="10" t="inlineStr">
        <is>
          <t>SO62854</t>
        </is>
      </c>
      <c r="C802" s="10" t="inlineStr">
        <is>
          <t>C10343</t>
        </is>
      </c>
      <c r="D802" s="10">
        <f>INDEX(Customers!$B:$B,MATCH(C802,Customers!$A:$A,0))</f>
        <v/>
      </c>
      <c r="E802" s="10">
        <f>INDEX(Customers!$D:$D,MATCH(C802,Customers!$A:$A,0))</f>
        <v/>
      </c>
      <c r="F802" s="10" t="inlineStr">
        <is>
          <t>Own trucks</t>
        </is>
      </c>
      <c r="G802" s="5" t="n">
        <v>46262</v>
      </c>
      <c r="H802" s="5" t="n">
        <v>46265</v>
      </c>
      <c r="I802" s="5" t="n">
        <v>46267</v>
      </c>
      <c r="J802" s="10" t="inlineStr">
        <is>
          <t>16:00</t>
        </is>
      </c>
      <c r="K802" s="10" t="inlineStr">
        <is>
          <t>Very late</t>
        </is>
      </c>
      <c r="L802" s="6" t="n">
        <v>2</v>
      </c>
      <c r="M802" s="10" t="inlineStr">
        <is>
          <t>Stock not ready</t>
        </is>
      </c>
      <c r="N802" s="6" t="n">
        <v>25</v>
      </c>
      <c r="O802" s="6" t="n">
        <v>1675</v>
      </c>
      <c r="P802" s="6" t="n">
        <v>1</v>
      </c>
      <c r="Q802" s="6">
        <f>IF(OR(K802="On time",K802="Late",K802="Very late"),1,0)</f>
        <v/>
      </c>
    </row>
    <row r="803">
      <c r="A803" s="10" t="inlineStr">
        <is>
          <t>DN319023</t>
        </is>
      </c>
      <c r="B803" s="10" t="inlineStr">
        <is>
          <t>SO62855</t>
        </is>
      </c>
      <c r="C803" s="10" t="inlineStr">
        <is>
          <t>C10446</t>
        </is>
      </c>
      <c r="D803" s="10">
        <f>INDEX(Customers!$B:$B,MATCH(C803,Customers!$A:$A,0))</f>
        <v/>
      </c>
      <c r="E803" s="10">
        <f>INDEX(Customers!$D:$D,MATCH(C803,Customers!$A:$A,0))</f>
        <v/>
      </c>
      <c r="F803" s="10" t="inlineStr">
        <is>
          <t>Own trucks</t>
        </is>
      </c>
      <c r="G803" s="5" t="n">
        <v>46262</v>
      </c>
      <c r="H803" s="5" t="n">
        <v>46265</v>
      </c>
      <c r="I803" s="5" t="n">
        <v>46265</v>
      </c>
      <c r="J803" s="10" t="inlineStr">
        <is>
          <t>11:00</t>
        </is>
      </c>
      <c r="K803" s="10" t="inlineStr">
        <is>
          <t>On time</t>
        </is>
      </c>
      <c r="L803" s="6" t="n">
        <v>0</v>
      </c>
      <c r="M803" s="10" t="n"/>
      <c r="N803" s="6" t="n">
        <v>7</v>
      </c>
      <c r="O803" s="6" t="n">
        <v>882</v>
      </c>
      <c r="P803" s="6" t="n">
        <v>1</v>
      </c>
      <c r="Q803" s="6">
        <f>IF(OR(K803="On time",K803="Late",K803="Very late"),1,0)</f>
        <v/>
      </c>
    </row>
    <row r="804">
      <c r="A804" s="10" t="inlineStr">
        <is>
          <t>DN319024</t>
        </is>
      </c>
      <c r="B804" s="10" t="inlineStr">
        <is>
          <t>SO62856</t>
        </is>
      </c>
      <c r="C804" s="10" t="inlineStr">
        <is>
          <t>C10515</t>
        </is>
      </c>
      <c r="D804" s="10">
        <f>INDEX(Customers!$B:$B,MATCH(C804,Customers!$A:$A,0))</f>
        <v/>
      </c>
      <c r="E804" s="10">
        <f>INDEX(Customers!$D:$D,MATCH(C804,Customers!$A:$A,0))</f>
        <v/>
      </c>
      <c r="F804" s="10" t="inlineStr">
        <is>
          <t>Own trucks</t>
        </is>
      </c>
      <c r="G804" s="5" t="n">
        <v>46262</v>
      </c>
      <c r="H804" s="5" t="n">
        <v>46265</v>
      </c>
      <c r="I804" s="5" t="n">
        <v>46265</v>
      </c>
      <c r="J804" s="10" t="inlineStr">
        <is>
          <t>09:30</t>
        </is>
      </c>
      <c r="K804" s="10" t="inlineStr">
        <is>
          <t>On time</t>
        </is>
      </c>
      <c r="L804" s="6" t="n">
        <v>0</v>
      </c>
      <c r="M804" s="10" t="n"/>
      <c r="N804" s="6" t="n">
        <v>38</v>
      </c>
      <c r="O804" s="6" t="n">
        <v>5054</v>
      </c>
      <c r="P804" s="6" t="n">
        <v>1</v>
      </c>
      <c r="Q804" s="6">
        <f>IF(OR(K804="On time",K804="Late",K804="Very late"),1,0)</f>
        <v/>
      </c>
    </row>
    <row r="805">
      <c r="A805" s="10" t="inlineStr">
        <is>
          <t>DN319025</t>
        </is>
      </c>
      <c r="B805" s="10" t="inlineStr">
        <is>
          <t>SO62857</t>
        </is>
      </c>
      <c r="C805" s="10" t="inlineStr">
        <is>
          <t>C10522</t>
        </is>
      </c>
      <c r="D805" s="10">
        <f>INDEX(Customers!$B:$B,MATCH(C805,Customers!$A:$A,0))</f>
        <v/>
      </c>
      <c r="E805" s="10">
        <f>INDEX(Customers!$D:$D,MATCH(C805,Customers!$A:$A,0))</f>
        <v/>
      </c>
      <c r="F805" s="10" t="inlineStr">
        <is>
          <t>Same-day courier</t>
        </is>
      </c>
      <c r="G805" s="5" t="n">
        <v>46262</v>
      </c>
      <c r="H805" s="5" t="n">
        <v>46265</v>
      </c>
      <c r="I805" s="5" t="n">
        <v>46265</v>
      </c>
      <c r="J805" s="10" t="inlineStr">
        <is>
          <t>07:20</t>
        </is>
      </c>
      <c r="K805" s="10" t="inlineStr">
        <is>
          <t>On time</t>
        </is>
      </c>
      <c r="L805" s="6" t="n">
        <v>0</v>
      </c>
      <c r="M805" s="10" t="n"/>
      <c r="N805" s="6" t="n">
        <v>37</v>
      </c>
      <c r="O805" s="6" t="n">
        <v>3663</v>
      </c>
      <c r="P805" s="6" t="n">
        <v>1</v>
      </c>
      <c r="Q805" s="6">
        <f>IF(OR(K805="On time",K805="Late",K805="Very late"),1,0)</f>
        <v/>
      </c>
    </row>
    <row r="806">
      <c r="A806" s="10" t="inlineStr">
        <is>
          <t>DN319026</t>
        </is>
      </c>
      <c r="B806" s="10" t="inlineStr">
        <is>
          <t>SO62858</t>
        </is>
      </c>
      <c r="C806" s="10" t="inlineStr">
        <is>
          <t>C10536</t>
        </is>
      </c>
      <c r="D806" s="10">
        <f>INDEX(Customers!$B:$B,MATCH(C806,Customers!$A:$A,0))</f>
        <v/>
      </c>
      <c r="E806" s="10">
        <f>INDEX(Customers!$D:$D,MATCH(C806,Customers!$A:$A,0))</f>
        <v/>
      </c>
      <c r="F806" s="10" t="inlineStr">
        <is>
          <t>Own trucks</t>
        </is>
      </c>
      <c r="G806" s="5" t="n">
        <v>46262</v>
      </c>
      <c r="H806" s="5" t="n">
        <v>46265</v>
      </c>
      <c r="I806" s="5" t="n">
        <v>46265</v>
      </c>
      <c r="J806" s="10" t="inlineStr">
        <is>
          <t>10:10</t>
        </is>
      </c>
      <c r="K806" s="10" t="inlineStr">
        <is>
          <t>On time</t>
        </is>
      </c>
      <c r="L806" s="6" t="n">
        <v>0</v>
      </c>
      <c r="M806" s="10" t="n"/>
      <c r="N806" s="6" t="n">
        <v>29</v>
      </c>
      <c r="O806" s="6" t="n">
        <v>2958</v>
      </c>
      <c r="P806" s="6" t="n">
        <v>1</v>
      </c>
      <c r="Q806" s="6">
        <f>IF(OR(K806="On time",K806="Late",K806="Very late"),1,0)</f>
        <v/>
      </c>
    </row>
    <row r="807">
      <c r="A807" s="10" t="inlineStr">
        <is>
          <t>DN319027</t>
        </is>
      </c>
      <c r="B807" s="10" t="inlineStr">
        <is>
          <t>SO62859</t>
        </is>
      </c>
      <c r="C807" s="10" t="inlineStr">
        <is>
          <t>C10589</t>
        </is>
      </c>
      <c r="D807" s="10">
        <f>INDEX(Customers!$B:$B,MATCH(C807,Customers!$A:$A,0))</f>
        <v/>
      </c>
      <c r="E807" s="10">
        <f>INDEX(Customers!$D:$D,MATCH(C807,Customers!$A:$A,0))</f>
        <v/>
      </c>
      <c r="F807" s="10" t="inlineStr">
        <is>
          <t>Own trucks</t>
        </is>
      </c>
      <c r="G807" s="5" t="n">
        <v>46262</v>
      </c>
      <c r="H807" s="5" t="n">
        <v>46265</v>
      </c>
      <c r="I807" s="5" t="n">
        <v>46265</v>
      </c>
      <c r="J807" s="10" t="inlineStr">
        <is>
          <t>11:20</t>
        </is>
      </c>
      <c r="K807" s="10" t="inlineStr">
        <is>
          <t>On time</t>
        </is>
      </c>
      <c r="L807" s="6" t="n">
        <v>0</v>
      </c>
      <c r="M807" s="10" t="n"/>
      <c r="N807" s="6" t="n">
        <v>21</v>
      </c>
      <c r="O807" s="6" t="n">
        <v>1995</v>
      </c>
      <c r="P807" s="6" t="n">
        <v>1</v>
      </c>
      <c r="Q807" s="6">
        <f>IF(OR(K807="On time",K807="Late",K807="Very late"),1,0)</f>
        <v/>
      </c>
    </row>
    <row r="808">
      <c r="A808" s="10" t="inlineStr">
        <is>
          <t>DN319028</t>
        </is>
      </c>
      <c r="B808" s="10" t="inlineStr">
        <is>
          <t>SO62860</t>
        </is>
      </c>
      <c r="C808" s="10" t="inlineStr">
        <is>
          <t>C10622</t>
        </is>
      </c>
      <c r="D808" s="10">
        <f>INDEX(Customers!$B:$B,MATCH(C808,Customers!$A:$A,0))</f>
        <v/>
      </c>
      <c r="E808" s="10">
        <f>INDEX(Customers!$D:$D,MATCH(C808,Customers!$A:$A,0))</f>
        <v/>
      </c>
      <c r="F808" s="10" t="inlineStr">
        <is>
          <t>Own trucks</t>
        </is>
      </c>
      <c r="G808" s="5" t="n">
        <v>46262</v>
      </c>
      <c r="H808" s="5" t="n">
        <v>46265</v>
      </c>
      <c r="I808" s="5" t="n">
        <v>46265</v>
      </c>
      <c r="J808" s="10" t="inlineStr">
        <is>
          <t>10:20</t>
        </is>
      </c>
      <c r="K808" s="10" t="inlineStr">
        <is>
          <t>On time</t>
        </is>
      </c>
      <c r="L808" s="6" t="n">
        <v>0</v>
      </c>
      <c r="M808" s="10" t="n"/>
      <c r="N808" s="6" t="n">
        <v>30</v>
      </c>
      <c r="O808" s="6" t="n">
        <v>4020</v>
      </c>
      <c r="P808" s="6" t="n">
        <v>1</v>
      </c>
      <c r="Q808" s="6">
        <f>IF(OR(K808="On time",K808="Late",K808="Very late"),1,0)</f>
        <v/>
      </c>
    </row>
    <row r="809">
      <c r="A809" s="10" t="inlineStr">
        <is>
          <t>DN319029</t>
        </is>
      </c>
      <c r="B809" s="10" t="inlineStr">
        <is>
          <t>SO62861</t>
        </is>
      </c>
      <c r="C809" s="10" t="inlineStr">
        <is>
          <t>C10648</t>
        </is>
      </c>
      <c r="D809" s="10">
        <f>INDEX(Customers!$B:$B,MATCH(C809,Customers!$A:$A,0))</f>
        <v/>
      </c>
      <c r="E809" s="10">
        <f>INDEX(Customers!$D:$D,MATCH(C809,Customers!$A:$A,0))</f>
        <v/>
      </c>
      <c r="F809" s="10" t="inlineStr">
        <is>
          <t>Own trucks</t>
        </is>
      </c>
      <c r="G809" s="5" t="n">
        <v>46262</v>
      </c>
      <c r="H809" s="5" t="n">
        <v>46265</v>
      </c>
      <c r="I809" s="5" t="n">
        <v>46265</v>
      </c>
      <c r="J809" s="10" t="inlineStr">
        <is>
          <t>16:20</t>
        </is>
      </c>
      <c r="K809" s="10" t="inlineStr">
        <is>
          <t>On time</t>
        </is>
      </c>
      <c r="L809" s="6" t="n">
        <v>0</v>
      </c>
      <c r="M809" s="10" t="n"/>
      <c r="N809" s="6" t="n">
        <v>8</v>
      </c>
      <c r="O809" s="6" t="n">
        <v>520</v>
      </c>
      <c r="P809" s="6" t="n">
        <v>1</v>
      </c>
      <c r="Q809" s="6">
        <f>IF(OR(K809="On time",K809="Late",K809="Very late"),1,0)</f>
        <v/>
      </c>
    </row>
    <row r="810">
      <c r="A810" s="10" t="inlineStr">
        <is>
          <t>DN319030</t>
        </is>
      </c>
      <c r="B810" s="10" t="inlineStr">
        <is>
          <t>SO62862</t>
        </is>
      </c>
      <c r="C810" s="10" t="inlineStr">
        <is>
          <t>C10676</t>
        </is>
      </c>
      <c r="D810" s="10">
        <f>INDEX(Customers!$B:$B,MATCH(C810,Customers!$A:$A,0))</f>
        <v/>
      </c>
      <c r="E810" s="10">
        <f>INDEX(Customers!$D:$D,MATCH(C810,Customers!$A:$A,0))</f>
        <v/>
      </c>
      <c r="F810" s="10" t="inlineStr">
        <is>
          <t>Own trucks</t>
        </is>
      </c>
      <c r="G810" s="5" t="n">
        <v>46262</v>
      </c>
      <c r="H810" s="5" t="n">
        <v>46265</v>
      </c>
      <c r="I810" s="5" t="n">
        <v>46265</v>
      </c>
      <c r="J810" s="10" t="inlineStr">
        <is>
          <t>13:00</t>
        </is>
      </c>
      <c r="K810" s="10" t="inlineStr">
        <is>
          <t>On time</t>
        </is>
      </c>
      <c r="L810" s="6" t="n">
        <v>0</v>
      </c>
      <c r="M810" s="10" t="n"/>
      <c r="N810" s="6" t="n">
        <v>20</v>
      </c>
      <c r="O810" s="6" t="n">
        <v>1500</v>
      </c>
      <c r="P810" s="6" t="n">
        <v>1</v>
      </c>
      <c r="Q810" s="6">
        <f>IF(OR(K810="On time",K810="Late",K810="Very late"),1,0)</f>
        <v/>
      </c>
    </row>
    <row r="811">
      <c r="A811" s="10" t="inlineStr">
        <is>
          <t>DN319031</t>
        </is>
      </c>
      <c r="B811" s="10" t="inlineStr">
        <is>
          <t>SO62863</t>
        </is>
      </c>
      <c r="C811" s="10" t="inlineStr">
        <is>
          <t>C10746</t>
        </is>
      </c>
      <c r="D811" s="10">
        <f>INDEX(Customers!$B:$B,MATCH(C811,Customers!$A:$A,0))</f>
        <v/>
      </c>
      <c r="E811" s="10">
        <f>INDEX(Customers!$D:$D,MATCH(C811,Customers!$A:$A,0))</f>
        <v/>
      </c>
      <c r="F811" s="10" t="inlineStr">
        <is>
          <t>Own trucks</t>
        </is>
      </c>
      <c r="G811" s="5" t="n">
        <v>46262</v>
      </c>
      <c r="H811" s="5" t="n">
        <v>46265</v>
      </c>
      <c r="I811" s="5" t="n">
        <v>46265</v>
      </c>
      <c r="J811" s="10" t="inlineStr">
        <is>
          <t>09:20</t>
        </is>
      </c>
      <c r="K811" s="10" t="inlineStr">
        <is>
          <t>On time</t>
        </is>
      </c>
      <c r="L811" s="6" t="n">
        <v>0</v>
      </c>
      <c r="M811" s="10" t="n"/>
      <c r="N811" s="6" t="n">
        <v>20</v>
      </c>
      <c r="O811" s="6" t="n">
        <v>1700</v>
      </c>
      <c r="P811" s="6" t="n">
        <v>1</v>
      </c>
      <c r="Q811" s="6">
        <f>IF(OR(K811="On time",K811="Late",K811="Very late"),1,0)</f>
        <v/>
      </c>
    </row>
    <row r="812">
      <c r="A812" s="10" t="inlineStr">
        <is>
          <t>DN319032</t>
        </is>
      </c>
      <c r="B812" s="10" t="inlineStr">
        <is>
          <t>SO62865</t>
        </is>
      </c>
      <c r="C812" s="10" t="inlineStr">
        <is>
          <t>C10796</t>
        </is>
      </c>
      <c r="D812" s="10">
        <f>INDEX(Customers!$B:$B,MATCH(C812,Customers!$A:$A,0))</f>
        <v/>
      </c>
      <c r="E812" s="10">
        <f>INDEX(Customers!$D:$D,MATCH(C812,Customers!$A:$A,0))</f>
        <v/>
      </c>
      <c r="F812" s="10" t="inlineStr">
        <is>
          <t>Own trucks</t>
        </is>
      </c>
      <c r="G812" s="5" t="n">
        <v>46262</v>
      </c>
      <c r="H812" s="5" t="n">
        <v>46265</v>
      </c>
      <c r="I812" s="5" t="n">
        <v>46265</v>
      </c>
      <c r="J812" s="10" t="inlineStr">
        <is>
          <t>08:50</t>
        </is>
      </c>
      <c r="K812" s="10" t="inlineStr">
        <is>
          <t>On time</t>
        </is>
      </c>
      <c r="L812" s="6" t="n">
        <v>0</v>
      </c>
      <c r="M812" s="10" t="n"/>
      <c r="N812" s="6" t="n">
        <v>10</v>
      </c>
      <c r="O812" s="6" t="n">
        <v>1140</v>
      </c>
      <c r="P812" s="6" t="n">
        <v>1</v>
      </c>
      <c r="Q812" s="6">
        <f>IF(OR(K812="On time",K812="Late",K812="Very late"),1,0)</f>
        <v/>
      </c>
    </row>
    <row r="813">
      <c r="A813" s="10" t="inlineStr">
        <is>
          <t>DN319033</t>
        </is>
      </c>
      <c r="B813" s="10" t="inlineStr">
        <is>
          <t>SO62866</t>
        </is>
      </c>
      <c r="C813" s="10" t="inlineStr">
        <is>
          <t>C10847</t>
        </is>
      </c>
      <c r="D813" s="10">
        <f>INDEX(Customers!$B:$B,MATCH(C813,Customers!$A:$A,0))</f>
        <v/>
      </c>
      <c r="E813" s="10">
        <f>INDEX(Customers!$D:$D,MATCH(C813,Customers!$A:$A,0))</f>
        <v/>
      </c>
      <c r="F813" s="10" t="inlineStr">
        <is>
          <t>Own trucks</t>
        </is>
      </c>
      <c r="G813" s="5" t="n">
        <v>46262</v>
      </c>
      <c r="H813" s="5" t="n">
        <v>46265</v>
      </c>
      <c r="I813" s="5" t="n">
        <v>46265</v>
      </c>
      <c r="J813" s="10" t="inlineStr">
        <is>
          <t>12:50</t>
        </is>
      </c>
      <c r="K813" s="10" t="inlineStr">
        <is>
          <t>On time</t>
        </is>
      </c>
      <c r="L813" s="6" t="n">
        <v>0</v>
      </c>
      <c r="M813" s="10" t="n"/>
      <c r="N813" s="6" t="n">
        <v>4</v>
      </c>
      <c r="O813" s="6" t="n">
        <v>312</v>
      </c>
      <c r="P813" s="6" t="n">
        <v>1</v>
      </c>
      <c r="Q813" s="6">
        <f>IF(OR(K813="On time",K813="Late",K813="Very late"),1,0)</f>
        <v/>
      </c>
    </row>
    <row r="814">
      <c r="A814" s="10" t="inlineStr">
        <is>
          <t>DN319034</t>
        </is>
      </c>
      <c r="B814" s="10" t="inlineStr">
        <is>
          <t>SO62868</t>
        </is>
      </c>
      <c r="C814" s="10" t="inlineStr">
        <is>
          <t>C10982</t>
        </is>
      </c>
      <c r="D814" s="10">
        <f>INDEX(Customers!$B:$B,MATCH(C814,Customers!$A:$A,0))</f>
        <v/>
      </c>
      <c r="E814" s="10">
        <f>INDEX(Customers!$D:$D,MATCH(C814,Customers!$A:$A,0))</f>
        <v/>
      </c>
      <c r="F814" s="10" t="inlineStr">
        <is>
          <t>Own trucks</t>
        </is>
      </c>
      <c r="G814" s="5" t="n">
        <v>46262</v>
      </c>
      <c r="H814" s="5" t="n">
        <v>46265</v>
      </c>
      <c r="I814" s="5" t="n">
        <v>46265</v>
      </c>
      <c r="J814" s="10" t="inlineStr">
        <is>
          <t>07:20</t>
        </is>
      </c>
      <c r="K814" s="10" t="inlineStr">
        <is>
          <t>On time</t>
        </is>
      </c>
      <c r="L814" s="6" t="n">
        <v>0</v>
      </c>
      <c r="M814" s="10" t="n"/>
      <c r="N814" s="6" t="n">
        <v>18</v>
      </c>
      <c r="O814" s="6" t="n">
        <v>1962</v>
      </c>
      <c r="P814" s="6" t="n">
        <v>1</v>
      </c>
      <c r="Q814" s="6">
        <f>IF(OR(K814="On time",K814="Late",K814="Very late"),1,0)</f>
        <v/>
      </c>
    </row>
    <row r="815">
      <c r="A815" s="10" t="inlineStr">
        <is>
          <t>DN319035</t>
        </is>
      </c>
      <c r="B815" s="10" t="inlineStr">
        <is>
          <t>SO62869</t>
        </is>
      </c>
      <c r="C815" s="10" t="inlineStr">
        <is>
          <t>C11107</t>
        </is>
      </c>
      <c r="D815" s="10">
        <f>INDEX(Customers!$B:$B,MATCH(C815,Customers!$A:$A,0))</f>
        <v/>
      </c>
      <c r="E815" s="10">
        <f>INDEX(Customers!$D:$D,MATCH(C815,Customers!$A:$A,0))</f>
        <v/>
      </c>
      <c r="F815" s="10" t="inlineStr">
        <is>
          <t>Own trucks</t>
        </is>
      </c>
      <c r="G815" s="5" t="n">
        <v>46262</v>
      </c>
      <c r="H815" s="5" t="n">
        <v>46265</v>
      </c>
      <c r="I815" s="5" t="n">
        <v>46265</v>
      </c>
      <c r="J815" s="10" t="inlineStr">
        <is>
          <t>07:10</t>
        </is>
      </c>
      <c r="K815" s="10" t="inlineStr">
        <is>
          <t>On time</t>
        </is>
      </c>
      <c r="L815" s="6" t="n">
        <v>0</v>
      </c>
      <c r="M815" s="10" t="n"/>
      <c r="N815" s="6" t="n">
        <v>37</v>
      </c>
      <c r="O815" s="6" t="n">
        <v>4551</v>
      </c>
      <c r="P815" s="6" t="n">
        <v>1</v>
      </c>
      <c r="Q815" s="6">
        <f>IF(OR(K815="On time",K815="Late",K815="Very late"),1,0)</f>
        <v/>
      </c>
    </row>
    <row r="816">
      <c r="A816" s="10" t="inlineStr">
        <is>
          <t>DN319036</t>
        </is>
      </c>
      <c r="B816" s="10" t="inlineStr">
        <is>
          <t>SO62870</t>
        </is>
      </c>
      <c r="C816" s="10" t="inlineStr">
        <is>
          <t>C11186</t>
        </is>
      </c>
      <c r="D816" s="10">
        <f>INDEX(Customers!$B:$B,MATCH(C816,Customers!$A:$A,0))</f>
        <v/>
      </c>
      <c r="E816" s="10">
        <f>INDEX(Customers!$D:$D,MATCH(C816,Customers!$A:$A,0))</f>
        <v/>
      </c>
      <c r="F816" s="10" t="inlineStr">
        <is>
          <t>Own trucks</t>
        </is>
      </c>
      <c r="G816" s="5" t="n">
        <v>46262</v>
      </c>
      <c r="H816" s="5" t="n">
        <v>46265</v>
      </c>
      <c r="I816" s="5" t="n">
        <v>46265</v>
      </c>
      <c r="J816" s="10" t="inlineStr">
        <is>
          <t>08:50</t>
        </is>
      </c>
      <c r="K816" s="10" t="inlineStr">
        <is>
          <t>On time</t>
        </is>
      </c>
      <c r="L816" s="6" t="n">
        <v>0</v>
      </c>
      <c r="M816" s="10" t="n"/>
      <c r="N816" s="6" t="n">
        <v>9</v>
      </c>
      <c r="O816" s="6" t="n">
        <v>756</v>
      </c>
      <c r="P816" s="6" t="n">
        <v>1</v>
      </c>
      <c r="Q816" s="6">
        <f>IF(OR(K816="On time",K816="Late",K816="Very late"),1,0)</f>
        <v/>
      </c>
    </row>
    <row r="817">
      <c r="A817" s="10" t="inlineStr">
        <is>
          <t>DN319037</t>
        </is>
      </c>
      <c r="B817" s="10" t="inlineStr">
        <is>
          <t>SO62871</t>
        </is>
      </c>
      <c r="C817" s="10" t="inlineStr">
        <is>
          <t>C11247</t>
        </is>
      </c>
      <c r="D817" s="10">
        <f>INDEX(Customers!$B:$B,MATCH(C817,Customers!$A:$A,0))</f>
        <v/>
      </c>
      <c r="E817" s="10">
        <f>INDEX(Customers!$D:$D,MATCH(C817,Customers!$A:$A,0))</f>
        <v/>
      </c>
      <c r="F817" s="10" t="inlineStr">
        <is>
          <t>Own trucks</t>
        </is>
      </c>
      <c r="G817" s="5" t="n">
        <v>46262</v>
      </c>
      <c r="H817" s="5" t="n">
        <v>46265</v>
      </c>
      <c r="I817" s="5" t="n">
        <v>46265</v>
      </c>
      <c r="J817" s="10" t="inlineStr">
        <is>
          <t>09:50</t>
        </is>
      </c>
      <c r="K817" s="10" t="inlineStr">
        <is>
          <t>On time</t>
        </is>
      </c>
      <c r="L817" s="6" t="n">
        <v>0</v>
      </c>
      <c r="M817" s="10" t="n"/>
      <c r="N817" s="6" t="n">
        <v>28</v>
      </c>
      <c r="O817" s="6" t="n">
        <v>3108</v>
      </c>
      <c r="P817" s="6" t="n">
        <v>1</v>
      </c>
      <c r="Q817" s="6">
        <f>IF(OR(K817="On time",K817="Late",K817="Very late"),1,0)</f>
        <v/>
      </c>
    </row>
    <row r="818">
      <c r="A818" s="10" t="inlineStr">
        <is>
          <t>DN319038</t>
        </is>
      </c>
      <c r="B818" s="10" t="inlineStr">
        <is>
          <t>SO62872</t>
        </is>
      </c>
      <c r="C818" s="10" t="inlineStr">
        <is>
          <t>C11264</t>
        </is>
      </c>
      <c r="D818" s="10">
        <f>INDEX(Customers!$B:$B,MATCH(C818,Customers!$A:$A,0))</f>
        <v/>
      </c>
      <c r="E818" s="10">
        <f>INDEX(Customers!$D:$D,MATCH(C818,Customers!$A:$A,0))</f>
        <v/>
      </c>
      <c r="F818" s="10" t="inlineStr">
        <is>
          <t>Own trucks</t>
        </is>
      </c>
      <c r="G818" s="5" t="n">
        <v>46262</v>
      </c>
      <c r="H818" s="5" t="n">
        <v>46265</v>
      </c>
      <c r="I818" s="5" t="n">
        <v>46265</v>
      </c>
      <c r="J818" s="10" t="inlineStr">
        <is>
          <t>08:50</t>
        </is>
      </c>
      <c r="K818" s="10" t="inlineStr">
        <is>
          <t>On time</t>
        </is>
      </c>
      <c r="L818" s="6" t="n">
        <v>0</v>
      </c>
      <c r="M818" s="10" t="n"/>
      <c r="N818" s="6" t="n">
        <v>11</v>
      </c>
      <c r="O818" s="6" t="n">
        <v>693</v>
      </c>
      <c r="P818" s="6" t="n">
        <v>1</v>
      </c>
      <c r="Q818" s="6">
        <f>IF(OR(K818="On time",K818="Late",K818="Very late"),1,0)</f>
        <v/>
      </c>
    </row>
    <row r="819">
      <c r="A819" s="10" t="inlineStr">
        <is>
          <t>DN319039</t>
        </is>
      </c>
      <c r="B819" s="10" t="inlineStr">
        <is>
          <t>SO62873</t>
        </is>
      </c>
      <c r="C819" s="10" t="inlineStr">
        <is>
          <t>C11314</t>
        </is>
      </c>
      <c r="D819" s="10">
        <f>INDEX(Customers!$B:$B,MATCH(C819,Customers!$A:$A,0))</f>
        <v/>
      </c>
      <c r="E819" s="10">
        <f>INDEX(Customers!$D:$D,MATCH(C819,Customers!$A:$A,0))</f>
        <v/>
      </c>
      <c r="F819" s="10" t="inlineStr">
        <is>
          <t>Own trucks</t>
        </is>
      </c>
      <c r="G819" s="5" t="n">
        <v>46262</v>
      </c>
      <c r="H819" s="5" t="n">
        <v>46265</v>
      </c>
      <c r="I819" s="5" t="n">
        <v>46265</v>
      </c>
      <c r="J819" s="10" t="inlineStr">
        <is>
          <t>09:40</t>
        </is>
      </c>
      <c r="K819" s="10" t="inlineStr">
        <is>
          <t>On time</t>
        </is>
      </c>
      <c r="L819" s="6" t="n">
        <v>0</v>
      </c>
      <c r="M819" s="10" t="n"/>
      <c r="N819" s="6" t="n">
        <v>3</v>
      </c>
      <c r="O819" s="6" t="n">
        <v>324</v>
      </c>
      <c r="P819" s="6" t="n">
        <v>1</v>
      </c>
      <c r="Q819" s="6">
        <f>IF(OR(K819="On time",K819="Late",K819="Very late"),1,0)</f>
        <v/>
      </c>
    </row>
    <row r="820">
      <c r="A820" s="10" t="inlineStr">
        <is>
          <t>DN319040</t>
        </is>
      </c>
      <c r="B820" s="10" t="inlineStr">
        <is>
          <t>SO62874</t>
        </is>
      </c>
      <c r="C820" s="10" t="inlineStr">
        <is>
          <t>C11333</t>
        </is>
      </c>
      <c r="D820" s="10">
        <f>INDEX(Customers!$B:$B,MATCH(C820,Customers!$A:$A,0))</f>
        <v/>
      </c>
      <c r="E820" s="10">
        <f>INDEX(Customers!$D:$D,MATCH(C820,Customers!$A:$A,0))</f>
        <v/>
      </c>
      <c r="F820" s="10" t="inlineStr">
        <is>
          <t>Own trucks</t>
        </is>
      </c>
      <c r="G820" s="5" t="n">
        <v>46262</v>
      </c>
      <c r="H820" s="5" t="n">
        <v>46265</v>
      </c>
      <c r="I820" s="5" t="n">
        <v>46265</v>
      </c>
      <c r="J820" s="10" t="inlineStr">
        <is>
          <t>08:40</t>
        </is>
      </c>
      <c r="K820" s="10" t="inlineStr">
        <is>
          <t>On time</t>
        </is>
      </c>
      <c r="L820" s="6" t="n">
        <v>0</v>
      </c>
      <c r="M820" s="10" t="n"/>
      <c r="N820" s="6" t="n">
        <v>16</v>
      </c>
      <c r="O820" s="6" t="n">
        <v>1584</v>
      </c>
      <c r="P820" s="6" t="n">
        <v>1</v>
      </c>
      <c r="Q820" s="6">
        <f>IF(OR(K820="On time",K820="Late",K820="Very late"),1,0)</f>
        <v/>
      </c>
    </row>
    <row r="821">
      <c r="A821" s="10" t="inlineStr">
        <is>
          <t>DN319041</t>
        </is>
      </c>
      <c r="B821" s="10" t="inlineStr">
        <is>
          <t>SO62875</t>
        </is>
      </c>
      <c r="C821" s="10" t="inlineStr">
        <is>
          <t>C11400</t>
        </is>
      </c>
      <c r="D821" s="10">
        <f>INDEX(Customers!$B:$B,MATCH(C821,Customers!$A:$A,0))</f>
        <v/>
      </c>
      <c r="E821" s="10">
        <f>INDEX(Customers!$D:$D,MATCH(C821,Customers!$A:$A,0))</f>
        <v/>
      </c>
      <c r="F821" s="10" t="inlineStr">
        <is>
          <t>Own trucks</t>
        </is>
      </c>
      <c r="G821" s="5" t="n">
        <v>46262</v>
      </c>
      <c r="H821" s="5" t="n">
        <v>46265</v>
      </c>
      <c r="I821" s="5" t="n">
        <v>46265</v>
      </c>
      <c r="J821" s="10" t="inlineStr">
        <is>
          <t>07:10</t>
        </is>
      </c>
      <c r="K821" s="10" t="inlineStr">
        <is>
          <t>On time</t>
        </is>
      </c>
      <c r="L821" s="6" t="n">
        <v>0</v>
      </c>
      <c r="M821" s="10" t="n"/>
      <c r="N821" s="6" t="n">
        <v>19</v>
      </c>
      <c r="O821" s="6" t="n">
        <v>1577</v>
      </c>
      <c r="P821" s="6" t="n">
        <v>1</v>
      </c>
      <c r="Q821" s="6">
        <f>IF(OR(K821="On time",K821="Late",K821="Very late"),1,0)</f>
        <v/>
      </c>
    </row>
    <row r="822">
      <c r="A822" s="10" t="inlineStr">
        <is>
          <t>DN319042</t>
        </is>
      </c>
      <c r="B822" s="10" t="inlineStr">
        <is>
          <t>SO62876</t>
        </is>
      </c>
      <c r="C822" s="10" t="inlineStr">
        <is>
          <t>C11518</t>
        </is>
      </c>
      <c r="D822" s="10">
        <f>INDEX(Customers!$B:$B,MATCH(C822,Customers!$A:$A,0))</f>
        <v/>
      </c>
      <c r="E822" s="10">
        <f>INDEX(Customers!$D:$D,MATCH(C822,Customers!$A:$A,0))</f>
        <v/>
      </c>
      <c r="F822" s="10" t="inlineStr">
        <is>
          <t>Own trucks</t>
        </is>
      </c>
      <c r="G822" s="5" t="n">
        <v>46262</v>
      </c>
      <c r="H822" s="5" t="n">
        <v>46265</v>
      </c>
      <c r="I822" s="5" t="n">
        <v>46265</v>
      </c>
      <c r="J822" s="10" t="inlineStr">
        <is>
          <t>15:20</t>
        </is>
      </c>
      <c r="K822" s="10" t="inlineStr">
        <is>
          <t>On time</t>
        </is>
      </c>
      <c r="L822" s="6" t="n">
        <v>0</v>
      </c>
      <c r="M822" s="10" t="n"/>
      <c r="N822" s="6" t="n">
        <v>37</v>
      </c>
      <c r="O822" s="6" t="n">
        <v>2775</v>
      </c>
      <c r="P822" s="6" t="n">
        <v>1</v>
      </c>
      <c r="Q822" s="6">
        <f>IF(OR(K822="On time",K822="Late",K822="Very late"),1,0)</f>
        <v/>
      </c>
    </row>
    <row r="823">
      <c r="A823" s="10" t="inlineStr">
        <is>
          <t>DN319043</t>
        </is>
      </c>
      <c r="B823" s="10" t="inlineStr">
        <is>
          <t>SO62877</t>
        </is>
      </c>
      <c r="C823" s="10" t="inlineStr">
        <is>
          <t>C11579</t>
        </is>
      </c>
      <c r="D823" s="10">
        <f>INDEX(Customers!$B:$B,MATCH(C823,Customers!$A:$A,0))</f>
        <v/>
      </c>
      <c r="E823" s="10">
        <f>INDEX(Customers!$D:$D,MATCH(C823,Customers!$A:$A,0))</f>
        <v/>
      </c>
      <c r="F823" s="10" t="inlineStr">
        <is>
          <t>Own trucks</t>
        </is>
      </c>
      <c r="G823" s="5" t="n">
        <v>46262</v>
      </c>
      <c r="H823" s="5" t="n">
        <v>46265</v>
      </c>
      <c r="I823" s="5" t="n">
        <v>46265</v>
      </c>
      <c r="J823" s="10" t="inlineStr">
        <is>
          <t>14:30</t>
        </is>
      </c>
      <c r="K823" s="10" t="inlineStr">
        <is>
          <t>On time</t>
        </is>
      </c>
      <c r="L823" s="6" t="n">
        <v>0</v>
      </c>
      <c r="M823" s="10" t="n"/>
      <c r="N823" s="6" t="n">
        <v>6</v>
      </c>
      <c r="O823" s="6" t="n">
        <v>426</v>
      </c>
      <c r="P823" s="6" t="n">
        <v>1</v>
      </c>
      <c r="Q823" s="6">
        <f>IF(OR(K823="On time",K823="Late",K823="Very late"),1,0)</f>
        <v/>
      </c>
    </row>
    <row r="824">
      <c r="A824" s="10" t="inlineStr">
        <is>
          <t>DN319044</t>
        </is>
      </c>
      <c r="B824" s="10" t="inlineStr">
        <is>
          <t>SO62878</t>
        </is>
      </c>
      <c r="C824" s="10" t="inlineStr">
        <is>
          <t>C11616</t>
        </is>
      </c>
      <c r="D824" s="10">
        <f>INDEX(Customers!$B:$B,MATCH(C824,Customers!$A:$A,0))</f>
        <v/>
      </c>
      <c r="E824" s="10">
        <f>INDEX(Customers!$D:$D,MATCH(C824,Customers!$A:$A,0))</f>
        <v/>
      </c>
      <c r="F824" s="10" t="inlineStr">
        <is>
          <t>Own trucks</t>
        </is>
      </c>
      <c r="G824" s="5" t="n">
        <v>46262</v>
      </c>
      <c r="H824" s="5" t="n">
        <v>46265</v>
      </c>
      <c r="I824" s="5" t="n">
        <v>46265</v>
      </c>
      <c r="J824" s="10" t="inlineStr">
        <is>
          <t>10:00</t>
        </is>
      </c>
      <c r="K824" s="10" t="inlineStr">
        <is>
          <t>On time</t>
        </is>
      </c>
      <c r="L824" s="6" t="n">
        <v>0</v>
      </c>
      <c r="M824" s="10" t="n"/>
      <c r="N824" s="6" t="n">
        <v>9</v>
      </c>
      <c r="O824" s="6" t="n">
        <v>828</v>
      </c>
      <c r="P824" s="6" t="n">
        <v>1</v>
      </c>
      <c r="Q824" s="6">
        <f>IF(OR(K824="On time",K824="Late",K824="Very late"),1,0)</f>
        <v/>
      </c>
    </row>
    <row r="825">
      <c r="A825" s="10" t="inlineStr">
        <is>
          <t>DN319045</t>
        </is>
      </c>
      <c r="B825" s="10" t="inlineStr">
        <is>
          <t>SO62879</t>
        </is>
      </c>
      <c r="C825" s="10" t="inlineStr">
        <is>
          <t>C11666</t>
        </is>
      </c>
      <c r="D825" s="10">
        <f>INDEX(Customers!$B:$B,MATCH(C825,Customers!$A:$A,0))</f>
        <v/>
      </c>
      <c r="E825" s="10">
        <f>INDEX(Customers!$D:$D,MATCH(C825,Customers!$A:$A,0))</f>
        <v/>
      </c>
      <c r="F825" s="10" t="inlineStr">
        <is>
          <t>Own trucks</t>
        </is>
      </c>
      <c r="G825" s="5" t="n">
        <v>46262</v>
      </c>
      <c r="H825" s="5" t="n">
        <v>46265</v>
      </c>
      <c r="I825" s="5" t="n">
        <v>46265</v>
      </c>
      <c r="J825" s="10" t="inlineStr">
        <is>
          <t>09:10</t>
        </is>
      </c>
      <c r="K825" s="10" t="inlineStr">
        <is>
          <t>On time</t>
        </is>
      </c>
      <c r="L825" s="6" t="n">
        <v>0</v>
      </c>
      <c r="M825" s="10" t="n"/>
      <c r="N825" s="6" t="n">
        <v>24</v>
      </c>
      <c r="O825" s="6" t="n">
        <v>1848</v>
      </c>
      <c r="P825" s="6" t="n">
        <v>1</v>
      </c>
      <c r="Q825" s="6">
        <f>IF(OR(K825="On time",K825="Late",K825="Very late"),1,0)</f>
        <v/>
      </c>
    </row>
    <row r="826">
      <c r="A826" s="10" t="inlineStr">
        <is>
          <t>DN319046</t>
        </is>
      </c>
      <c r="B826" s="10" t="inlineStr">
        <is>
          <t>SO62880</t>
        </is>
      </c>
      <c r="C826" s="10" t="inlineStr">
        <is>
          <t>C11718</t>
        </is>
      </c>
      <c r="D826" s="10">
        <f>INDEX(Customers!$B:$B,MATCH(C826,Customers!$A:$A,0))</f>
        <v/>
      </c>
      <c r="E826" s="10">
        <f>INDEX(Customers!$D:$D,MATCH(C826,Customers!$A:$A,0))</f>
        <v/>
      </c>
      <c r="F826" s="10" t="inlineStr">
        <is>
          <t>Own trucks</t>
        </is>
      </c>
      <c r="G826" s="5" t="n">
        <v>46262</v>
      </c>
      <c r="H826" s="5" t="n">
        <v>46265</v>
      </c>
      <c r="I826" s="5" t="n">
        <v>46265</v>
      </c>
      <c r="J826" s="10" t="inlineStr">
        <is>
          <t>13:30</t>
        </is>
      </c>
      <c r="K826" s="10" t="inlineStr">
        <is>
          <t>On time</t>
        </is>
      </c>
      <c r="L826" s="6" t="n">
        <v>0</v>
      </c>
      <c r="M826" s="10" t="n"/>
      <c r="N826" s="6" t="n">
        <v>8</v>
      </c>
      <c r="O826" s="6" t="n">
        <v>912</v>
      </c>
      <c r="P826" s="6" t="n">
        <v>1</v>
      </c>
      <c r="Q826" s="6">
        <f>IF(OR(K826="On time",K826="Late",K826="Very late"),1,0)</f>
        <v/>
      </c>
    </row>
    <row r="827">
      <c r="A827" s="10" t="inlineStr">
        <is>
          <t>DN319047</t>
        </is>
      </c>
      <c r="B827" s="10" t="inlineStr">
        <is>
          <t>SO62881</t>
        </is>
      </c>
      <c r="C827" s="10" t="inlineStr">
        <is>
          <t>C11790</t>
        </is>
      </c>
      <c r="D827" s="10">
        <f>INDEX(Customers!$B:$B,MATCH(C827,Customers!$A:$A,0))</f>
        <v/>
      </c>
      <c r="E827" s="10">
        <f>INDEX(Customers!$D:$D,MATCH(C827,Customers!$A:$A,0))</f>
        <v/>
      </c>
      <c r="F827" s="10" t="inlineStr">
        <is>
          <t>Carrier A</t>
        </is>
      </c>
      <c r="G827" s="5" t="n">
        <v>46262</v>
      </c>
      <c r="H827" s="5" t="n">
        <v>46265</v>
      </c>
      <c r="I827" s="5" t="n">
        <v>46265</v>
      </c>
      <c r="J827" s="10" t="inlineStr">
        <is>
          <t>12:20</t>
        </is>
      </c>
      <c r="K827" s="10" t="inlineStr">
        <is>
          <t>On time</t>
        </is>
      </c>
      <c r="L827" s="6" t="n">
        <v>0</v>
      </c>
      <c r="M827" s="10" t="n"/>
      <c r="N827" s="6" t="n">
        <v>28</v>
      </c>
      <c r="O827" s="6" t="n">
        <v>1904</v>
      </c>
      <c r="P827" s="6" t="n">
        <v>1</v>
      </c>
      <c r="Q827" s="6">
        <f>IF(OR(K827="On time",K827="Late",K827="Very late"),1,0)</f>
        <v/>
      </c>
    </row>
    <row r="828">
      <c r="A828" s="10" t="inlineStr">
        <is>
          <t>DN319048</t>
        </is>
      </c>
      <c r="B828" s="10" t="inlineStr">
        <is>
          <t>SO62882</t>
        </is>
      </c>
      <c r="C828" s="10" t="inlineStr">
        <is>
          <t>C11858</t>
        </is>
      </c>
      <c r="D828" s="10">
        <f>INDEX(Customers!$B:$B,MATCH(C828,Customers!$A:$A,0))</f>
        <v/>
      </c>
      <c r="E828" s="10">
        <f>INDEX(Customers!$D:$D,MATCH(C828,Customers!$A:$A,0))</f>
        <v/>
      </c>
      <c r="F828" s="10" t="inlineStr">
        <is>
          <t>Carrier A</t>
        </is>
      </c>
      <c r="G828" s="5" t="n">
        <v>46262</v>
      </c>
      <c r="H828" s="5" t="n">
        <v>46265</v>
      </c>
      <c r="I828" s="5" t="n">
        <v>46265</v>
      </c>
      <c r="J828" s="10" t="inlineStr">
        <is>
          <t>08:00</t>
        </is>
      </c>
      <c r="K828" s="10" t="inlineStr">
        <is>
          <t>On time</t>
        </is>
      </c>
      <c r="L828" s="6" t="n">
        <v>0</v>
      </c>
      <c r="M828" s="10" t="n"/>
      <c r="N828" s="6" t="n">
        <v>8</v>
      </c>
      <c r="O828" s="6" t="n">
        <v>864</v>
      </c>
      <c r="P828" s="6" t="n">
        <v>1</v>
      </c>
      <c r="Q828" s="6">
        <f>IF(OR(K828="On time",K828="Late",K828="Very late"),1,0)</f>
        <v/>
      </c>
    </row>
    <row r="829">
      <c r="A829" s="10" t="inlineStr">
        <is>
          <t>DN319049</t>
        </is>
      </c>
      <c r="B829" s="10" t="inlineStr">
        <is>
          <t>SO62883</t>
        </is>
      </c>
      <c r="C829" s="10" t="inlineStr">
        <is>
          <t>C11971</t>
        </is>
      </c>
      <c r="D829" s="10">
        <f>INDEX(Customers!$B:$B,MATCH(C829,Customers!$A:$A,0))</f>
        <v/>
      </c>
      <c r="E829" s="10">
        <f>INDEX(Customers!$D:$D,MATCH(C829,Customers!$A:$A,0))</f>
        <v/>
      </c>
      <c r="F829" s="10" t="inlineStr">
        <is>
          <t>Own trucks</t>
        </is>
      </c>
      <c r="G829" s="5" t="n">
        <v>46262</v>
      </c>
      <c r="H829" s="5" t="n">
        <v>46265</v>
      </c>
      <c r="I829" s="5" t="n">
        <v>46265</v>
      </c>
      <c r="J829" s="10" t="inlineStr">
        <is>
          <t>14:10</t>
        </is>
      </c>
      <c r="K829" s="10" t="inlineStr">
        <is>
          <t>On time</t>
        </is>
      </c>
      <c r="L829" s="6" t="n">
        <v>0</v>
      </c>
      <c r="M829" s="10" t="n"/>
      <c r="N829" s="6" t="n">
        <v>35</v>
      </c>
      <c r="O829" s="6" t="n">
        <v>4200</v>
      </c>
      <c r="P829" s="6" t="n">
        <v>1</v>
      </c>
      <c r="Q829" s="6">
        <f>IF(OR(K829="On time",K829="Late",K829="Very late"),1,0)</f>
        <v/>
      </c>
    </row>
    <row r="830">
      <c r="A830" s="10" t="inlineStr">
        <is>
          <t>DN319050</t>
        </is>
      </c>
      <c r="B830" s="10" t="inlineStr">
        <is>
          <t>SO62884</t>
        </is>
      </c>
      <c r="C830" s="10" t="inlineStr">
        <is>
          <t>C11982</t>
        </is>
      </c>
      <c r="D830" s="10">
        <f>INDEX(Customers!$B:$B,MATCH(C830,Customers!$A:$A,0))</f>
        <v/>
      </c>
      <c r="E830" s="10">
        <f>INDEX(Customers!$D:$D,MATCH(C830,Customers!$A:$A,0))</f>
        <v/>
      </c>
      <c r="F830" s="10" t="inlineStr">
        <is>
          <t>Own trucks</t>
        </is>
      </c>
      <c r="G830" s="5" t="n">
        <v>46262</v>
      </c>
      <c r="H830" s="5" t="n">
        <v>46265</v>
      </c>
      <c r="I830" s="5" t="n">
        <v>46265</v>
      </c>
      <c r="J830" s="10" t="inlineStr">
        <is>
          <t>12:40</t>
        </is>
      </c>
      <c r="K830" s="10" t="inlineStr">
        <is>
          <t>On time</t>
        </is>
      </c>
      <c r="L830" s="6" t="n">
        <v>0</v>
      </c>
      <c r="M830" s="10" t="n"/>
      <c r="N830" s="6" t="n">
        <v>8</v>
      </c>
      <c r="O830" s="6" t="n">
        <v>544</v>
      </c>
      <c r="P830" s="6" t="n">
        <v>1</v>
      </c>
      <c r="Q830" s="6">
        <f>IF(OR(K830="On time",K830="Late",K830="Very late"),1,0)</f>
        <v/>
      </c>
    </row>
    <row r="831">
      <c r="A831" s="10" t="inlineStr">
        <is>
          <t>DN319051</t>
        </is>
      </c>
      <c r="B831" s="10" t="inlineStr">
        <is>
          <t>SO62885</t>
        </is>
      </c>
      <c r="C831" s="10" t="inlineStr">
        <is>
          <t>C12103</t>
        </is>
      </c>
      <c r="D831" s="10">
        <f>INDEX(Customers!$B:$B,MATCH(C831,Customers!$A:$A,0))</f>
        <v/>
      </c>
      <c r="E831" s="10">
        <f>INDEX(Customers!$D:$D,MATCH(C831,Customers!$A:$A,0))</f>
        <v/>
      </c>
      <c r="F831" s="10" t="inlineStr">
        <is>
          <t>Own trucks</t>
        </is>
      </c>
      <c r="G831" s="5" t="n">
        <v>46262</v>
      </c>
      <c r="H831" s="5" t="n">
        <v>46265</v>
      </c>
      <c r="I831" s="5" t="n">
        <v>46265</v>
      </c>
      <c r="J831" s="10" t="inlineStr">
        <is>
          <t>13:40</t>
        </is>
      </c>
      <c r="K831" s="10" t="inlineStr">
        <is>
          <t>On time</t>
        </is>
      </c>
      <c r="L831" s="6" t="n">
        <v>0</v>
      </c>
      <c r="M831" s="10" t="n"/>
      <c r="N831" s="6" t="n">
        <v>5</v>
      </c>
      <c r="O831" s="6" t="n">
        <v>490</v>
      </c>
      <c r="P831" s="6" t="n">
        <v>1</v>
      </c>
      <c r="Q831" s="6">
        <f>IF(OR(K831="On time",K831="Late",K831="Very late"),1,0)</f>
        <v/>
      </c>
    </row>
    <row r="832">
      <c r="A832" s="10" t="inlineStr">
        <is>
          <t>DN319052</t>
        </is>
      </c>
      <c r="B832" s="10" t="inlineStr">
        <is>
          <t>SO62887</t>
        </is>
      </c>
      <c r="C832" s="10" t="inlineStr">
        <is>
          <t>C12117</t>
        </is>
      </c>
      <c r="D832" s="10">
        <f>INDEX(Customers!$B:$B,MATCH(C832,Customers!$A:$A,0))</f>
        <v/>
      </c>
      <c r="E832" s="10">
        <f>INDEX(Customers!$D:$D,MATCH(C832,Customers!$A:$A,0))</f>
        <v/>
      </c>
      <c r="F832" s="10" t="inlineStr">
        <is>
          <t>Own trucks</t>
        </is>
      </c>
      <c r="G832" s="5" t="n">
        <v>46262</v>
      </c>
      <c r="H832" s="5" t="n">
        <v>46265</v>
      </c>
      <c r="I832" s="5" t="n">
        <v>46265</v>
      </c>
      <c r="J832" s="10" t="inlineStr">
        <is>
          <t>08:50</t>
        </is>
      </c>
      <c r="K832" s="10" t="inlineStr">
        <is>
          <t>On time</t>
        </is>
      </c>
      <c r="L832" s="6" t="n">
        <v>0</v>
      </c>
      <c r="M832" s="10" t="n"/>
      <c r="N832" s="6" t="n">
        <v>40</v>
      </c>
      <c r="O832" s="6" t="n">
        <v>3120</v>
      </c>
      <c r="P832" s="6" t="n">
        <v>1</v>
      </c>
      <c r="Q832" s="6">
        <f>IF(OR(K832="On time",K832="Late",K832="Very late"),1,0)</f>
        <v/>
      </c>
    </row>
    <row r="833">
      <c r="A833" s="10" t="inlineStr">
        <is>
          <t>DN319053</t>
        </is>
      </c>
      <c r="B833" s="10" t="inlineStr">
        <is>
          <t>SO62888</t>
        </is>
      </c>
      <c r="C833" s="10" t="inlineStr">
        <is>
          <t>C12239</t>
        </is>
      </c>
      <c r="D833" s="10">
        <f>INDEX(Customers!$B:$B,MATCH(C833,Customers!$A:$A,0))</f>
        <v/>
      </c>
      <c r="E833" s="10">
        <f>INDEX(Customers!$D:$D,MATCH(C833,Customers!$A:$A,0))</f>
        <v/>
      </c>
      <c r="F833" s="10" t="inlineStr">
        <is>
          <t>Carrier B</t>
        </is>
      </c>
      <c r="G833" s="5" t="n">
        <v>46262</v>
      </c>
      <c r="H833" s="5" t="n">
        <v>46265</v>
      </c>
      <c r="I833" s="5" t="n">
        <v>46265</v>
      </c>
      <c r="J833" s="10" t="inlineStr">
        <is>
          <t>08:50</t>
        </is>
      </c>
      <c r="K833" s="10" t="inlineStr">
        <is>
          <t>On time</t>
        </is>
      </c>
      <c r="L833" s="6" t="n">
        <v>0</v>
      </c>
      <c r="M833" s="10" t="n"/>
      <c r="N833" s="6" t="n">
        <v>5</v>
      </c>
      <c r="O833" s="6" t="n">
        <v>320</v>
      </c>
      <c r="P833" s="6" t="n">
        <v>1</v>
      </c>
      <c r="Q833" s="6">
        <f>IF(OR(K833="On time",K833="Late",K833="Very late"),1,0)</f>
        <v/>
      </c>
    </row>
    <row r="834">
      <c r="A834" s="10" t="inlineStr">
        <is>
          <t>DN319054</t>
        </is>
      </c>
      <c r="B834" s="10" t="inlineStr">
        <is>
          <t>SO62889</t>
        </is>
      </c>
      <c r="C834" s="10" t="inlineStr">
        <is>
          <t>C12262</t>
        </is>
      </c>
      <c r="D834" s="10">
        <f>INDEX(Customers!$B:$B,MATCH(C834,Customers!$A:$A,0))</f>
        <v/>
      </c>
      <c r="E834" s="10">
        <f>INDEX(Customers!$D:$D,MATCH(C834,Customers!$A:$A,0))</f>
        <v/>
      </c>
      <c r="F834" s="10" t="inlineStr">
        <is>
          <t>Carrier B</t>
        </is>
      </c>
      <c r="G834" s="5" t="n">
        <v>46262</v>
      </c>
      <c r="H834" s="5" t="n">
        <v>46265</v>
      </c>
      <c r="I834" s="5" t="n">
        <v>46265</v>
      </c>
      <c r="J834" s="10" t="inlineStr">
        <is>
          <t>15:20</t>
        </is>
      </c>
      <c r="K834" s="10" t="inlineStr">
        <is>
          <t>On time</t>
        </is>
      </c>
      <c r="L834" s="6" t="n">
        <v>0</v>
      </c>
      <c r="M834" s="10" t="n"/>
      <c r="N834" s="6" t="n">
        <v>3</v>
      </c>
      <c r="O834" s="6" t="n">
        <v>249</v>
      </c>
      <c r="P834" s="6" t="n">
        <v>1</v>
      </c>
      <c r="Q834" s="6">
        <f>IF(OR(K834="On time",K834="Late",K834="Very late"),1,0)</f>
        <v/>
      </c>
    </row>
    <row r="835">
      <c r="A835" s="10" t="inlineStr">
        <is>
          <t>DN319055</t>
        </is>
      </c>
      <c r="B835" s="10" t="inlineStr">
        <is>
          <t>SO62890</t>
        </is>
      </c>
      <c r="C835" s="10" t="inlineStr">
        <is>
          <t>C12305</t>
        </is>
      </c>
      <c r="D835" s="10">
        <f>INDEX(Customers!$B:$B,MATCH(C835,Customers!$A:$A,0))</f>
        <v/>
      </c>
      <c r="E835" s="10">
        <f>INDEX(Customers!$D:$D,MATCH(C835,Customers!$A:$A,0))</f>
        <v/>
      </c>
      <c r="F835" s="10" t="inlineStr">
        <is>
          <t>Carrier B</t>
        </is>
      </c>
      <c r="G835" s="5" t="n">
        <v>46262</v>
      </c>
      <c r="H835" s="5" t="n">
        <v>46265</v>
      </c>
      <c r="I835" s="5" t="n">
        <v>46265</v>
      </c>
      <c r="J835" s="10" t="inlineStr">
        <is>
          <t>10:50</t>
        </is>
      </c>
      <c r="K835" s="10" t="inlineStr">
        <is>
          <t>On time</t>
        </is>
      </c>
      <c r="L835" s="6" t="n">
        <v>0</v>
      </c>
      <c r="M835" s="10" t="n"/>
      <c r="N835" s="6" t="n">
        <v>21</v>
      </c>
      <c r="O835" s="6" t="n">
        <v>2478</v>
      </c>
      <c r="P835" s="6" t="n">
        <v>1</v>
      </c>
      <c r="Q835" s="6">
        <f>IF(OR(K835="On time",K835="Late",K835="Very late"),1,0)</f>
        <v/>
      </c>
    </row>
    <row r="836">
      <c r="A836" s="10" t="inlineStr">
        <is>
          <t>DN319056</t>
        </is>
      </c>
      <c r="B836" s="10" t="inlineStr">
        <is>
          <t>SO62891</t>
        </is>
      </c>
      <c r="C836" s="10" t="inlineStr">
        <is>
          <t>C12389</t>
        </is>
      </c>
      <c r="D836" s="10">
        <f>INDEX(Customers!$B:$B,MATCH(C836,Customers!$A:$A,0))</f>
        <v/>
      </c>
      <c r="E836" s="10">
        <f>INDEX(Customers!$D:$D,MATCH(C836,Customers!$A:$A,0))</f>
        <v/>
      </c>
      <c r="F836" s="10" t="inlineStr">
        <is>
          <t>Carrier A</t>
        </is>
      </c>
      <c r="G836" s="5" t="n">
        <v>46262</v>
      </c>
      <c r="H836" s="5" t="n">
        <v>46265</v>
      </c>
      <c r="I836" s="5" t="n">
        <v>46265</v>
      </c>
      <c r="J836" s="10" t="inlineStr">
        <is>
          <t>09:00</t>
        </is>
      </c>
      <c r="K836" s="10" t="inlineStr">
        <is>
          <t>On time</t>
        </is>
      </c>
      <c r="L836" s="6" t="n">
        <v>0</v>
      </c>
      <c r="M836" s="10" t="n"/>
      <c r="N836" s="6" t="n">
        <v>17</v>
      </c>
      <c r="O836" s="6" t="n">
        <v>1088</v>
      </c>
      <c r="P836" s="6" t="n">
        <v>1</v>
      </c>
      <c r="Q836" s="6">
        <f>IF(OR(K836="On time",K836="Late",K836="Very late"),1,0)</f>
        <v/>
      </c>
    </row>
    <row r="837">
      <c r="A837" s="10" t="inlineStr">
        <is>
          <t>DN319057</t>
        </is>
      </c>
      <c r="B837" s="10" t="inlineStr">
        <is>
          <t>SO62892</t>
        </is>
      </c>
      <c r="C837" s="10" t="inlineStr">
        <is>
          <t>C12420</t>
        </is>
      </c>
      <c r="D837" s="10">
        <f>INDEX(Customers!$B:$B,MATCH(C837,Customers!$A:$A,0))</f>
        <v/>
      </c>
      <c r="E837" s="10">
        <f>INDEX(Customers!$D:$D,MATCH(C837,Customers!$A:$A,0))</f>
        <v/>
      </c>
      <c r="F837" s="10" t="inlineStr">
        <is>
          <t>Carrier A</t>
        </is>
      </c>
      <c r="G837" s="5" t="n">
        <v>46262</v>
      </c>
      <c r="H837" s="5" t="n">
        <v>46265</v>
      </c>
      <c r="I837" s="5" t="n">
        <v>46265</v>
      </c>
      <c r="J837" s="10" t="inlineStr">
        <is>
          <t>08:00</t>
        </is>
      </c>
      <c r="K837" s="10" t="inlineStr">
        <is>
          <t>On time</t>
        </is>
      </c>
      <c r="L837" s="6" t="n">
        <v>0</v>
      </c>
      <c r="M837" s="10" t="n"/>
      <c r="N837" s="6" t="n">
        <v>19</v>
      </c>
      <c r="O837" s="6" t="n">
        <v>1881</v>
      </c>
      <c r="P837" s="6" t="n">
        <v>1</v>
      </c>
      <c r="Q837" s="6">
        <f>IF(OR(K837="On time",K837="Late",K837="Very late"),1,0)</f>
        <v/>
      </c>
    </row>
    <row r="838">
      <c r="A838" s="10" t="inlineStr">
        <is>
          <t>DN319058</t>
        </is>
      </c>
      <c r="B838" s="10" t="inlineStr">
        <is>
          <t>SO62893</t>
        </is>
      </c>
      <c r="C838" s="10" t="inlineStr">
        <is>
          <t>C12527</t>
        </is>
      </c>
      <c r="D838" s="10">
        <f>INDEX(Customers!$B:$B,MATCH(C838,Customers!$A:$A,0))</f>
        <v/>
      </c>
      <c r="E838" s="10">
        <f>INDEX(Customers!$D:$D,MATCH(C838,Customers!$A:$A,0))</f>
        <v/>
      </c>
      <c r="F838" s="10" t="inlineStr">
        <is>
          <t>Carrier A</t>
        </is>
      </c>
      <c r="G838" s="5" t="n">
        <v>46262</v>
      </c>
      <c r="H838" s="5" t="n">
        <v>46265</v>
      </c>
      <c r="I838" s="5" t="n">
        <v>46265</v>
      </c>
      <c r="J838" s="10" t="inlineStr">
        <is>
          <t>16:30</t>
        </is>
      </c>
      <c r="K838" s="10" t="inlineStr">
        <is>
          <t>On time</t>
        </is>
      </c>
      <c r="L838" s="6" t="n">
        <v>0</v>
      </c>
      <c r="M838" s="10" t="n"/>
      <c r="N838" s="6" t="n">
        <v>34</v>
      </c>
      <c r="O838" s="6" t="n">
        <v>3944</v>
      </c>
      <c r="P838" s="6" t="n">
        <v>1</v>
      </c>
      <c r="Q838" s="6">
        <f>IF(OR(K838="On time",K838="Late",K838="Very late"),1,0)</f>
        <v/>
      </c>
    </row>
    <row r="839">
      <c r="A839" s="10" t="inlineStr">
        <is>
          <t>DN319059</t>
        </is>
      </c>
      <c r="B839" s="10" t="inlineStr">
        <is>
          <t>SO62894</t>
        </is>
      </c>
      <c r="C839" s="10" t="inlineStr">
        <is>
          <t>C12543</t>
        </is>
      </c>
      <c r="D839" s="10">
        <f>INDEX(Customers!$B:$B,MATCH(C839,Customers!$A:$A,0))</f>
        <v/>
      </c>
      <c r="E839" s="10">
        <f>INDEX(Customers!$D:$D,MATCH(C839,Customers!$A:$A,0))</f>
        <v/>
      </c>
      <c r="F839" s="10" t="inlineStr">
        <is>
          <t>Carrier B</t>
        </is>
      </c>
      <c r="G839" s="5" t="n">
        <v>46261</v>
      </c>
      <c r="H839" s="5" t="n">
        <v>46265</v>
      </c>
      <c r="I839" s="5" t="n">
        <v>46265</v>
      </c>
      <c r="J839" s="10" t="inlineStr">
        <is>
          <t>15:00</t>
        </is>
      </c>
      <c r="K839" s="10" t="inlineStr">
        <is>
          <t>On time</t>
        </is>
      </c>
      <c r="L839" s="6" t="n">
        <v>0</v>
      </c>
      <c r="M839" s="10" t="n"/>
      <c r="N839" s="6" t="n">
        <v>2</v>
      </c>
      <c r="O839" s="6" t="n">
        <v>136</v>
      </c>
      <c r="P839" s="6" t="n">
        <v>1</v>
      </c>
      <c r="Q839" s="6">
        <f>IF(OR(K839="On time",K839="Late",K839="Very late"),1,0)</f>
        <v/>
      </c>
    </row>
    <row r="840">
      <c r="A840" s="10" t="inlineStr">
        <is>
          <t>DN319060</t>
        </is>
      </c>
      <c r="B840" s="10" t="inlineStr">
        <is>
          <t>SO62896</t>
        </is>
      </c>
      <c r="C840" s="10" t="inlineStr">
        <is>
          <t>C12617</t>
        </is>
      </c>
      <c r="D840" s="10">
        <f>INDEX(Customers!$B:$B,MATCH(C840,Customers!$A:$A,0))</f>
        <v/>
      </c>
      <c r="E840" s="10">
        <f>INDEX(Customers!$D:$D,MATCH(C840,Customers!$A:$A,0))</f>
        <v/>
      </c>
      <c r="F840" s="10" t="inlineStr">
        <is>
          <t>Carrier B</t>
        </is>
      </c>
      <c r="G840" s="5" t="n">
        <v>46261</v>
      </c>
      <c r="H840" s="5" t="n">
        <v>46265</v>
      </c>
      <c r="I840" s="5" t="n">
        <v>46265</v>
      </c>
      <c r="J840" s="10" t="inlineStr">
        <is>
          <t>07:30</t>
        </is>
      </c>
      <c r="K840" s="10" t="inlineStr">
        <is>
          <t>On time</t>
        </is>
      </c>
      <c r="L840" s="6" t="n">
        <v>0</v>
      </c>
      <c r="M840" s="10" t="n"/>
      <c r="N840" s="6" t="n">
        <v>6</v>
      </c>
      <c r="O840" s="6" t="n">
        <v>504</v>
      </c>
      <c r="P840" s="6" t="n">
        <v>1</v>
      </c>
      <c r="Q840" s="6">
        <f>IF(OR(K840="On time",K840="Late",K840="Very late"),1,0)</f>
        <v/>
      </c>
    </row>
    <row r="841">
      <c r="A841" s="10" t="inlineStr">
        <is>
          <t>DN319062</t>
        </is>
      </c>
      <c r="B841" s="10" t="inlineStr">
        <is>
          <t>SO62898</t>
        </is>
      </c>
      <c r="C841" s="10" t="inlineStr">
        <is>
          <t>C12639</t>
        </is>
      </c>
      <c r="D841" s="10">
        <f>INDEX(Customers!$B:$B,MATCH(C841,Customers!$A:$A,0))</f>
        <v/>
      </c>
      <c r="E841" s="10">
        <f>INDEX(Customers!$D:$D,MATCH(C841,Customers!$A:$A,0))</f>
        <v/>
      </c>
      <c r="F841" s="10" t="inlineStr">
        <is>
          <t>Carrier B</t>
        </is>
      </c>
      <c r="G841" s="5" t="n">
        <v>46261</v>
      </c>
      <c r="H841" s="5" t="n">
        <v>46265</v>
      </c>
      <c r="I841" s="5" t="n">
        <v>46265</v>
      </c>
      <c r="J841" s="10" t="inlineStr">
        <is>
          <t>12:40</t>
        </is>
      </c>
      <c r="K841" s="10" t="inlineStr">
        <is>
          <t>On time</t>
        </is>
      </c>
      <c r="L841" s="6" t="n">
        <v>0</v>
      </c>
      <c r="M841" s="10" t="n"/>
      <c r="N841" s="6" t="n">
        <v>26</v>
      </c>
      <c r="O841" s="6" t="n">
        <v>2834</v>
      </c>
      <c r="P841" s="6" t="n">
        <v>0</v>
      </c>
      <c r="Q841" s="6">
        <f>IF(OR(K841="On time",K841="Late",K841="Very late"),1,0)</f>
        <v/>
      </c>
    </row>
    <row r="842">
      <c r="A842" s="10" t="inlineStr">
        <is>
          <t>DN319063</t>
        </is>
      </c>
      <c r="B842" s="10" t="inlineStr">
        <is>
          <t>SO62899</t>
        </is>
      </c>
      <c r="C842" s="10" t="inlineStr">
        <is>
          <t>C12675</t>
        </is>
      </c>
      <c r="D842" s="10">
        <f>INDEX(Customers!$B:$B,MATCH(C842,Customers!$A:$A,0))</f>
        <v/>
      </c>
      <c r="E842" s="10">
        <f>INDEX(Customers!$D:$D,MATCH(C842,Customers!$A:$A,0))</f>
        <v/>
      </c>
      <c r="F842" s="10" t="inlineStr">
        <is>
          <t>Carrier B</t>
        </is>
      </c>
      <c r="G842" s="5" t="n">
        <v>46261</v>
      </c>
      <c r="H842" s="5" t="n">
        <v>46265</v>
      </c>
      <c r="I842" s="5" t="n">
        <v>46265</v>
      </c>
      <c r="J842" s="10" t="inlineStr">
        <is>
          <t>08:10</t>
        </is>
      </c>
      <c r="K842" s="10" t="inlineStr">
        <is>
          <t>On time</t>
        </is>
      </c>
      <c r="L842" s="6" t="n">
        <v>0</v>
      </c>
      <c r="M842" s="10" t="n"/>
      <c r="N842" s="6" t="n">
        <v>13</v>
      </c>
      <c r="O842" s="6" t="n">
        <v>1768</v>
      </c>
      <c r="P842" s="6" t="n">
        <v>1</v>
      </c>
      <c r="Q842" s="6">
        <f>IF(OR(K842="On time",K842="Late",K842="Very late"),1,0)</f>
        <v/>
      </c>
    </row>
    <row r="843">
      <c r="A843" s="10" t="inlineStr">
        <is>
          <t>DN319064</t>
        </is>
      </c>
      <c r="B843" s="10" t="inlineStr">
        <is>
          <t>SO62901</t>
        </is>
      </c>
      <c r="C843" s="10" t="inlineStr">
        <is>
          <t>C10322</t>
        </is>
      </c>
      <c r="D843" s="10">
        <f>INDEX(Customers!$B:$B,MATCH(C843,Customers!$A:$A,0))</f>
        <v/>
      </c>
      <c r="E843" s="10">
        <f>INDEX(Customers!$D:$D,MATCH(C843,Customers!$A:$A,0))</f>
        <v/>
      </c>
      <c r="F843" s="10" t="inlineStr">
        <is>
          <t>Own trucks</t>
        </is>
      </c>
      <c r="G843" s="5" t="n">
        <v>46265</v>
      </c>
      <c r="H843" s="5" t="n">
        <v>46266</v>
      </c>
      <c r="I843" s="5" t="n">
        <v>46266</v>
      </c>
      <c r="J843" s="10" t="inlineStr">
        <is>
          <t>12:30</t>
        </is>
      </c>
      <c r="K843" s="10" t="inlineStr">
        <is>
          <t>On time</t>
        </is>
      </c>
      <c r="L843" s="6" t="n">
        <v>0</v>
      </c>
      <c r="M843" s="10" t="n"/>
      <c r="N843" s="6" t="n">
        <v>6</v>
      </c>
      <c r="O843" s="6" t="n">
        <v>420</v>
      </c>
      <c r="P843" s="6" t="n">
        <v>1</v>
      </c>
      <c r="Q843" s="6">
        <f>IF(OR(K843="On time",K843="Late",K843="Very late"),1,0)</f>
        <v/>
      </c>
    </row>
    <row r="844">
      <c r="A844" s="10" t="inlineStr">
        <is>
          <t>DN319065</t>
        </is>
      </c>
      <c r="B844" s="10" t="inlineStr">
        <is>
          <t>SO62902</t>
        </is>
      </c>
      <c r="C844" s="10" t="inlineStr">
        <is>
          <t>C10343</t>
        </is>
      </c>
      <c r="D844" s="10">
        <f>INDEX(Customers!$B:$B,MATCH(C844,Customers!$A:$A,0))</f>
        <v/>
      </c>
      <c r="E844" s="10">
        <f>INDEX(Customers!$D:$D,MATCH(C844,Customers!$A:$A,0))</f>
        <v/>
      </c>
      <c r="F844" s="10" t="inlineStr">
        <is>
          <t>Own trucks</t>
        </is>
      </c>
      <c r="G844" s="5" t="n">
        <v>46265</v>
      </c>
      <c r="H844" s="5" t="n">
        <v>46266</v>
      </c>
      <c r="I844" s="5" t="n">
        <v>46266</v>
      </c>
      <c r="J844" s="10" t="inlineStr">
        <is>
          <t>16:30</t>
        </is>
      </c>
      <c r="K844" s="10" t="inlineStr">
        <is>
          <t>On time</t>
        </is>
      </c>
      <c r="L844" s="6" t="n">
        <v>0</v>
      </c>
      <c r="M844" s="10" t="n"/>
      <c r="N844" s="6" t="n">
        <v>12</v>
      </c>
      <c r="O844" s="6" t="n">
        <v>1344</v>
      </c>
      <c r="P844" s="6" t="n">
        <v>1</v>
      </c>
      <c r="Q844" s="6">
        <f>IF(OR(K844="On time",K844="Late",K844="Very late"),1,0)</f>
        <v/>
      </c>
    </row>
    <row r="845">
      <c r="A845" s="10" t="inlineStr">
        <is>
          <t>DN319066</t>
        </is>
      </c>
      <c r="B845" s="10" t="inlineStr">
        <is>
          <t>SO62903</t>
        </is>
      </c>
      <c r="C845" s="10" t="inlineStr">
        <is>
          <t>C10413</t>
        </is>
      </c>
      <c r="D845" s="10">
        <f>INDEX(Customers!$B:$B,MATCH(C845,Customers!$A:$A,0))</f>
        <v/>
      </c>
      <c r="E845" s="10">
        <f>INDEX(Customers!$D:$D,MATCH(C845,Customers!$A:$A,0))</f>
        <v/>
      </c>
      <c r="F845" s="10" t="inlineStr">
        <is>
          <t>Own trucks</t>
        </is>
      </c>
      <c r="G845" s="5" t="n">
        <v>46265</v>
      </c>
      <c r="H845" s="5" t="n">
        <v>46266</v>
      </c>
      <c r="I845" s="5" t="n">
        <v>46266</v>
      </c>
      <c r="J845" s="10" t="inlineStr">
        <is>
          <t>11:10</t>
        </is>
      </c>
      <c r="K845" s="10" t="inlineStr">
        <is>
          <t>On time</t>
        </is>
      </c>
      <c r="L845" s="6" t="n">
        <v>0</v>
      </c>
      <c r="M845" s="10" t="n"/>
      <c r="N845" s="6" t="n">
        <v>11</v>
      </c>
      <c r="O845" s="6" t="n">
        <v>1529</v>
      </c>
      <c r="P845" s="6" t="n">
        <v>1</v>
      </c>
      <c r="Q845" s="6">
        <f>IF(OR(K845="On time",K845="Late",K845="Very late"),1,0)</f>
        <v/>
      </c>
    </row>
    <row r="846">
      <c r="A846" s="10" t="inlineStr">
        <is>
          <t>DN319067</t>
        </is>
      </c>
      <c r="B846" s="10" t="inlineStr">
        <is>
          <t>SO62905</t>
        </is>
      </c>
      <c r="C846" s="10" t="inlineStr">
        <is>
          <t>C10446</t>
        </is>
      </c>
      <c r="D846" s="10">
        <f>INDEX(Customers!$B:$B,MATCH(C846,Customers!$A:$A,0))</f>
        <v/>
      </c>
      <c r="E846" s="10">
        <f>INDEX(Customers!$D:$D,MATCH(C846,Customers!$A:$A,0))</f>
        <v/>
      </c>
      <c r="F846" s="10" t="inlineStr">
        <is>
          <t>Own trucks</t>
        </is>
      </c>
      <c r="G846" s="5" t="n">
        <v>46265</v>
      </c>
      <c r="H846" s="5" t="n">
        <v>46266</v>
      </c>
      <c r="I846" s="5" t="n">
        <v>46266</v>
      </c>
      <c r="J846" s="10" t="inlineStr">
        <is>
          <t>14:10</t>
        </is>
      </c>
      <c r="K846" s="10" t="inlineStr">
        <is>
          <t>On time</t>
        </is>
      </c>
      <c r="L846" s="6" t="n">
        <v>0</v>
      </c>
      <c r="M846" s="10" t="n"/>
      <c r="N846" s="6" t="n">
        <v>10</v>
      </c>
      <c r="O846" s="6" t="n">
        <v>1110</v>
      </c>
      <c r="P846" s="6" t="n">
        <v>1</v>
      </c>
      <c r="Q846" s="6">
        <f>IF(OR(K846="On time",K846="Late",K846="Very late"),1,0)</f>
        <v/>
      </c>
    </row>
    <row r="847">
      <c r="A847" s="10" t="inlineStr">
        <is>
          <t>DN319068</t>
        </is>
      </c>
      <c r="B847" s="10" t="inlineStr">
        <is>
          <t>SO62906</t>
        </is>
      </c>
      <c r="C847" s="10" t="inlineStr">
        <is>
          <t>C10515</t>
        </is>
      </c>
      <c r="D847" s="10">
        <f>INDEX(Customers!$B:$B,MATCH(C847,Customers!$A:$A,0))</f>
        <v/>
      </c>
      <c r="E847" s="10">
        <f>INDEX(Customers!$D:$D,MATCH(C847,Customers!$A:$A,0))</f>
        <v/>
      </c>
      <c r="F847" s="10" t="inlineStr">
        <is>
          <t>Own trucks</t>
        </is>
      </c>
      <c r="G847" s="5" t="n">
        <v>46265</v>
      </c>
      <c r="H847" s="5" t="n">
        <v>46266</v>
      </c>
      <c r="I847" s="5" t="n">
        <v>46266</v>
      </c>
      <c r="J847" s="10" t="inlineStr">
        <is>
          <t>13:00</t>
        </is>
      </c>
      <c r="K847" s="10" t="inlineStr">
        <is>
          <t>On time</t>
        </is>
      </c>
      <c r="L847" s="6" t="n">
        <v>0</v>
      </c>
      <c r="M847" s="10" t="n"/>
      <c r="N847" s="6" t="n">
        <v>13</v>
      </c>
      <c r="O847" s="6" t="n">
        <v>1079</v>
      </c>
      <c r="P847" s="6" t="n">
        <v>1</v>
      </c>
      <c r="Q847" s="6">
        <f>IF(OR(K847="On time",K847="Late",K847="Very late"),1,0)</f>
        <v/>
      </c>
    </row>
    <row r="848">
      <c r="A848" s="10" t="inlineStr">
        <is>
          <t>DN319069</t>
        </is>
      </c>
      <c r="B848" s="10" t="inlineStr">
        <is>
          <t>SO62907</t>
        </is>
      </c>
      <c r="C848" s="10" t="inlineStr">
        <is>
          <t>C10522</t>
        </is>
      </c>
      <c r="D848" s="10">
        <f>INDEX(Customers!$B:$B,MATCH(C848,Customers!$A:$A,0))</f>
        <v/>
      </c>
      <c r="E848" s="10">
        <f>INDEX(Customers!$D:$D,MATCH(C848,Customers!$A:$A,0))</f>
        <v/>
      </c>
      <c r="F848" s="10" t="inlineStr">
        <is>
          <t>Own trucks</t>
        </is>
      </c>
      <c r="G848" s="5" t="n">
        <v>46265</v>
      </c>
      <c r="H848" s="5" t="n">
        <v>46266</v>
      </c>
      <c r="I848" s="5" t="n">
        <v>46266</v>
      </c>
      <c r="J848" s="10" t="inlineStr">
        <is>
          <t>10:40</t>
        </is>
      </c>
      <c r="K848" s="10" t="inlineStr">
        <is>
          <t>On time</t>
        </is>
      </c>
      <c r="L848" s="6" t="n">
        <v>0</v>
      </c>
      <c r="M848" s="10" t="n"/>
      <c r="N848" s="6" t="n">
        <v>36</v>
      </c>
      <c r="O848" s="6" t="n">
        <v>3312</v>
      </c>
      <c r="P848" s="6" t="n">
        <v>1</v>
      </c>
      <c r="Q848" s="6">
        <f>IF(OR(K848="On time",K848="Late",K848="Very late"),1,0)</f>
        <v/>
      </c>
    </row>
    <row r="849">
      <c r="A849" s="10" t="inlineStr">
        <is>
          <t>DN319070</t>
        </is>
      </c>
      <c r="B849" s="10" t="inlineStr">
        <is>
          <t>SO62908</t>
        </is>
      </c>
      <c r="C849" s="10" t="inlineStr">
        <is>
          <t>C10536</t>
        </is>
      </c>
      <c r="D849" s="10">
        <f>INDEX(Customers!$B:$B,MATCH(C849,Customers!$A:$A,0))</f>
        <v/>
      </c>
      <c r="E849" s="10">
        <f>INDEX(Customers!$D:$D,MATCH(C849,Customers!$A:$A,0))</f>
        <v/>
      </c>
      <c r="F849" s="10" t="inlineStr">
        <is>
          <t>Own trucks</t>
        </is>
      </c>
      <c r="G849" s="5" t="n">
        <v>46265</v>
      </c>
      <c r="H849" s="5" t="n">
        <v>46266</v>
      </c>
      <c r="I849" s="5" t="n">
        <v>46266</v>
      </c>
      <c r="J849" s="10" t="inlineStr">
        <is>
          <t>07:40</t>
        </is>
      </c>
      <c r="K849" s="10" t="inlineStr">
        <is>
          <t>On time</t>
        </is>
      </c>
      <c r="L849" s="6" t="n">
        <v>0</v>
      </c>
      <c r="M849" s="10" t="n"/>
      <c r="N849" s="6" t="n">
        <v>24</v>
      </c>
      <c r="O849" s="6" t="n">
        <v>1968</v>
      </c>
      <c r="P849" s="6" t="n">
        <v>1</v>
      </c>
      <c r="Q849" s="6">
        <f>IF(OR(K849="On time",K849="Late",K849="Very late"),1,0)</f>
        <v/>
      </c>
    </row>
    <row r="850">
      <c r="A850" s="10" t="inlineStr">
        <is>
          <t>DN319071</t>
        </is>
      </c>
      <c r="B850" s="10" t="inlineStr">
        <is>
          <t>SO62909</t>
        </is>
      </c>
      <c r="C850" s="10" t="inlineStr">
        <is>
          <t>C10589</t>
        </is>
      </c>
      <c r="D850" s="10">
        <f>INDEX(Customers!$B:$B,MATCH(C850,Customers!$A:$A,0))</f>
        <v/>
      </c>
      <c r="E850" s="10">
        <f>INDEX(Customers!$D:$D,MATCH(C850,Customers!$A:$A,0))</f>
        <v/>
      </c>
      <c r="F850" s="10" t="inlineStr">
        <is>
          <t>Own trucks</t>
        </is>
      </c>
      <c r="G850" s="5" t="n">
        <v>46265</v>
      </c>
      <c r="H850" s="5" t="n">
        <v>46266</v>
      </c>
      <c r="I850" s="5" t="n">
        <v>46268</v>
      </c>
      <c r="J850" s="10" t="inlineStr">
        <is>
          <t>09:50</t>
        </is>
      </c>
      <c r="K850" s="10" t="inlineStr">
        <is>
          <t>Very late</t>
        </is>
      </c>
      <c r="L850" s="6" t="n">
        <v>2</v>
      </c>
      <c r="M850" s="10" t="inlineStr">
        <is>
          <t>Carrier delay</t>
        </is>
      </c>
      <c r="N850" s="6" t="n">
        <v>37</v>
      </c>
      <c r="O850" s="6" t="n">
        <v>4514</v>
      </c>
      <c r="P850" s="6" t="n">
        <v>1</v>
      </c>
      <c r="Q850" s="6">
        <f>IF(OR(K850="On time",K850="Late",K850="Very late"),1,0)</f>
        <v/>
      </c>
    </row>
    <row r="851">
      <c r="A851" s="10" t="inlineStr">
        <is>
          <t>DN319072</t>
        </is>
      </c>
      <c r="B851" s="10" t="inlineStr">
        <is>
          <t>SO62911</t>
        </is>
      </c>
      <c r="C851" s="10" t="inlineStr">
        <is>
          <t>C10622</t>
        </is>
      </c>
      <c r="D851" s="10">
        <f>INDEX(Customers!$B:$B,MATCH(C851,Customers!$A:$A,0))</f>
        <v/>
      </c>
      <c r="E851" s="10">
        <f>INDEX(Customers!$D:$D,MATCH(C851,Customers!$A:$A,0))</f>
        <v/>
      </c>
      <c r="F851" s="10" t="inlineStr">
        <is>
          <t>Own trucks</t>
        </is>
      </c>
      <c r="G851" s="5" t="n">
        <v>46265</v>
      </c>
      <c r="H851" s="5" t="n">
        <v>46266</v>
      </c>
      <c r="I851" s="5" t="n">
        <v>46266</v>
      </c>
      <c r="J851" s="10" t="inlineStr">
        <is>
          <t>07:20</t>
        </is>
      </c>
      <c r="K851" s="10" t="inlineStr">
        <is>
          <t>On time</t>
        </is>
      </c>
      <c r="L851" s="6" t="n">
        <v>0</v>
      </c>
      <c r="M851" s="10" t="n"/>
      <c r="N851" s="6" t="n">
        <v>5</v>
      </c>
      <c r="O851" s="6" t="n">
        <v>630</v>
      </c>
      <c r="P851" s="6" t="n">
        <v>1</v>
      </c>
      <c r="Q851" s="6">
        <f>IF(OR(K851="On time",K851="Late",K851="Very late"),1,0)</f>
        <v/>
      </c>
    </row>
    <row r="852">
      <c r="A852" s="10" t="inlineStr">
        <is>
          <t>DN319073</t>
        </is>
      </c>
      <c r="B852" s="10" t="inlineStr">
        <is>
          <t>SO62912</t>
        </is>
      </c>
      <c r="C852" s="10" t="inlineStr">
        <is>
          <t>C10648</t>
        </is>
      </c>
      <c r="D852" s="10">
        <f>INDEX(Customers!$B:$B,MATCH(C852,Customers!$A:$A,0))</f>
        <v/>
      </c>
      <c r="E852" s="10">
        <f>INDEX(Customers!$D:$D,MATCH(C852,Customers!$A:$A,0))</f>
        <v/>
      </c>
      <c r="F852" s="10" t="inlineStr">
        <is>
          <t>Own trucks</t>
        </is>
      </c>
      <c r="G852" s="5" t="n">
        <v>46265</v>
      </c>
      <c r="H852" s="5" t="n">
        <v>46266</v>
      </c>
      <c r="I852" s="5" t="n">
        <v>46266</v>
      </c>
      <c r="J852" s="10" t="inlineStr">
        <is>
          <t>14:20</t>
        </is>
      </c>
      <c r="K852" s="10" t="inlineStr">
        <is>
          <t>On time</t>
        </is>
      </c>
      <c r="L852" s="6" t="n">
        <v>0</v>
      </c>
      <c r="M852" s="10" t="n"/>
      <c r="N852" s="6" t="n">
        <v>33</v>
      </c>
      <c r="O852" s="6" t="n">
        <v>3894</v>
      </c>
      <c r="P852" s="6" t="n">
        <v>1</v>
      </c>
      <c r="Q852" s="6">
        <f>IF(OR(K852="On time",K852="Late",K852="Very late"),1,0)</f>
        <v/>
      </c>
    </row>
    <row r="853">
      <c r="A853" s="10" t="inlineStr">
        <is>
          <t>DN319074</t>
        </is>
      </c>
      <c r="B853" s="10" t="inlineStr">
        <is>
          <t>SO62913</t>
        </is>
      </c>
      <c r="C853" s="10" t="inlineStr">
        <is>
          <t>C10676</t>
        </is>
      </c>
      <c r="D853" s="10">
        <f>INDEX(Customers!$B:$B,MATCH(C853,Customers!$A:$A,0))</f>
        <v/>
      </c>
      <c r="E853" s="10">
        <f>INDEX(Customers!$D:$D,MATCH(C853,Customers!$A:$A,0))</f>
        <v/>
      </c>
      <c r="F853" s="10" t="inlineStr">
        <is>
          <t>Own trucks</t>
        </is>
      </c>
      <c r="G853" s="5" t="n">
        <v>46265</v>
      </c>
      <c r="H853" s="5" t="n">
        <v>46266</v>
      </c>
      <c r="I853" s="5" t="n">
        <v>46266</v>
      </c>
      <c r="J853" s="10" t="inlineStr">
        <is>
          <t>13:20</t>
        </is>
      </c>
      <c r="K853" s="10" t="inlineStr">
        <is>
          <t>On time</t>
        </is>
      </c>
      <c r="L853" s="6" t="n">
        <v>0</v>
      </c>
      <c r="M853" s="10" t="n"/>
      <c r="N853" s="6" t="n">
        <v>18</v>
      </c>
      <c r="O853" s="6" t="n">
        <v>1134</v>
      </c>
      <c r="P853" s="6" t="n">
        <v>1</v>
      </c>
      <c r="Q853" s="6">
        <f>IF(OR(K853="On time",K853="Late",K853="Very late"),1,0)</f>
        <v/>
      </c>
    </row>
    <row r="854">
      <c r="A854" s="10" t="inlineStr">
        <is>
          <t>DN319075</t>
        </is>
      </c>
      <c r="B854" s="10" t="inlineStr">
        <is>
          <t>SO62914</t>
        </is>
      </c>
      <c r="C854" s="10" t="inlineStr">
        <is>
          <t>C10746</t>
        </is>
      </c>
      <c r="D854" s="10">
        <f>INDEX(Customers!$B:$B,MATCH(C854,Customers!$A:$A,0))</f>
        <v/>
      </c>
      <c r="E854" s="10">
        <f>INDEX(Customers!$D:$D,MATCH(C854,Customers!$A:$A,0))</f>
        <v/>
      </c>
      <c r="F854" s="10" t="inlineStr">
        <is>
          <t>Own trucks</t>
        </is>
      </c>
      <c r="G854" s="5" t="n">
        <v>46265</v>
      </c>
      <c r="H854" s="5" t="n">
        <v>46266</v>
      </c>
      <c r="I854" s="5" t="n">
        <v>46266</v>
      </c>
      <c r="J854" s="10" t="inlineStr">
        <is>
          <t>09:40</t>
        </is>
      </c>
      <c r="K854" s="10" t="inlineStr">
        <is>
          <t>On time</t>
        </is>
      </c>
      <c r="L854" s="6" t="n">
        <v>0</v>
      </c>
      <c r="M854" s="10" t="n"/>
      <c r="N854" s="6" t="n">
        <v>24</v>
      </c>
      <c r="O854" s="6" t="n">
        <v>1896</v>
      </c>
      <c r="P854" s="6" t="n">
        <v>1</v>
      </c>
      <c r="Q854" s="6">
        <f>IF(OR(K854="On time",K854="Late",K854="Very late"),1,0)</f>
        <v/>
      </c>
    </row>
    <row r="855">
      <c r="A855" s="10" t="inlineStr">
        <is>
          <t>DN319076</t>
        </is>
      </c>
      <c r="B855" s="10" t="inlineStr">
        <is>
          <t>SO62916</t>
        </is>
      </c>
      <c r="C855" s="10" t="inlineStr">
        <is>
          <t>C10847</t>
        </is>
      </c>
      <c r="D855" s="10">
        <f>INDEX(Customers!$B:$B,MATCH(C855,Customers!$A:$A,0))</f>
        <v/>
      </c>
      <c r="E855" s="10">
        <f>INDEX(Customers!$D:$D,MATCH(C855,Customers!$A:$A,0))</f>
        <v/>
      </c>
      <c r="F855" s="10" t="inlineStr">
        <is>
          <t>Own trucks</t>
        </is>
      </c>
      <c r="G855" s="5" t="n">
        <v>46265</v>
      </c>
      <c r="H855" s="5" t="n">
        <v>46266</v>
      </c>
      <c r="I855" s="5" t="n">
        <v>46266</v>
      </c>
      <c r="J855" s="10" t="inlineStr">
        <is>
          <t>07:40</t>
        </is>
      </c>
      <c r="K855" s="10" t="inlineStr">
        <is>
          <t>On time</t>
        </is>
      </c>
      <c r="L855" s="6" t="n">
        <v>0</v>
      </c>
      <c r="M855" s="10" t="n"/>
      <c r="N855" s="6" t="n">
        <v>5</v>
      </c>
      <c r="O855" s="6" t="n">
        <v>415</v>
      </c>
      <c r="P855" s="6" t="n">
        <v>1</v>
      </c>
      <c r="Q855" s="6">
        <f>IF(OR(K855="On time",K855="Late",K855="Very late"),1,0)</f>
        <v/>
      </c>
    </row>
    <row r="856">
      <c r="A856" s="10" t="inlineStr">
        <is>
          <t>DN319077</t>
        </is>
      </c>
      <c r="B856" s="10" t="inlineStr">
        <is>
          <t>SO62918</t>
        </is>
      </c>
      <c r="C856" s="10" t="inlineStr">
        <is>
          <t>C10982</t>
        </is>
      </c>
      <c r="D856" s="10">
        <f>INDEX(Customers!$B:$B,MATCH(C856,Customers!$A:$A,0))</f>
        <v/>
      </c>
      <c r="E856" s="10">
        <f>INDEX(Customers!$D:$D,MATCH(C856,Customers!$A:$A,0))</f>
        <v/>
      </c>
      <c r="F856" s="10" t="inlineStr">
        <is>
          <t>Own trucks</t>
        </is>
      </c>
      <c r="G856" s="5" t="n">
        <v>46265</v>
      </c>
      <c r="H856" s="5" t="n">
        <v>46266</v>
      </c>
      <c r="I856" s="5" t="n">
        <v>46266</v>
      </c>
      <c r="J856" s="10" t="inlineStr">
        <is>
          <t>09:00</t>
        </is>
      </c>
      <c r="K856" s="10" t="inlineStr">
        <is>
          <t>On time</t>
        </is>
      </c>
      <c r="L856" s="6" t="n">
        <v>0</v>
      </c>
      <c r="M856" s="10" t="n"/>
      <c r="N856" s="6" t="n">
        <v>6</v>
      </c>
      <c r="O856" s="6" t="n">
        <v>738</v>
      </c>
      <c r="P856" s="6" t="n">
        <v>1</v>
      </c>
      <c r="Q856" s="6">
        <f>IF(OR(K856="On time",K856="Late",K856="Very late"),1,0)</f>
        <v/>
      </c>
    </row>
    <row r="857">
      <c r="A857" s="10" t="inlineStr">
        <is>
          <t>DN319078</t>
        </is>
      </c>
      <c r="B857" s="10" t="inlineStr">
        <is>
          <t>SO62919</t>
        </is>
      </c>
      <c r="C857" s="10" t="inlineStr">
        <is>
          <t>C11107</t>
        </is>
      </c>
      <c r="D857" s="10">
        <f>INDEX(Customers!$B:$B,MATCH(C857,Customers!$A:$A,0))</f>
        <v/>
      </c>
      <c r="E857" s="10">
        <f>INDEX(Customers!$D:$D,MATCH(C857,Customers!$A:$A,0))</f>
        <v/>
      </c>
      <c r="F857" s="10" t="inlineStr">
        <is>
          <t>Own trucks</t>
        </is>
      </c>
      <c r="G857" s="5" t="n">
        <v>46265</v>
      </c>
      <c r="H857" s="5" t="n">
        <v>46266</v>
      </c>
      <c r="I857" s="5" t="n">
        <v>46266</v>
      </c>
      <c r="J857" s="10" t="inlineStr">
        <is>
          <t>14:30</t>
        </is>
      </c>
      <c r="K857" s="10" t="inlineStr">
        <is>
          <t>On time</t>
        </is>
      </c>
      <c r="L857" s="6" t="n">
        <v>0</v>
      </c>
      <c r="M857" s="10" t="n"/>
      <c r="N857" s="6" t="n">
        <v>6</v>
      </c>
      <c r="O857" s="6" t="n">
        <v>366</v>
      </c>
      <c r="P857" s="6" t="n">
        <v>1</v>
      </c>
      <c r="Q857" s="6">
        <f>IF(OR(K857="On time",K857="Late",K857="Very late"),1,0)</f>
        <v/>
      </c>
    </row>
    <row r="858">
      <c r="A858" s="10" t="inlineStr">
        <is>
          <t>DN319079</t>
        </is>
      </c>
      <c r="B858" s="10" t="inlineStr">
        <is>
          <t>SO62920</t>
        </is>
      </c>
      <c r="C858" s="10" t="inlineStr">
        <is>
          <t>C11143</t>
        </is>
      </c>
      <c r="D858" s="10">
        <f>INDEX(Customers!$B:$B,MATCH(C858,Customers!$A:$A,0))</f>
        <v/>
      </c>
      <c r="E858" s="10">
        <f>INDEX(Customers!$D:$D,MATCH(C858,Customers!$A:$A,0))</f>
        <v/>
      </c>
      <c r="F858" s="10" t="inlineStr">
        <is>
          <t>Own trucks</t>
        </is>
      </c>
      <c r="G858" s="5" t="n">
        <v>46265</v>
      </c>
      <c r="H858" s="5" t="n">
        <v>46266</v>
      </c>
      <c r="I858" s="5" t="n">
        <v>46266</v>
      </c>
      <c r="J858" s="10" t="inlineStr">
        <is>
          <t>07:30</t>
        </is>
      </c>
      <c r="K858" s="10" t="inlineStr">
        <is>
          <t>On time</t>
        </is>
      </c>
      <c r="L858" s="6" t="n">
        <v>0</v>
      </c>
      <c r="M858" s="10" t="n"/>
      <c r="N858" s="6" t="n">
        <v>28</v>
      </c>
      <c r="O858" s="6" t="n">
        <v>2912</v>
      </c>
      <c r="P858" s="6" t="n">
        <v>1</v>
      </c>
      <c r="Q858" s="6">
        <f>IF(OR(K858="On time",K858="Late",K858="Very late"),1,0)</f>
        <v/>
      </c>
    </row>
    <row r="859">
      <c r="A859" s="10" t="inlineStr">
        <is>
          <t>DN319080</t>
        </is>
      </c>
      <c r="B859" s="10" t="inlineStr">
        <is>
          <t>SO62921</t>
        </is>
      </c>
      <c r="C859" s="10" t="inlineStr">
        <is>
          <t>C11247</t>
        </is>
      </c>
      <c r="D859" s="10">
        <f>INDEX(Customers!$B:$B,MATCH(C859,Customers!$A:$A,0))</f>
        <v/>
      </c>
      <c r="E859" s="10">
        <f>INDEX(Customers!$D:$D,MATCH(C859,Customers!$A:$A,0))</f>
        <v/>
      </c>
      <c r="F859" s="10" t="inlineStr">
        <is>
          <t>Own trucks</t>
        </is>
      </c>
      <c r="G859" s="5" t="n">
        <v>46265</v>
      </c>
      <c r="H859" s="5" t="n">
        <v>46266</v>
      </c>
      <c r="I859" s="5" t="n">
        <v>46266</v>
      </c>
      <c r="J859" s="10" t="inlineStr">
        <is>
          <t>12:40</t>
        </is>
      </c>
      <c r="K859" s="10" t="inlineStr">
        <is>
          <t>On time</t>
        </is>
      </c>
      <c r="L859" s="6" t="n">
        <v>0</v>
      </c>
      <c r="M859" s="10" t="n"/>
      <c r="N859" s="6" t="n">
        <v>18</v>
      </c>
      <c r="O859" s="6" t="n">
        <v>1710</v>
      </c>
      <c r="P859" s="6" t="n">
        <v>1</v>
      </c>
      <c r="Q859" s="6">
        <f>IF(OR(K859="On time",K859="Late",K859="Very late"),1,0)</f>
        <v/>
      </c>
    </row>
    <row r="860">
      <c r="A860" s="10" t="inlineStr">
        <is>
          <t>DN319081</t>
        </is>
      </c>
      <c r="B860" s="10" t="inlineStr">
        <is>
          <t>SO62923</t>
        </is>
      </c>
      <c r="C860" s="10" t="inlineStr">
        <is>
          <t>C11264</t>
        </is>
      </c>
      <c r="D860" s="10">
        <f>INDEX(Customers!$B:$B,MATCH(C860,Customers!$A:$A,0))</f>
        <v/>
      </c>
      <c r="E860" s="10">
        <f>INDEX(Customers!$D:$D,MATCH(C860,Customers!$A:$A,0))</f>
        <v/>
      </c>
      <c r="F860" s="10" t="inlineStr">
        <is>
          <t>Own trucks</t>
        </is>
      </c>
      <c r="G860" s="5" t="n">
        <v>46265</v>
      </c>
      <c r="H860" s="5" t="n">
        <v>46266</v>
      </c>
      <c r="I860" s="5" t="n">
        <v>46266</v>
      </c>
      <c r="J860" s="10" t="inlineStr">
        <is>
          <t>12:10</t>
        </is>
      </c>
      <c r="K860" s="10" t="inlineStr">
        <is>
          <t>On time</t>
        </is>
      </c>
      <c r="L860" s="6" t="n">
        <v>0</v>
      </c>
      <c r="M860" s="10" t="n"/>
      <c r="N860" s="6" t="n">
        <v>26</v>
      </c>
      <c r="O860" s="6" t="n">
        <v>2106</v>
      </c>
      <c r="P860" s="6" t="n">
        <v>1</v>
      </c>
      <c r="Q860" s="6">
        <f>IF(OR(K860="On time",K860="Late",K860="Very late"),1,0)</f>
        <v/>
      </c>
    </row>
    <row r="861">
      <c r="A861" s="10" t="inlineStr">
        <is>
          <t>DN319082</t>
        </is>
      </c>
      <c r="B861" s="10" t="inlineStr">
        <is>
          <t>SO62924</t>
        </is>
      </c>
      <c r="C861" s="10" t="inlineStr">
        <is>
          <t>C11314</t>
        </is>
      </c>
      <c r="D861" s="10">
        <f>INDEX(Customers!$B:$B,MATCH(C861,Customers!$A:$A,0))</f>
        <v/>
      </c>
      <c r="E861" s="10">
        <f>INDEX(Customers!$D:$D,MATCH(C861,Customers!$A:$A,0))</f>
        <v/>
      </c>
      <c r="F861" s="10" t="inlineStr">
        <is>
          <t>Own trucks</t>
        </is>
      </c>
      <c r="G861" s="5" t="n">
        <v>46265</v>
      </c>
      <c r="H861" s="5" t="n">
        <v>46266</v>
      </c>
      <c r="I861" s="5" t="n">
        <v>46266</v>
      </c>
      <c r="J861" s="10" t="inlineStr">
        <is>
          <t>09:50</t>
        </is>
      </c>
      <c r="K861" s="10" t="inlineStr">
        <is>
          <t>On time</t>
        </is>
      </c>
      <c r="L861" s="6" t="n">
        <v>0</v>
      </c>
      <c r="M861" s="10" t="n"/>
      <c r="N861" s="6" t="n">
        <v>2</v>
      </c>
      <c r="O861" s="6" t="n">
        <v>212</v>
      </c>
      <c r="P861" s="6" t="n">
        <v>1</v>
      </c>
      <c r="Q861" s="6">
        <f>IF(OR(K861="On time",K861="Late",K861="Very late"),1,0)</f>
        <v/>
      </c>
    </row>
    <row r="862">
      <c r="A862" s="10" t="inlineStr">
        <is>
          <t>DN319083</t>
        </is>
      </c>
      <c r="B862" s="10" t="inlineStr">
        <is>
          <t>SO62925</t>
        </is>
      </c>
      <c r="C862" s="10" t="inlineStr">
        <is>
          <t>C11333</t>
        </is>
      </c>
      <c r="D862" s="10">
        <f>INDEX(Customers!$B:$B,MATCH(C862,Customers!$A:$A,0))</f>
        <v/>
      </c>
      <c r="E862" s="10">
        <f>INDEX(Customers!$D:$D,MATCH(C862,Customers!$A:$A,0))</f>
        <v/>
      </c>
      <c r="F862" s="10" t="inlineStr">
        <is>
          <t>Own trucks</t>
        </is>
      </c>
      <c r="G862" s="5" t="n">
        <v>46265</v>
      </c>
      <c r="H862" s="5" t="n">
        <v>46266</v>
      </c>
      <c r="I862" s="5" t="n">
        <v>46266</v>
      </c>
      <c r="J862" s="10" t="inlineStr">
        <is>
          <t>07:10</t>
        </is>
      </c>
      <c r="K862" s="10" t="inlineStr">
        <is>
          <t>On time</t>
        </is>
      </c>
      <c r="L862" s="6" t="n">
        <v>0</v>
      </c>
      <c r="M862" s="10" t="n"/>
      <c r="N862" s="6" t="n">
        <v>8</v>
      </c>
      <c r="O862" s="6" t="n">
        <v>1088</v>
      </c>
      <c r="P862" s="6" t="n">
        <v>1</v>
      </c>
      <c r="Q862" s="6">
        <f>IF(OR(K862="On time",K862="Late",K862="Very late"),1,0)</f>
        <v/>
      </c>
    </row>
    <row r="863">
      <c r="A863" s="10" t="inlineStr">
        <is>
          <t>DN319084</t>
        </is>
      </c>
      <c r="B863" s="10" t="inlineStr">
        <is>
          <t>SO62926</t>
        </is>
      </c>
      <c r="C863" s="10" t="inlineStr">
        <is>
          <t>C11463</t>
        </is>
      </c>
      <c r="D863" s="10">
        <f>INDEX(Customers!$B:$B,MATCH(C863,Customers!$A:$A,0))</f>
        <v/>
      </c>
      <c r="E863" s="10">
        <f>INDEX(Customers!$D:$D,MATCH(C863,Customers!$A:$A,0))</f>
        <v/>
      </c>
      <c r="F863" s="10" t="inlineStr">
        <is>
          <t>Own trucks</t>
        </is>
      </c>
      <c r="G863" s="5" t="n">
        <v>46265</v>
      </c>
      <c r="H863" s="5" t="n">
        <v>46266</v>
      </c>
      <c r="I863" s="5" t="n">
        <v>46266</v>
      </c>
      <c r="J863" s="10" t="inlineStr">
        <is>
          <t>08:20</t>
        </is>
      </c>
      <c r="K863" s="10" t="inlineStr">
        <is>
          <t>On time</t>
        </is>
      </c>
      <c r="L863" s="6" t="n">
        <v>0</v>
      </c>
      <c r="M863" s="10" t="n"/>
      <c r="N863" s="6" t="n">
        <v>11</v>
      </c>
      <c r="O863" s="6" t="n">
        <v>1034</v>
      </c>
      <c r="P863" s="6" t="n">
        <v>1</v>
      </c>
      <c r="Q863" s="6">
        <f>IF(OR(K863="On time",K863="Late",K863="Very late"),1,0)</f>
        <v/>
      </c>
    </row>
    <row r="864">
      <c r="A864" s="10" t="inlineStr">
        <is>
          <t>DN319085</t>
        </is>
      </c>
      <c r="B864" s="10" t="inlineStr">
        <is>
          <t>SO62928</t>
        </is>
      </c>
      <c r="C864" s="10" t="inlineStr">
        <is>
          <t>C11518</t>
        </is>
      </c>
      <c r="D864" s="10">
        <f>INDEX(Customers!$B:$B,MATCH(C864,Customers!$A:$A,0))</f>
        <v/>
      </c>
      <c r="E864" s="10">
        <f>INDEX(Customers!$D:$D,MATCH(C864,Customers!$A:$A,0))</f>
        <v/>
      </c>
      <c r="F864" s="10" t="inlineStr">
        <is>
          <t>Own trucks</t>
        </is>
      </c>
      <c r="G864" s="5" t="n">
        <v>46265</v>
      </c>
      <c r="H864" s="5" t="n">
        <v>46266</v>
      </c>
      <c r="I864" s="5" t="n">
        <v>46266</v>
      </c>
      <c r="J864" s="10" t="inlineStr">
        <is>
          <t>11:10</t>
        </is>
      </c>
      <c r="K864" s="10" t="inlineStr">
        <is>
          <t>On time</t>
        </is>
      </c>
      <c r="L864" s="6" t="n">
        <v>0</v>
      </c>
      <c r="M864" s="10" t="n"/>
      <c r="N864" s="6" t="n">
        <v>25</v>
      </c>
      <c r="O864" s="6" t="n">
        <v>1850</v>
      </c>
      <c r="P864" s="6" t="n">
        <v>1</v>
      </c>
      <c r="Q864" s="6">
        <f>IF(OR(K864="On time",K864="Late",K864="Very late"),1,0)</f>
        <v/>
      </c>
    </row>
    <row r="865">
      <c r="A865" s="10" t="inlineStr">
        <is>
          <t>DN319086</t>
        </is>
      </c>
      <c r="B865" s="10" t="inlineStr">
        <is>
          <t>SO62929</t>
        </is>
      </c>
      <c r="C865" s="10" t="inlineStr">
        <is>
          <t>C11579</t>
        </is>
      </c>
      <c r="D865" s="10">
        <f>INDEX(Customers!$B:$B,MATCH(C865,Customers!$A:$A,0))</f>
        <v/>
      </c>
      <c r="E865" s="10">
        <f>INDEX(Customers!$D:$D,MATCH(C865,Customers!$A:$A,0))</f>
        <v/>
      </c>
      <c r="F865" s="10" t="inlineStr">
        <is>
          <t>Own trucks</t>
        </is>
      </c>
      <c r="G865" s="5" t="n">
        <v>46265</v>
      </c>
      <c r="H865" s="5" t="n">
        <v>46266</v>
      </c>
      <c r="I865" s="5" t="n">
        <v>46266</v>
      </c>
      <c r="J865" s="10" t="inlineStr">
        <is>
          <t>09:00</t>
        </is>
      </c>
      <c r="K865" s="10" t="inlineStr">
        <is>
          <t>On time</t>
        </is>
      </c>
      <c r="L865" s="6" t="n">
        <v>0</v>
      </c>
      <c r="M865" s="10" t="n"/>
      <c r="N865" s="6" t="n">
        <v>33</v>
      </c>
      <c r="O865" s="6" t="n">
        <v>3003</v>
      </c>
      <c r="P865" s="6" t="n">
        <v>1</v>
      </c>
      <c r="Q865" s="6">
        <f>IF(OR(K865="On time",K865="Late",K865="Very late"),1,0)</f>
        <v/>
      </c>
    </row>
    <row r="866">
      <c r="A866" s="10" t="inlineStr">
        <is>
          <t>DN319087</t>
        </is>
      </c>
      <c r="B866" s="10" t="inlineStr">
        <is>
          <t>SO62931</t>
        </is>
      </c>
      <c r="C866" s="10" t="inlineStr">
        <is>
          <t>C11616</t>
        </is>
      </c>
      <c r="D866" s="10">
        <f>INDEX(Customers!$B:$B,MATCH(C866,Customers!$A:$A,0))</f>
        <v/>
      </c>
      <c r="E866" s="10">
        <f>INDEX(Customers!$D:$D,MATCH(C866,Customers!$A:$A,0))</f>
        <v/>
      </c>
      <c r="F866" s="10" t="inlineStr">
        <is>
          <t>Own trucks</t>
        </is>
      </c>
      <c r="G866" s="5" t="n">
        <v>46265</v>
      </c>
      <c r="H866" s="5" t="n">
        <v>46266</v>
      </c>
      <c r="I866" s="5" t="n">
        <v>46266</v>
      </c>
      <c r="J866" s="10" t="inlineStr">
        <is>
          <t>15:50</t>
        </is>
      </c>
      <c r="K866" s="10" t="inlineStr">
        <is>
          <t>On time</t>
        </is>
      </c>
      <c r="L866" s="6" t="n">
        <v>0</v>
      </c>
      <c r="M866" s="10" t="n"/>
      <c r="N866" s="6" t="n">
        <v>26</v>
      </c>
      <c r="O866" s="6" t="n">
        <v>2002</v>
      </c>
      <c r="P866" s="6" t="n">
        <v>1</v>
      </c>
      <c r="Q866" s="6">
        <f>IF(OR(K866="On time",K866="Late",K866="Very late"),1,0)</f>
        <v/>
      </c>
    </row>
    <row r="867">
      <c r="A867" s="10" t="inlineStr">
        <is>
          <t>DN319088</t>
        </is>
      </c>
      <c r="B867" s="10" t="inlineStr">
        <is>
          <t>SO62933</t>
        </is>
      </c>
      <c r="C867" s="10" t="inlineStr">
        <is>
          <t>C11666</t>
        </is>
      </c>
      <c r="D867" s="10">
        <f>INDEX(Customers!$B:$B,MATCH(C867,Customers!$A:$A,0))</f>
        <v/>
      </c>
      <c r="E867" s="10">
        <f>INDEX(Customers!$D:$D,MATCH(C867,Customers!$A:$A,0))</f>
        <v/>
      </c>
      <c r="F867" s="10" t="inlineStr">
        <is>
          <t>Own trucks</t>
        </is>
      </c>
      <c r="G867" s="5" t="n">
        <v>46265</v>
      </c>
      <c r="H867" s="5" t="n">
        <v>46266</v>
      </c>
      <c r="I867" s="5" t="n">
        <v>46266</v>
      </c>
      <c r="J867" s="10" t="inlineStr">
        <is>
          <t>09:20</t>
        </is>
      </c>
      <c r="K867" s="10" t="inlineStr">
        <is>
          <t>On time</t>
        </is>
      </c>
      <c r="L867" s="6" t="n">
        <v>0</v>
      </c>
      <c r="M867" s="10" t="n"/>
      <c r="N867" s="6" t="n">
        <v>4</v>
      </c>
      <c r="O867" s="6" t="n">
        <v>252</v>
      </c>
      <c r="P867" s="6" t="n">
        <v>1</v>
      </c>
      <c r="Q867" s="6">
        <f>IF(OR(K867="On time",K867="Late",K867="Very late"),1,0)</f>
        <v/>
      </c>
    </row>
    <row r="868">
      <c r="A868" s="10" t="inlineStr">
        <is>
          <t>DN319089</t>
        </is>
      </c>
      <c r="B868" s="10" t="inlineStr">
        <is>
          <t>SO62934</t>
        </is>
      </c>
      <c r="C868" s="10" t="inlineStr">
        <is>
          <t>C11745</t>
        </is>
      </c>
      <c r="D868" s="10">
        <f>INDEX(Customers!$B:$B,MATCH(C868,Customers!$A:$A,0))</f>
        <v/>
      </c>
      <c r="E868" s="10">
        <f>INDEX(Customers!$D:$D,MATCH(C868,Customers!$A:$A,0))</f>
        <v/>
      </c>
      <c r="F868" s="10" t="inlineStr">
        <is>
          <t>Own trucks</t>
        </is>
      </c>
      <c r="G868" s="5" t="n">
        <v>46265</v>
      </c>
      <c r="H868" s="5" t="n">
        <v>46266</v>
      </c>
      <c r="I868" s="5" t="n">
        <v>46266</v>
      </c>
      <c r="J868" s="10" t="inlineStr">
        <is>
          <t>10:00</t>
        </is>
      </c>
      <c r="K868" s="10" t="inlineStr">
        <is>
          <t>On time</t>
        </is>
      </c>
      <c r="L868" s="6" t="n">
        <v>0</v>
      </c>
      <c r="M868" s="10" t="n"/>
      <c r="N868" s="6" t="n">
        <v>26</v>
      </c>
      <c r="O868" s="6" t="n">
        <v>1820</v>
      </c>
      <c r="P868" s="6" t="n">
        <v>1</v>
      </c>
      <c r="Q868" s="6">
        <f>IF(OR(K868="On time",K868="Late",K868="Very late"),1,0)</f>
        <v/>
      </c>
    </row>
    <row r="869">
      <c r="A869" s="10" t="inlineStr">
        <is>
          <t>DN319090</t>
        </is>
      </c>
      <c r="B869" s="10" t="inlineStr">
        <is>
          <t>SO62935</t>
        </is>
      </c>
      <c r="C869" s="10" t="inlineStr">
        <is>
          <t>C11790</t>
        </is>
      </c>
      <c r="D869" s="10">
        <f>INDEX(Customers!$B:$B,MATCH(C869,Customers!$A:$A,0))</f>
        <v/>
      </c>
      <c r="E869" s="10">
        <f>INDEX(Customers!$D:$D,MATCH(C869,Customers!$A:$A,0))</f>
        <v/>
      </c>
      <c r="F869" s="10" t="inlineStr">
        <is>
          <t>Carrier A</t>
        </is>
      </c>
      <c r="G869" s="5" t="n">
        <v>46265</v>
      </c>
      <c r="H869" s="5" t="n">
        <v>46266</v>
      </c>
      <c r="I869" s="5" t="n">
        <v>46266</v>
      </c>
      <c r="J869" s="10" t="inlineStr">
        <is>
          <t>08:10</t>
        </is>
      </c>
      <c r="K869" s="10" t="inlineStr">
        <is>
          <t>On time</t>
        </is>
      </c>
      <c r="L869" s="6" t="n">
        <v>0</v>
      </c>
      <c r="M869" s="10" t="n"/>
      <c r="N869" s="6" t="n">
        <v>21</v>
      </c>
      <c r="O869" s="6" t="n">
        <v>1995</v>
      </c>
      <c r="P869" s="6" t="n">
        <v>1</v>
      </c>
      <c r="Q869" s="6">
        <f>IF(OR(K869="On time",K869="Late",K869="Very late"),1,0)</f>
        <v/>
      </c>
    </row>
    <row r="870">
      <c r="A870" s="10" t="inlineStr">
        <is>
          <t>DN319091</t>
        </is>
      </c>
      <c r="B870" s="10" t="inlineStr">
        <is>
          <t>SO62936</t>
        </is>
      </c>
      <c r="C870" s="10" t="inlineStr">
        <is>
          <t>C11971</t>
        </is>
      </c>
      <c r="D870" s="10">
        <f>INDEX(Customers!$B:$B,MATCH(C870,Customers!$A:$A,0))</f>
        <v/>
      </c>
      <c r="E870" s="10">
        <f>INDEX(Customers!$D:$D,MATCH(C870,Customers!$A:$A,0))</f>
        <v/>
      </c>
      <c r="F870" s="10" t="inlineStr">
        <is>
          <t>Own trucks</t>
        </is>
      </c>
      <c r="G870" s="5" t="n">
        <v>46265</v>
      </c>
      <c r="H870" s="5" t="n">
        <v>46266</v>
      </c>
      <c r="I870" s="5" t="n">
        <v>46266</v>
      </c>
      <c r="J870" s="10" t="inlineStr">
        <is>
          <t>10:10</t>
        </is>
      </c>
      <c r="K870" s="10" t="inlineStr">
        <is>
          <t>On time</t>
        </is>
      </c>
      <c r="L870" s="6" t="n">
        <v>0</v>
      </c>
      <c r="M870" s="10" t="n"/>
      <c r="N870" s="6" t="n">
        <v>6</v>
      </c>
      <c r="O870" s="6" t="n">
        <v>624</v>
      </c>
      <c r="P870" s="6" t="n">
        <v>1</v>
      </c>
      <c r="Q870" s="6">
        <f>IF(OR(K870="On time",K870="Late",K870="Very late"),1,0)</f>
        <v/>
      </c>
    </row>
    <row r="871">
      <c r="A871" s="10" t="inlineStr">
        <is>
          <t>DN319092</t>
        </is>
      </c>
      <c r="B871" s="10" t="inlineStr">
        <is>
          <t>SO62938</t>
        </is>
      </c>
      <c r="C871" s="10" t="inlineStr">
        <is>
          <t>C11982</t>
        </is>
      </c>
      <c r="D871" s="10">
        <f>INDEX(Customers!$B:$B,MATCH(C871,Customers!$A:$A,0))</f>
        <v/>
      </c>
      <c r="E871" s="10">
        <f>INDEX(Customers!$D:$D,MATCH(C871,Customers!$A:$A,0))</f>
        <v/>
      </c>
      <c r="F871" s="10" t="inlineStr">
        <is>
          <t>Own trucks</t>
        </is>
      </c>
      <c r="G871" s="5" t="n">
        <v>46265</v>
      </c>
      <c r="H871" s="5" t="n">
        <v>46266</v>
      </c>
      <c r="I871" s="5" t="n">
        <v>46266</v>
      </c>
      <c r="J871" s="10" t="inlineStr">
        <is>
          <t>10:20</t>
        </is>
      </c>
      <c r="K871" s="10" t="inlineStr">
        <is>
          <t>On time</t>
        </is>
      </c>
      <c r="L871" s="6" t="n">
        <v>0</v>
      </c>
      <c r="M871" s="10" t="n"/>
      <c r="N871" s="6" t="n">
        <v>3</v>
      </c>
      <c r="O871" s="6" t="n">
        <v>285</v>
      </c>
      <c r="P871" s="6" t="n">
        <v>1</v>
      </c>
      <c r="Q871" s="6">
        <f>IF(OR(K871="On time",K871="Late",K871="Very late"),1,0)</f>
        <v/>
      </c>
    </row>
    <row r="872">
      <c r="A872" s="10" t="inlineStr">
        <is>
          <t>DN319093</t>
        </is>
      </c>
      <c r="B872" s="10" t="inlineStr">
        <is>
          <t>SO62939</t>
        </is>
      </c>
      <c r="C872" s="10" t="inlineStr">
        <is>
          <t>C12037</t>
        </is>
      </c>
      <c r="D872" s="10">
        <f>INDEX(Customers!$B:$B,MATCH(C872,Customers!$A:$A,0))</f>
        <v/>
      </c>
      <c r="E872" s="10">
        <f>INDEX(Customers!$D:$D,MATCH(C872,Customers!$A:$A,0))</f>
        <v/>
      </c>
      <c r="F872" s="10" t="inlineStr">
        <is>
          <t>Own trucks</t>
        </is>
      </c>
      <c r="G872" s="5" t="n">
        <v>46265</v>
      </c>
      <c r="H872" s="5" t="n">
        <v>46266</v>
      </c>
      <c r="I872" s="5" t="n">
        <v>46266</v>
      </c>
      <c r="J872" s="10" t="inlineStr">
        <is>
          <t>13:30</t>
        </is>
      </c>
      <c r="K872" s="10" t="inlineStr">
        <is>
          <t>On time</t>
        </is>
      </c>
      <c r="L872" s="6" t="n">
        <v>0</v>
      </c>
      <c r="M872" s="10" t="n"/>
      <c r="N872" s="6" t="n">
        <v>4</v>
      </c>
      <c r="O872" s="6" t="n">
        <v>300</v>
      </c>
      <c r="P872" s="6" t="n">
        <v>1</v>
      </c>
      <c r="Q872" s="6">
        <f>IF(OR(K872="On time",K872="Late",K872="Very late"),1,0)</f>
        <v/>
      </c>
    </row>
    <row r="873">
      <c r="A873" s="10" t="inlineStr">
        <is>
          <t>DN319094</t>
        </is>
      </c>
      <c r="B873" s="10" t="inlineStr">
        <is>
          <t>SO62940</t>
        </is>
      </c>
      <c r="C873" s="10" t="inlineStr">
        <is>
          <t>C12103</t>
        </is>
      </c>
      <c r="D873" s="10">
        <f>INDEX(Customers!$B:$B,MATCH(C873,Customers!$A:$A,0))</f>
        <v/>
      </c>
      <c r="E873" s="10">
        <f>INDEX(Customers!$D:$D,MATCH(C873,Customers!$A:$A,0))</f>
        <v/>
      </c>
      <c r="F873" s="10" t="inlineStr">
        <is>
          <t>Own trucks</t>
        </is>
      </c>
      <c r="G873" s="5" t="n">
        <v>46265</v>
      </c>
      <c r="H873" s="5" t="n">
        <v>46266</v>
      </c>
      <c r="I873" s="5" t="n">
        <v>46266</v>
      </c>
      <c r="J873" s="10" t="inlineStr">
        <is>
          <t>09:00</t>
        </is>
      </c>
      <c r="K873" s="10" t="inlineStr">
        <is>
          <t>On time</t>
        </is>
      </c>
      <c r="L873" s="6" t="n">
        <v>0</v>
      </c>
      <c r="M873" s="10" t="n"/>
      <c r="N873" s="6" t="n">
        <v>27</v>
      </c>
      <c r="O873" s="6" t="n">
        <v>2025</v>
      </c>
      <c r="P873" s="6" t="n">
        <v>1</v>
      </c>
      <c r="Q873" s="6">
        <f>IF(OR(K873="On time",K873="Late",K873="Very late"),1,0)</f>
        <v/>
      </c>
    </row>
    <row r="874">
      <c r="A874" s="10" t="inlineStr">
        <is>
          <t>DN319095</t>
        </is>
      </c>
      <c r="B874" s="10" t="inlineStr">
        <is>
          <t>SO62941</t>
        </is>
      </c>
      <c r="C874" s="10" t="inlineStr">
        <is>
          <t>C12183</t>
        </is>
      </c>
      <c r="D874" s="10">
        <f>INDEX(Customers!$B:$B,MATCH(C874,Customers!$A:$A,0))</f>
        <v/>
      </c>
      <c r="E874" s="10">
        <f>INDEX(Customers!$D:$D,MATCH(C874,Customers!$A:$A,0))</f>
        <v/>
      </c>
      <c r="F874" s="10" t="inlineStr">
        <is>
          <t>Carrier B</t>
        </is>
      </c>
      <c r="G874" s="5" t="n">
        <v>46265</v>
      </c>
      <c r="H874" s="5" t="n">
        <v>46266</v>
      </c>
      <c r="I874" s="5" t="n">
        <v>46266</v>
      </c>
      <c r="J874" s="10" t="inlineStr">
        <is>
          <t>09:20</t>
        </is>
      </c>
      <c r="K874" s="10" t="inlineStr">
        <is>
          <t>On time</t>
        </is>
      </c>
      <c r="L874" s="6" t="n">
        <v>0</v>
      </c>
      <c r="M874" s="10" t="n"/>
      <c r="N874" s="6" t="n">
        <v>10</v>
      </c>
      <c r="O874" s="6" t="n">
        <v>1370</v>
      </c>
      <c r="P874" s="6" t="n">
        <v>1</v>
      </c>
      <c r="Q874" s="6">
        <f>IF(OR(K874="On time",K874="Late",K874="Very late"),1,0)</f>
        <v/>
      </c>
    </row>
    <row r="875">
      <c r="A875" s="10" t="inlineStr">
        <is>
          <t>DN319096</t>
        </is>
      </c>
      <c r="B875" s="10" t="inlineStr">
        <is>
          <t>SO62943</t>
        </is>
      </c>
      <c r="C875" s="10" t="inlineStr">
        <is>
          <t>C12262</t>
        </is>
      </c>
      <c r="D875" s="10">
        <f>INDEX(Customers!$B:$B,MATCH(C875,Customers!$A:$A,0))</f>
        <v/>
      </c>
      <c r="E875" s="10">
        <f>INDEX(Customers!$D:$D,MATCH(C875,Customers!$A:$A,0))</f>
        <v/>
      </c>
      <c r="F875" s="10" t="inlineStr">
        <is>
          <t>Carrier B</t>
        </is>
      </c>
      <c r="G875" s="5" t="n">
        <v>46265</v>
      </c>
      <c r="H875" s="5" t="n">
        <v>46266</v>
      </c>
      <c r="I875" s="5" t="n">
        <v>46266</v>
      </c>
      <c r="J875" s="10" t="inlineStr">
        <is>
          <t>09:40</t>
        </is>
      </c>
      <c r="K875" s="10" t="inlineStr">
        <is>
          <t>On time</t>
        </is>
      </c>
      <c r="L875" s="6" t="n">
        <v>0</v>
      </c>
      <c r="M875" s="10" t="n"/>
      <c r="N875" s="6" t="n">
        <v>26</v>
      </c>
      <c r="O875" s="6" t="n">
        <v>3406</v>
      </c>
      <c r="P875" s="6" t="n">
        <v>1</v>
      </c>
      <c r="Q875" s="6">
        <f>IF(OR(K875="On time",K875="Late",K875="Very late"),1,0)</f>
        <v/>
      </c>
    </row>
    <row r="876">
      <c r="A876" s="10" t="inlineStr">
        <is>
          <t>DN319097</t>
        </is>
      </c>
      <c r="B876" s="10" t="inlineStr">
        <is>
          <t>SO62944</t>
        </is>
      </c>
      <c r="C876" s="10" t="inlineStr">
        <is>
          <t>C12305</t>
        </is>
      </c>
      <c r="D876" s="10">
        <f>INDEX(Customers!$B:$B,MATCH(C876,Customers!$A:$A,0))</f>
        <v/>
      </c>
      <c r="E876" s="10">
        <f>INDEX(Customers!$D:$D,MATCH(C876,Customers!$A:$A,0))</f>
        <v/>
      </c>
      <c r="F876" s="10" t="inlineStr">
        <is>
          <t>Carrier B</t>
        </is>
      </c>
      <c r="G876" s="5" t="n">
        <v>46265</v>
      </c>
      <c r="H876" s="5" t="n">
        <v>46266</v>
      </c>
      <c r="I876" s="5" t="n">
        <v>46266</v>
      </c>
      <c r="J876" s="10" t="inlineStr">
        <is>
          <t>14:40</t>
        </is>
      </c>
      <c r="K876" s="10" t="inlineStr">
        <is>
          <t>On time</t>
        </is>
      </c>
      <c r="L876" s="6" t="n">
        <v>0</v>
      </c>
      <c r="M876" s="10" t="n"/>
      <c r="N876" s="6" t="n">
        <v>36</v>
      </c>
      <c r="O876" s="6" t="n">
        <v>2592</v>
      </c>
      <c r="P876" s="6" t="n">
        <v>1</v>
      </c>
      <c r="Q876" s="6">
        <f>IF(OR(K876="On time",K876="Late",K876="Very late"),1,0)</f>
        <v/>
      </c>
    </row>
    <row r="877">
      <c r="A877" s="10" t="inlineStr">
        <is>
          <t>DN319098</t>
        </is>
      </c>
      <c r="B877" s="10" t="inlineStr">
        <is>
          <t>SO62945</t>
        </is>
      </c>
      <c r="C877" s="10" t="inlineStr">
        <is>
          <t>C12371</t>
        </is>
      </c>
      <c r="D877" s="10">
        <f>INDEX(Customers!$B:$B,MATCH(C877,Customers!$A:$A,0))</f>
        <v/>
      </c>
      <c r="E877" s="10">
        <f>INDEX(Customers!$D:$D,MATCH(C877,Customers!$A:$A,0))</f>
        <v/>
      </c>
      <c r="F877" s="10" t="inlineStr">
        <is>
          <t>Carrier A</t>
        </is>
      </c>
      <c r="G877" s="5" t="n">
        <v>46265</v>
      </c>
      <c r="H877" s="5" t="n">
        <v>46266</v>
      </c>
      <c r="I877" s="5" t="n">
        <v>46266</v>
      </c>
      <c r="J877" s="10" t="inlineStr">
        <is>
          <t>08:10</t>
        </is>
      </c>
      <c r="K877" s="10" t="inlineStr">
        <is>
          <t>On time</t>
        </is>
      </c>
      <c r="L877" s="6" t="n">
        <v>0</v>
      </c>
      <c r="M877" s="10" t="n"/>
      <c r="N877" s="6" t="n">
        <v>25</v>
      </c>
      <c r="O877" s="6" t="n">
        <v>3300</v>
      </c>
      <c r="P877" s="6" t="n">
        <v>1</v>
      </c>
      <c r="Q877" s="6">
        <f>IF(OR(K877="On time",K877="Late",K877="Very late"),1,0)</f>
        <v/>
      </c>
    </row>
    <row r="878">
      <c r="A878" s="10" t="inlineStr">
        <is>
          <t>DN319099</t>
        </is>
      </c>
      <c r="B878" s="10" t="inlineStr">
        <is>
          <t>SO62946</t>
        </is>
      </c>
      <c r="C878" s="10" t="inlineStr">
        <is>
          <t>C12420</t>
        </is>
      </c>
      <c r="D878" s="10">
        <f>INDEX(Customers!$B:$B,MATCH(C878,Customers!$A:$A,0))</f>
        <v/>
      </c>
      <c r="E878" s="10">
        <f>INDEX(Customers!$D:$D,MATCH(C878,Customers!$A:$A,0))</f>
        <v/>
      </c>
      <c r="F878" s="10" t="inlineStr">
        <is>
          <t>Carrier A</t>
        </is>
      </c>
      <c r="G878" s="5" t="n">
        <v>46265</v>
      </c>
      <c r="H878" s="5" t="n">
        <v>46266</v>
      </c>
      <c r="I878" s="5" t="n">
        <v>46266</v>
      </c>
      <c r="J878" s="10" t="inlineStr">
        <is>
          <t>14:00</t>
        </is>
      </c>
      <c r="K878" s="10" t="inlineStr">
        <is>
          <t>On time</t>
        </is>
      </c>
      <c r="L878" s="6" t="n">
        <v>0</v>
      </c>
      <c r="M878" s="10" t="n"/>
      <c r="N878" s="6" t="n">
        <v>25</v>
      </c>
      <c r="O878" s="6" t="n">
        <v>2825</v>
      </c>
      <c r="P878" s="6" t="n">
        <v>1</v>
      </c>
      <c r="Q878" s="6">
        <f>IF(OR(K878="On time",K878="Late",K878="Very late"),1,0)</f>
        <v/>
      </c>
    </row>
    <row r="879">
      <c r="A879" s="10" t="inlineStr">
        <is>
          <t>DN319100</t>
        </is>
      </c>
      <c r="B879" s="10" t="inlineStr">
        <is>
          <t>SO62947</t>
        </is>
      </c>
      <c r="C879" s="10" t="inlineStr">
        <is>
          <t>C12490</t>
        </is>
      </c>
      <c r="D879" s="10">
        <f>INDEX(Customers!$B:$B,MATCH(C879,Customers!$A:$A,0))</f>
        <v/>
      </c>
      <c r="E879" s="10">
        <f>INDEX(Customers!$D:$D,MATCH(C879,Customers!$A:$A,0))</f>
        <v/>
      </c>
      <c r="F879" s="10" t="inlineStr">
        <is>
          <t>Carrier A</t>
        </is>
      </c>
      <c r="G879" s="5" t="n">
        <v>46265</v>
      </c>
      <c r="H879" s="5" t="n">
        <v>46266</v>
      </c>
      <c r="I879" s="5" t="n">
        <v>46266</v>
      </c>
      <c r="J879" s="10" t="inlineStr">
        <is>
          <t>09:00</t>
        </is>
      </c>
      <c r="K879" s="10" t="inlineStr">
        <is>
          <t>On time</t>
        </is>
      </c>
      <c r="L879" s="6" t="n">
        <v>0</v>
      </c>
      <c r="M879" s="10" t="n"/>
      <c r="N879" s="6" t="n">
        <v>31</v>
      </c>
      <c r="O879" s="6" t="n">
        <v>2077</v>
      </c>
      <c r="P879" s="6" t="n">
        <v>1</v>
      </c>
      <c r="Q879" s="6">
        <f>IF(OR(K879="On time",K879="Late",K879="Very late"),1,0)</f>
        <v/>
      </c>
    </row>
    <row r="880">
      <c r="A880" s="10" t="inlineStr">
        <is>
          <t>DN319101</t>
        </is>
      </c>
      <c r="B880" s="10" t="inlineStr">
        <is>
          <t>SO62948</t>
        </is>
      </c>
      <c r="C880" s="10" t="inlineStr">
        <is>
          <t>C12527</t>
        </is>
      </c>
      <c r="D880" s="10">
        <f>INDEX(Customers!$B:$B,MATCH(C880,Customers!$A:$A,0))</f>
        <v/>
      </c>
      <c r="E880" s="10">
        <f>INDEX(Customers!$D:$D,MATCH(C880,Customers!$A:$A,0))</f>
        <v/>
      </c>
      <c r="F880" s="10" t="inlineStr">
        <is>
          <t>Carrier A</t>
        </is>
      </c>
      <c r="G880" s="5" t="n">
        <v>46265</v>
      </c>
      <c r="H880" s="5" t="n">
        <v>46266</v>
      </c>
      <c r="I880" s="5" t="n">
        <v>46266</v>
      </c>
      <c r="J880" s="10" t="inlineStr">
        <is>
          <t>07:10</t>
        </is>
      </c>
      <c r="K880" s="10" t="inlineStr">
        <is>
          <t>On time</t>
        </is>
      </c>
      <c r="L880" s="6" t="n">
        <v>0</v>
      </c>
      <c r="M880" s="10" t="n"/>
      <c r="N880" s="6" t="n">
        <v>40</v>
      </c>
      <c r="O880" s="6" t="n">
        <v>2440</v>
      </c>
      <c r="P880" s="6" t="n">
        <v>1</v>
      </c>
      <c r="Q880" s="6">
        <f>IF(OR(K880="On time",K880="Late",K880="Very late"),1,0)</f>
        <v/>
      </c>
    </row>
    <row r="881">
      <c r="A881" s="10" t="inlineStr">
        <is>
          <t>DN319102</t>
        </is>
      </c>
      <c r="B881" s="10" t="inlineStr">
        <is>
          <t>SO62949</t>
        </is>
      </c>
      <c r="C881" s="10" t="inlineStr">
        <is>
          <t>C12543</t>
        </is>
      </c>
      <c r="D881" s="10">
        <f>INDEX(Customers!$B:$B,MATCH(C881,Customers!$A:$A,0))</f>
        <v/>
      </c>
      <c r="E881" s="10">
        <f>INDEX(Customers!$D:$D,MATCH(C881,Customers!$A:$A,0))</f>
        <v/>
      </c>
      <c r="F881" s="10" t="inlineStr">
        <is>
          <t>Carrier B</t>
        </is>
      </c>
      <c r="G881" s="5" t="n">
        <v>46262</v>
      </c>
      <c r="H881" s="5" t="n">
        <v>46266</v>
      </c>
      <c r="I881" s="5" t="n">
        <v>46268</v>
      </c>
      <c r="J881" s="10" t="inlineStr">
        <is>
          <t>09:50</t>
        </is>
      </c>
      <c r="K881" s="10" t="inlineStr">
        <is>
          <t>Very late</t>
        </is>
      </c>
      <c r="L881" s="6" t="n">
        <v>2</v>
      </c>
      <c r="M881" s="10" t="inlineStr">
        <is>
          <t>Wrong address</t>
        </is>
      </c>
      <c r="N881" s="6" t="n">
        <v>38</v>
      </c>
      <c r="O881" s="6" t="n">
        <v>5282</v>
      </c>
      <c r="P881" s="6" t="n">
        <v>1</v>
      </c>
      <c r="Q881" s="6">
        <f>IF(OR(K881="On time",K881="Late",K881="Very late"),1,0)</f>
        <v/>
      </c>
    </row>
    <row r="882">
      <c r="A882" s="10" t="inlineStr">
        <is>
          <t>DN319104</t>
        </is>
      </c>
      <c r="B882" s="10" t="inlineStr">
        <is>
          <t>SO62950</t>
        </is>
      </c>
      <c r="C882" s="10" t="inlineStr">
        <is>
          <t>C12617</t>
        </is>
      </c>
      <c r="D882" s="10">
        <f>INDEX(Customers!$B:$B,MATCH(C882,Customers!$A:$A,0))</f>
        <v/>
      </c>
      <c r="E882" s="10">
        <f>INDEX(Customers!$D:$D,MATCH(C882,Customers!$A:$A,0))</f>
        <v/>
      </c>
      <c r="F882" s="10" t="inlineStr">
        <is>
          <t>Carrier B</t>
        </is>
      </c>
      <c r="G882" s="5" t="n">
        <v>46262</v>
      </c>
      <c r="H882" s="5" t="n">
        <v>46266</v>
      </c>
      <c r="I882" s="5" t="n">
        <v>46266</v>
      </c>
      <c r="J882" s="10" t="inlineStr">
        <is>
          <t>13:30</t>
        </is>
      </c>
      <c r="K882" s="10" t="inlineStr">
        <is>
          <t>On time</t>
        </is>
      </c>
      <c r="L882" s="6" t="n">
        <v>0</v>
      </c>
      <c r="M882" s="10" t="n"/>
      <c r="N882" s="6" t="n">
        <v>35</v>
      </c>
      <c r="O882" s="6" t="n">
        <v>3220</v>
      </c>
      <c r="P882" s="6" t="n">
        <v>1</v>
      </c>
      <c r="Q882" s="6">
        <f>IF(OR(K882="On time",K882="Late",K882="Very late"),1,0)</f>
        <v/>
      </c>
    </row>
    <row r="883">
      <c r="A883" s="10" t="inlineStr">
        <is>
          <t>DN319105</t>
        </is>
      </c>
      <c r="B883" s="10" t="inlineStr">
        <is>
          <t>SO62952</t>
        </is>
      </c>
      <c r="C883" s="10" t="inlineStr">
        <is>
          <t>C12639</t>
        </is>
      </c>
      <c r="D883" s="10">
        <f>INDEX(Customers!$B:$B,MATCH(C883,Customers!$A:$A,0))</f>
        <v/>
      </c>
      <c r="E883" s="10">
        <f>INDEX(Customers!$D:$D,MATCH(C883,Customers!$A:$A,0))</f>
        <v/>
      </c>
      <c r="F883" s="10" t="inlineStr">
        <is>
          <t>Carrier B</t>
        </is>
      </c>
      <c r="G883" s="5" t="n">
        <v>46262</v>
      </c>
      <c r="H883" s="5" t="n">
        <v>46266</v>
      </c>
      <c r="I883" s="5" t="n">
        <v>46266</v>
      </c>
      <c r="J883" s="10" t="inlineStr">
        <is>
          <t>08:10</t>
        </is>
      </c>
      <c r="K883" s="10" t="inlineStr">
        <is>
          <t>On time</t>
        </is>
      </c>
      <c r="L883" s="6" t="n">
        <v>0</v>
      </c>
      <c r="M883" s="10" t="n"/>
      <c r="N883" s="6" t="n">
        <v>15</v>
      </c>
      <c r="O883" s="6" t="n">
        <v>1065</v>
      </c>
      <c r="P883" s="6" t="n">
        <v>1</v>
      </c>
      <c r="Q883" s="6">
        <f>IF(OR(K883="On time",K883="Late",K883="Very late"),1,0)</f>
        <v/>
      </c>
    </row>
    <row r="884">
      <c r="A884" s="10" t="inlineStr">
        <is>
          <t>DN319106</t>
        </is>
      </c>
      <c r="B884" s="10" t="inlineStr">
        <is>
          <t>SO62953</t>
        </is>
      </c>
      <c r="C884" s="10" t="inlineStr">
        <is>
          <t>C10268</t>
        </is>
      </c>
      <c r="D884" s="10">
        <f>INDEX(Customers!$B:$B,MATCH(C884,Customers!$A:$A,0))</f>
        <v/>
      </c>
      <c r="E884" s="10">
        <f>INDEX(Customers!$D:$D,MATCH(C884,Customers!$A:$A,0))</f>
        <v/>
      </c>
      <c r="F884" s="10" t="inlineStr">
        <is>
          <t>Own trucks</t>
        </is>
      </c>
      <c r="G884" s="5" t="n">
        <v>46266</v>
      </c>
      <c r="H884" s="5" t="n">
        <v>46267</v>
      </c>
      <c r="I884" s="5" t="n">
        <v>46269</v>
      </c>
      <c r="J884" s="10" t="inlineStr">
        <is>
          <t>11:10</t>
        </is>
      </c>
      <c r="K884" s="10" t="inlineStr">
        <is>
          <t>Very late</t>
        </is>
      </c>
      <c r="L884" s="6" t="n">
        <v>2</v>
      </c>
      <c r="M884" s="10" t="inlineStr">
        <is>
          <t>Wrong address</t>
        </is>
      </c>
      <c r="N884" s="6" t="n">
        <v>11</v>
      </c>
      <c r="O884" s="6" t="n">
        <v>1089</v>
      </c>
      <c r="P884" s="6" t="n">
        <v>1</v>
      </c>
      <c r="Q884" s="6">
        <f>IF(OR(K884="On time",K884="Late",K884="Very late"),1,0)</f>
        <v/>
      </c>
    </row>
    <row r="885">
      <c r="A885" s="10" t="inlineStr">
        <is>
          <t>DN319107</t>
        </is>
      </c>
      <c r="B885" s="10" t="inlineStr">
        <is>
          <t>SO62954</t>
        </is>
      </c>
      <c r="C885" s="10" t="inlineStr">
        <is>
          <t>C10322</t>
        </is>
      </c>
      <c r="D885" s="10">
        <f>INDEX(Customers!$B:$B,MATCH(C885,Customers!$A:$A,0))</f>
        <v/>
      </c>
      <c r="E885" s="10">
        <f>INDEX(Customers!$D:$D,MATCH(C885,Customers!$A:$A,0))</f>
        <v/>
      </c>
      <c r="F885" s="10" t="inlineStr">
        <is>
          <t>Same-day courier</t>
        </is>
      </c>
      <c r="G885" s="5" t="n">
        <v>46266</v>
      </c>
      <c r="H885" s="5" t="n">
        <v>46267</v>
      </c>
      <c r="I885" s="5" t="n">
        <v>46267</v>
      </c>
      <c r="J885" s="10" t="inlineStr">
        <is>
          <t>15:20</t>
        </is>
      </c>
      <c r="K885" s="10" t="inlineStr">
        <is>
          <t>On time</t>
        </is>
      </c>
      <c r="L885" s="6" t="n">
        <v>0</v>
      </c>
      <c r="M885" s="10" t="n"/>
      <c r="N885" s="6" t="n">
        <v>22</v>
      </c>
      <c r="O885" s="6" t="n">
        <v>1408</v>
      </c>
      <c r="P885" s="6" t="n">
        <v>1</v>
      </c>
      <c r="Q885" s="6">
        <f>IF(OR(K885="On time",K885="Late",K885="Very late"),1,0)</f>
        <v/>
      </c>
    </row>
    <row r="886">
      <c r="A886" s="10" t="inlineStr">
        <is>
          <t>DN319108</t>
        </is>
      </c>
      <c r="B886" s="10" t="inlineStr">
        <is>
          <t>SO62955</t>
        </is>
      </c>
      <c r="C886" s="10" t="inlineStr">
        <is>
          <t>C10343</t>
        </is>
      </c>
      <c r="D886" s="10">
        <f>INDEX(Customers!$B:$B,MATCH(C886,Customers!$A:$A,0))</f>
        <v/>
      </c>
      <c r="E886" s="10">
        <f>INDEX(Customers!$D:$D,MATCH(C886,Customers!$A:$A,0))</f>
        <v/>
      </c>
      <c r="F886" s="10" t="inlineStr">
        <is>
          <t>Own trucks</t>
        </is>
      </c>
      <c r="G886" s="5" t="n">
        <v>46266</v>
      </c>
      <c r="H886" s="5" t="n">
        <v>46267</v>
      </c>
      <c r="I886" s="5" t="n">
        <v>46267</v>
      </c>
      <c r="J886" s="10" t="inlineStr">
        <is>
          <t>13:00</t>
        </is>
      </c>
      <c r="K886" s="10" t="inlineStr">
        <is>
          <t>On time</t>
        </is>
      </c>
      <c r="L886" s="6" t="n">
        <v>0</v>
      </c>
      <c r="M886" s="10" t="n"/>
      <c r="N886" s="6" t="n">
        <v>20</v>
      </c>
      <c r="O886" s="6" t="n">
        <v>2500</v>
      </c>
      <c r="P886" s="6" t="n">
        <v>1</v>
      </c>
      <c r="Q886" s="6">
        <f>IF(OR(K886="On time",K886="Late",K886="Very late"),1,0)</f>
        <v/>
      </c>
    </row>
    <row r="887">
      <c r="A887" s="10" t="inlineStr">
        <is>
          <t>DN319109</t>
        </is>
      </c>
      <c r="B887" s="10" t="inlineStr">
        <is>
          <t>SO62956</t>
        </is>
      </c>
      <c r="C887" s="10" t="inlineStr">
        <is>
          <t>C10413</t>
        </is>
      </c>
      <c r="D887" s="10">
        <f>INDEX(Customers!$B:$B,MATCH(C887,Customers!$A:$A,0))</f>
        <v/>
      </c>
      <c r="E887" s="10">
        <f>INDEX(Customers!$D:$D,MATCH(C887,Customers!$A:$A,0))</f>
        <v/>
      </c>
      <c r="F887" s="10" t="inlineStr">
        <is>
          <t>Same-day courier</t>
        </is>
      </c>
      <c r="G887" s="5" t="n">
        <v>46266</v>
      </c>
      <c r="H887" s="5" t="n">
        <v>46267</v>
      </c>
      <c r="I887" s="5" t="n">
        <v>46267</v>
      </c>
      <c r="J887" s="10" t="inlineStr">
        <is>
          <t>11:40</t>
        </is>
      </c>
      <c r="K887" s="10" t="inlineStr">
        <is>
          <t>On time</t>
        </is>
      </c>
      <c r="L887" s="6" t="n">
        <v>0</v>
      </c>
      <c r="M887" s="10" t="n"/>
      <c r="N887" s="6" t="n">
        <v>9</v>
      </c>
      <c r="O887" s="6" t="n">
        <v>1233</v>
      </c>
      <c r="P887" s="6" t="n">
        <v>1</v>
      </c>
      <c r="Q887" s="6">
        <f>IF(OR(K887="On time",K887="Late",K887="Very late"),1,0)</f>
        <v/>
      </c>
    </row>
    <row r="888">
      <c r="A888" s="10" t="inlineStr">
        <is>
          <t>DN319110</t>
        </is>
      </c>
      <c r="B888" s="10" t="inlineStr">
        <is>
          <t>SO62957</t>
        </is>
      </c>
      <c r="C888" s="10" t="inlineStr">
        <is>
          <t>C10446</t>
        </is>
      </c>
      <c r="D888" s="10">
        <f>INDEX(Customers!$B:$B,MATCH(C888,Customers!$A:$A,0))</f>
        <v/>
      </c>
      <c r="E888" s="10">
        <f>INDEX(Customers!$D:$D,MATCH(C888,Customers!$A:$A,0))</f>
        <v/>
      </c>
      <c r="F888" s="10" t="inlineStr">
        <is>
          <t>Own trucks</t>
        </is>
      </c>
      <c r="G888" s="5" t="n">
        <v>46266</v>
      </c>
      <c r="H888" s="5" t="n">
        <v>46267</v>
      </c>
      <c r="I888" s="5" t="n">
        <v>46267</v>
      </c>
      <c r="J888" s="10" t="inlineStr">
        <is>
          <t>14:30</t>
        </is>
      </c>
      <c r="K888" s="10" t="inlineStr">
        <is>
          <t>On time</t>
        </is>
      </c>
      <c r="L888" s="6" t="n">
        <v>0</v>
      </c>
      <c r="M888" s="10" t="n"/>
      <c r="N888" s="6" t="n">
        <v>13</v>
      </c>
      <c r="O888" s="6" t="n">
        <v>1716</v>
      </c>
      <c r="P888" s="6" t="n">
        <v>1</v>
      </c>
      <c r="Q888" s="6">
        <f>IF(OR(K888="On time",K888="Late",K888="Very late"),1,0)</f>
        <v/>
      </c>
    </row>
    <row r="889">
      <c r="A889" s="10" t="inlineStr">
        <is>
          <t>DN319111</t>
        </is>
      </c>
      <c r="B889" s="10" t="inlineStr">
        <is>
          <t>SO62959</t>
        </is>
      </c>
      <c r="C889" s="10" t="inlineStr">
        <is>
          <t>C10515</t>
        </is>
      </c>
      <c r="D889" s="10">
        <f>INDEX(Customers!$B:$B,MATCH(C889,Customers!$A:$A,0))</f>
        <v/>
      </c>
      <c r="E889" s="10">
        <f>INDEX(Customers!$D:$D,MATCH(C889,Customers!$A:$A,0))</f>
        <v/>
      </c>
      <c r="F889" s="10" t="inlineStr">
        <is>
          <t>Same-day courier</t>
        </is>
      </c>
      <c r="G889" s="5" t="n">
        <v>46266</v>
      </c>
      <c r="H889" s="5" t="n">
        <v>46267</v>
      </c>
      <c r="I889" s="5" t="n">
        <v>46267</v>
      </c>
      <c r="J889" s="10" t="inlineStr">
        <is>
          <t>09:20</t>
        </is>
      </c>
      <c r="K889" s="10" t="inlineStr">
        <is>
          <t>On time</t>
        </is>
      </c>
      <c r="L889" s="6" t="n">
        <v>0</v>
      </c>
      <c r="M889" s="10" t="n"/>
      <c r="N889" s="6" t="n">
        <v>38</v>
      </c>
      <c r="O889" s="6" t="n">
        <v>4598</v>
      </c>
      <c r="P889" s="6" t="n">
        <v>1</v>
      </c>
      <c r="Q889" s="6">
        <f>IF(OR(K889="On time",K889="Late",K889="Very late"),1,0)</f>
        <v/>
      </c>
    </row>
    <row r="890">
      <c r="A890" s="10" t="inlineStr">
        <is>
          <t>DN319112</t>
        </is>
      </c>
      <c r="B890" s="10" t="inlineStr">
        <is>
          <t>SO62961</t>
        </is>
      </c>
      <c r="C890" s="10" t="inlineStr">
        <is>
          <t>C10522</t>
        </is>
      </c>
      <c r="D890" s="10">
        <f>INDEX(Customers!$B:$B,MATCH(C890,Customers!$A:$A,0))</f>
        <v/>
      </c>
      <c r="E890" s="10">
        <f>INDEX(Customers!$D:$D,MATCH(C890,Customers!$A:$A,0))</f>
        <v/>
      </c>
      <c r="F890" s="10" t="inlineStr">
        <is>
          <t>Own trucks</t>
        </is>
      </c>
      <c r="G890" s="5" t="n">
        <v>46266</v>
      </c>
      <c r="H890" s="5" t="n">
        <v>46267</v>
      </c>
      <c r="I890" s="5" t="n">
        <v>46267</v>
      </c>
      <c r="J890" s="10" t="inlineStr">
        <is>
          <t>16:30</t>
        </is>
      </c>
      <c r="K890" s="10" t="inlineStr">
        <is>
          <t>On time</t>
        </is>
      </c>
      <c r="L890" s="6" t="n">
        <v>0</v>
      </c>
      <c r="M890" s="10" t="n"/>
      <c r="N890" s="6" t="n">
        <v>17</v>
      </c>
      <c r="O890" s="6" t="n">
        <v>1853</v>
      </c>
      <c r="P890" s="6" t="n">
        <v>1</v>
      </c>
      <c r="Q890" s="6">
        <f>IF(OR(K890="On time",K890="Late",K890="Very late"),1,0)</f>
        <v/>
      </c>
    </row>
    <row r="891">
      <c r="A891" s="10" t="inlineStr">
        <is>
          <t>DN319113</t>
        </is>
      </c>
      <c r="B891" s="10" t="inlineStr">
        <is>
          <t>SO62962</t>
        </is>
      </c>
      <c r="C891" s="10" t="inlineStr">
        <is>
          <t>C10536</t>
        </is>
      </c>
      <c r="D891" s="10">
        <f>INDEX(Customers!$B:$B,MATCH(C891,Customers!$A:$A,0))</f>
        <v/>
      </c>
      <c r="E891" s="10">
        <f>INDEX(Customers!$D:$D,MATCH(C891,Customers!$A:$A,0))</f>
        <v/>
      </c>
      <c r="F891" s="10" t="inlineStr">
        <is>
          <t>Own trucks</t>
        </is>
      </c>
      <c r="G891" s="5" t="n">
        <v>46266</v>
      </c>
      <c r="H891" s="5" t="n">
        <v>46267</v>
      </c>
      <c r="I891" s="5" t="n">
        <v>46267</v>
      </c>
      <c r="J891" s="10" t="inlineStr">
        <is>
          <t>13:10</t>
        </is>
      </c>
      <c r="K891" s="10" t="inlineStr">
        <is>
          <t>On time</t>
        </is>
      </c>
      <c r="L891" s="6" t="n">
        <v>0</v>
      </c>
      <c r="M891" s="10" t="n"/>
      <c r="N891" s="6" t="n">
        <v>40</v>
      </c>
      <c r="O891" s="6" t="n">
        <v>2240</v>
      </c>
      <c r="P891" s="6" t="n">
        <v>1</v>
      </c>
      <c r="Q891" s="6">
        <f>IF(OR(K891="On time",K891="Late",K891="Very late"),1,0)</f>
        <v/>
      </c>
    </row>
    <row r="892">
      <c r="A892" s="10" t="inlineStr">
        <is>
          <t>DN319114</t>
        </is>
      </c>
      <c r="B892" s="10" t="inlineStr">
        <is>
          <t>SO62963</t>
        </is>
      </c>
      <c r="C892" s="10" t="inlineStr">
        <is>
          <t>C10622</t>
        </is>
      </c>
      <c r="D892" s="10">
        <f>INDEX(Customers!$B:$B,MATCH(C892,Customers!$A:$A,0))</f>
        <v/>
      </c>
      <c r="E892" s="10">
        <f>INDEX(Customers!$D:$D,MATCH(C892,Customers!$A:$A,0))</f>
        <v/>
      </c>
      <c r="F892" s="10" t="inlineStr">
        <is>
          <t>Own trucks</t>
        </is>
      </c>
      <c r="G892" s="5" t="n">
        <v>46266</v>
      </c>
      <c r="H892" s="5" t="n">
        <v>46267</v>
      </c>
      <c r="I892" s="5" t="n">
        <v>46267</v>
      </c>
      <c r="J892" s="10" t="inlineStr">
        <is>
          <t>08:00</t>
        </is>
      </c>
      <c r="K892" s="10" t="inlineStr">
        <is>
          <t>On time</t>
        </is>
      </c>
      <c r="L892" s="6" t="n">
        <v>0</v>
      </c>
      <c r="M892" s="10" t="n"/>
      <c r="N892" s="6" t="n">
        <v>35</v>
      </c>
      <c r="O892" s="6" t="n">
        <v>3990</v>
      </c>
      <c r="P892" s="6" t="n">
        <v>1</v>
      </c>
      <c r="Q892" s="6">
        <f>IF(OR(K892="On time",K892="Late",K892="Very late"),1,0)</f>
        <v/>
      </c>
    </row>
    <row r="893">
      <c r="A893" s="10" t="inlineStr">
        <is>
          <t>DN319115</t>
        </is>
      </c>
      <c r="B893" s="10" t="inlineStr">
        <is>
          <t>SO62964</t>
        </is>
      </c>
      <c r="C893" s="10" t="inlineStr">
        <is>
          <t>C10648</t>
        </is>
      </c>
      <c r="D893" s="10">
        <f>INDEX(Customers!$B:$B,MATCH(C893,Customers!$A:$A,0))</f>
        <v/>
      </c>
      <c r="E893" s="10">
        <f>INDEX(Customers!$D:$D,MATCH(C893,Customers!$A:$A,0))</f>
        <v/>
      </c>
      <c r="F893" s="10" t="inlineStr">
        <is>
          <t>Own trucks</t>
        </is>
      </c>
      <c r="G893" s="5" t="n">
        <v>46266</v>
      </c>
      <c r="H893" s="5" t="n">
        <v>46267</v>
      </c>
      <c r="I893" s="5" t="n">
        <v>46267</v>
      </c>
      <c r="J893" s="10" t="inlineStr">
        <is>
          <t>14:10</t>
        </is>
      </c>
      <c r="K893" s="10" t="inlineStr">
        <is>
          <t>On time</t>
        </is>
      </c>
      <c r="L893" s="6" t="n">
        <v>0</v>
      </c>
      <c r="M893" s="10" t="n"/>
      <c r="N893" s="6" t="n">
        <v>15</v>
      </c>
      <c r="O893" s="6" t="n">
        <v>1080</v>
      </c>
      <c r="P893" s="6" t="n">
        <v>1</v>
      </c>
      <c r="Q893" s="6">
        <f>IF(OR(K893="On time",K893="Late",K893="Very late"),1,0)</f>
        <v/>
      </c>
    </row>
    <row r="894">
      <c r="A894" s="10" t="inlineStr">
        <is>
          <t>DN319116</t>
        </is>
      </c>
      <c r="B894" s="10" t="inlineStr">
        <is>
          <t>SO62965</t>
        </is>
      </c>
      <c r="C894" s="10" t="inlineStr">
        <is>
          <t>C10676</t>
        </is>
      </c>
      <c r="D894" s="10">
        <f>INDEX(Customers!$B:$B,MATCH(C894,Customers!$A:$A,0))</f>
        <v/>
      </c>
      <c r="E894" s="10">
        <f>INDEX(Customers!$D:$D,MATCH(C894,Customers!$A:$A,0))</f>
        <v/>
      </c>
      <c r="F894" s="10" t="inlineStr">
        <is>
          <t>Own trucks</t>
        </is>
      </c>
      <c r="G894" s="5" t="n">
        <v>46266</v>
      </c>
      <c r="H894" s="5" t="n">
        <v>46267</v>
      </c>
      <c r="I894" s="5" t="n">
        <v>46267</v>
      </c>
      <c r="J894" s="10" t="inlineStr">
        <is>
          <t>15:50</t>
        </is>
      </c>
      <c r="K894" s="10" t="inlineStr">
        <is>
          <t>On time</t>
        </is>
      </c>
      <c r="L894" s="6" t="n">
        <v>0</v>
      </c>
      <c r="M894" s="10" t="n"/>
      <c r="N894" s="6" t="n">
        <v>18</v>
      </c>
      <c r="O894" s="6" t="n">
        <v>2412</v>
      </c>
      <c r="P894" s="6" t="n">
        <v>1</v>
      </c>
      <c r="Q894" s="6">
        <f>IF(OR(K894="On time",K894="Late",K894="Very late"),1,0)</f>
        <v/>
      </c>
    </row>
    <row r="895">
      <c r="A895" s="10" t="inlineStr">
        <is>
          <t>DN319117</t>
        </is>
      </c>
      <c r="B895" s="10" t="inlineStr">
        <is>
          <t>SO62966</t>
        </is>
      </c>
      <c r="C895" s="10" t="inlineStr">
        <is>
          <t>C10684</t>
        </is>
      </c>
      <c r="D895" s="10">
        <f>INDEX(Customers!$B:$B,MATCH(C895,Customers!$A:$A,0))</f>
        <v/>
      </c>
      <c r="E895" s="10">
        <f>INDEX(Customers!$D:$D,MATCH(C895,Customers!$A:$A,0))</f>
        <v/>
      </c>
      <c r="F895" s="10" t="inlineStr">
        <is>
          <t>Own trucks</t>
        </is>
      </c>
      <c r="G895" s="5" t="n">
        <v>46266</v>
      </c>
      <c r="H895" s="5" t="n">
        <v>46267</v>
      </c>
      <c r="I895" s="5" t="n">
        <v>46267</v>
      </c>
      <c r="J895" s="10" t="inlineStr">
        <is>
          <t>08:30</t>
        </is>
      </c>
      <c r="K895" s="10" t="inlineStr">
        <is>
          <t>On time</t>
        </is>
      </c>
      <c r="L895" s="6" t="n">
        <v>0</v>
      </c>
      <c r="M895" s="10" t="n"/>
      <c r="N895" s="6" t="n">
        <v>6</v>
      </c>
      <c r="O895" s="6" t="n">
        <v>432</v>
      </c>
      <c r="P895" s="6" t="n">
        <v>1</v>
      </c>
      <c r="Q895" s="6">
        <f>IF(OR(K895="On time",K895="Late",K895="Very late"),1,0)</f>
        <v/>
      </c>
    </row>
    <row r="896">
      <c r="A896" s="10" t="inlineStr">
        <is>
          <t>DN319118</t>
        </is>
      </c>
      <c r="B896" s="10" t="inlineStr">
        <is>
          <t>SO62967</t>
        </is>
      </c>
      <c r="C896" s="10" t="inlineStr">
        <is>
          <t>C10746</t>
        </is>
      </c>
      <c r="D896" s="10">
        <f>INDEX(Customers!$B:$B,MATCH(C896,Customers!$A:$A,0))</f>
        <v/>
      </c>
      <c r="E896" s="10">
        <f>INDEX(Customers!$D:$D,MATCH(C896,Customers!$A:$A,0))</f>
        <v/>
      </c>
      <c r="F896" s="10" t="inlineStr">
        <is>
          <t>Own trucks</t>
        </is>
      </c>
      <c r="G896" s="5" t="n">
        <v>46266</v>
      </c>
      <c r="H896" s="5" t="n">
        <v>46267</v>
      </c>
      <c r="I896" s="5" t="n">
        <v>46267</v>
      </c>
      <c r="J896" s="10" t="inlineStr">
        <is>
          <t>10:00</t>
        </is>
      </c>
      <c r="K896" s="10" t="inlineStr">
        <is>
          <t>On time</t>
        </is>
      </c>
      <c r="L896" s="6" t="n">
        <v>0</v>
      </c>
      <c r="M896" s="10" t="n"/>
      <c r="N896" s="6" t="n">
        <v>28</v>
      </c>
      <c r="O896" s="6" t="n">
        <v>3416</v>
      </c>
      <c r="P896" s="6" t="n">
        <v>1</v>
      </c>
      <c r="Q896" s="6">
        <f>IF(OR(K896="On time",K896="Late",K896="Very late"),1,0)</f>
        <v/>
      </c>
    </row>
    <row r="897">
      <c r="A897" s="10" t="inlineStr">
        <is>
          <t>DN319119</t>
        </is>
      </c>
      <c r="B897" s="10" t="inlineStr">
        <is>
          <t>SO62968</t>
        </is>
      </c>
      <c r="C897" s="10" t="inlineStr">
        <is>
          <t>C10796</t>
        </is>
      </c>
      <c r="D897" s="10">
        <f>INDEX(Customers!$B:$B,MATCH(C897,Customers!$A:$A,0))</f>
        <v/>
      </c>
      <c r="E897" s="10">
        <f>INDEX(Customers!$D:$D,MATCH(C897,Customers!$A:$A,0))</f>
        <v/>
      </c>
      <c r="F897" s="10" t="inlineStr">
        <is>
          <t>Own trucks</t>
        </is>
      </c>
      <c r="G897" s="5" t="n">
        <v>46266</v>
      </c>
      <c r="H897" s="5" t="n">
        <v>46267</v>
      </c>
      <c r="I897" s="5" t="n">
        <v>46267</v>
      </c>
      <c r="J897" s="10" t="inlineStr">
        <is>
          <t>10:40</t>
        </is>
      </c>
      <c r="K897" s="10" t="inlineStr">
        <is>
          <t>On time</t>
        </is>
      </c>
      <c r="L897" s="6" t="n">
        <v>0</v>
      </c>
      <c r="M897" s="10" t="n"/>
      <c r="N897" s="6" t="n">
        <v>13</v>
      </c>
      <c r="O897" s="6" t="n">
        <v>1222</v>
      </c>
      <c r="P897" s="6" t="n">
        <v>1</v>
      </c>
      <c r="Q897" s="6">
        <f>IF(OR(K897="On time",K897="Late",K897="Very late"),1,0)</f>
        <v/>
      </c>
    </row>
    <row r="898">
      <c r="A898" s="10" t="inlineStr">
        <is>
          <t>DN319120</t>
        </is>
      </c>
      <c r="B898" s="10" t="inlineStr">
        <is>
          <t>SO62970</t>
        </is>
      </c>
      <c r="C898" s="10" t="inlineStr">
        <is>
          <t>C10847</t>
        </is>
      </c>
      <c r="D898" s="10">
        <f>INDEX(Customers!$B:$B,MATCH(C898,Customers!$A:$A,0))</f>
        <v/>
      </c>
      <c r="E898" s="10">
        <f>INDEX(Customers!$D:$D,MATCH(C898,Customers!$A:$A,0))</f>
        <v/>
      </c>
      <c r="F898" s="10" t="inlineStr">
        <is>
          <t>Own trucks</t>
        </is>
      </c>
      <c r="G898" s="5" t="n">
        <v>46266</v>
      </c>
      <c r="H898" s="5" t="n">
        <v>46267</v>
      </c>
      <c r="I898" s="5" t="n">
        <v>46267</v>
      </c>
      <c r="J898" s="10" t="inlineStr">
        <is>
          <t>12:20</t>
        </is>
      </c>
      <c r="K898" s="10" t="inlineStr">
        <is>
          <t>On time</t>
        </is>
      </c>
      <c r="L898" s="6" t="n">
        <v>0</v>
      </c>
      <c r="M898" s="10" t="n"/>
      <c r="N898" s="6" t="n">
        <v>24</v>
      </c>
      <c r="O898" s="6" t="n">
        <v>3264</v>
      </c>
      <c r="P898" s="6" t="n">
        <v>1</v>
      </c>
      <c r="Q898" s="6">
        <f>IF(OR(K898="On time",K898="Late",K898="Very late"),1,0)</f>
        <v/>
      </c>
    </row>
    <row r="899">
      <c r="A899" s="10" t="inlineStr">
        <is>
          <t>DN319121</t>
        </is>
      </c>
      <c r="B899" s="10" t="inlineStr">
        <is>
          <t>SO62971</t>
        </is>
      </c>
      <c r="C899" s="10" t="inlineStr">
        <is>
          <t>C10915</t>
        </is>
      </c>
      <c r="D899" s="10">
        <f>INDEX(Customers!$B:$B,MATCH(C899,Customers!$A:$A,0))</f>
        <v/>
      </c>
      <c r="E899" s="10">
        <f>INDEX(Customers!$D:$D,MATCH(C899,Customers!$A:$A,0))</f>
        <v/>
      </c>
      <c r="F899" s="10" t="inlineStr">
        <is>
          <t>Own trucks</t>
        </is>
      </c>
      <c r="G899" s="5" t="n">
        <v>46266</v>
      </c>
      <c r="H899" s="5" t="n">
        <v>46267</v>
      </c>
      <c r="I899" s="5" t="n">
        <v>46267</v>
      </c>
      <c r="J899" s="10" t="inlineStr">
        <is>
          <t>09:50</t>
        </is>
      </c>
      <c r="K899" s="10" t="inlineStr">
        <is>
          <t>On time</t>
        </is>
      </c>
      <c r="L899" s="6" t="n">
        <v>0</v>
      </c>
      <c r="M899" s="10" t="n"/>
      <c r="N899" s="6" t="n">
        <v>2</v>
      </c>
      <c r="O899" s="6" t="n">
        <v>146</v>
      </c>
      <c r="P899" s="6" t="n">
        <v>1</v>
      </c>
      <c r="Q899" s="6">
        <f>IF(OR(K899="On time",K899="Late",K899="Very late"),1,0)</f>
        <v/>
      </c>
    </row>
    <row r="900">
      <c r="A900" s="10" t="inlineStr">
        <is>
          <t>DN319122</t>
        </is>
      </c>
      <c r="B900" s="10" t="inlineStr">
        <is>
          <t>SO62973</t>
        </is>
      </c>
      <c r="C900" s="10" t="inlineStr">
        <is>
          <t>C10982</t>
        </is>
      </c>
      <c r="D900" s="10">
        <f>INDEX(Customers!$B:$B,MATCH(C900,Customers!$A:$A,0))</f>
        <v/>
      </c>
      <c r="E900" s="10">
        <f>INDEX(Customers!$D:$D,MATCH(C900,Customers!$A:$A,0))</f>
        <v/>
      </c>
      <c r="F900" s="10" t="inlineStr">
        <is>
          <t>Own trucks</t>
        </is>
      </c>
      <c r="G900" s="5" t="n">
        <v>46266</v>
      </c>
      <c r="H900" s="5" t="n">
        <v>46267</v>
      </c>
      <c r="I900" s="5" t="n">
        <v>46267</v>
      </c>
      <c r="J900" s="10" t="inlineStr">
        <is>
          <t>12:30</t>
        </is>
      </c>
      <c r="K900" s="10" t="inlineStr">
        <is>
          <t>On time</t>
        </is>
      </c>
      <c r="L900" s="6" t="n">
        <v>0</v>
      </c>
      <c r="M900" s="10" t="n"/>
      <c r="N900" s="6" t="n">
        <v>33</v>
      </c>
      <c r="O900" s="6" t="n">
        <v>3201</v>
      </c>
      <c r="P900" s="6" t="n">
        <v>1</v>
      </c>
      <c r="Q900" s="6">
        <f>IF(OR(K900="On time",K900="Late",K900="Very late"),1,0)</f>
        <v/>
      </c>
    </row>
    <row r="901">
      <c r="A901" s="10" t="inlineStr">
        <is>
          <t>DN319123</t>
        </is>
      </c>
      <c r="B901" s="10" t="inlineStr">
        <is>
          <t>SO62974</t>
        </is>
      </c>
      <c r="C901" s="10" t="inlineStr">
        <is>
          <t>C11107</t>
        </is>
      </c>
      <c r="D901" s="10">
        <f>INDEX(Customers!$B:$B,MATCH(C901,Customers!$A:$A,0))</f>
        <v/>
      </c>
      <c r="E901" s="10">
        <f>INDEX(Customers!$D:$D,MATCH(C901,Customers!$A:$A,0))</f>
        <v/>
      </c>
      <c r="F901" s="10" t="inlineStr">
        <is>
          <t>Own trucks</t>
        </is>
      </c>
      <c r="G901" s="5" t="n">
        <v>46266</v>
      </c>
      <c r="H901" s="5" t="n">
        <v>46267</v>
      </c>
      <c r="I901" s="5" t="n">
        <v>46267</v>
      </c>
      <c r="J901" s="10" t="inlineStr">
        <is>
          <t>07:10</t>
        </is>
      </c>
      <c r="K901" s="10" t="inlineStr">
        <is>
          <t>On time</t>
        </is>
      </c>
      <c r="L901" s="6" t="n">
        <v>0</v>
      </c>
      <c r="M901" s="10" t="n"/>
      <c r="N901" s="6" t="n">
        <v>20</v>
      </c>
      <c r="O901" s="6" t="n">
        <v>2620</v>
      </c>
      <c r="P901" s="6" t="n">
        <v>0</v>
      </c>
      <c r="Q901" s="6">
        <f>IF(OR(K901="On time",K901="Late",K901="Very late"),1,0)</f>
        <v/>
      </c>
    </row>
    <row r="902">
      <c r="A902" s="10" t="inlineStr">
        <is>
          <t>DN319124</t>
        </is>
      </c>
      <c r="B902" s="10" t="inlineStr">
        <is>
          <t>SO62975</t>
        </is>
      </c>
      <c r="C902" s="10" t="inlineStr">
        <is>
          <t>C11186</t>
        </is>
      </c>
      <c r="D902" s="10">
        <f>INDEX(Customers!$B:$B,MATCH(C902,Customers!$A:$A,0))</f>
        <v/>
      </c>
      <c r="E902" s="10">
        <f>INDEX(Customers!$D:$D,MATCH(C902,Customers!$A:$A,0))</f>
        <v/>
      </c>
      <c r="F902" s="10" t="inlineStr">
        <is>
          <t>Own trucks</t>
        </is>
      </c>
      <c r="G902" s="5" t="n">
        <v>46266</v>
      </c>
      <c r="H902" s="5" t="n">
        <v>46267</v>
      </c>
      <c r="I902" s="5" t="n">
        <v>46267</v>
      </c>
      <c r="J902" s="10" t="inlineStr">
        <is>
          <t>10:50</t>
        </is>
      </c>
      <c r="K902" s="10" t="inlineStr">
        <is>
          <t>On time</t>
        </is>
      </c>
      <c r="L902" s="6" t="n">
        <v>0</v>
      </c>
      <c r="M902" s="10" t="n"/>
      <c r="N902" s="6" t="n">
        <v>26</v>
      </c>
      <c r="O902" s="6" t="n">
        <v>2392</v>
      </c>
      <c r="P902" s="6" t="n">
        <v>1</v>
      </c>
      <c r="Q902" s="6">
        <f>IF(OR(K902="On time",K902="Late",K902="Very late"),1,0)</f>
        <v/>
      </c>
    </row>
    <row r="903">
      <c r="A903" s="10" t="inlineStr">
        <is>
          <t>DN319125</t>
        </is>
      </c>
      <c r="B903" s="10" t="inlineStr">
        <is>
          <t>SO62976</t>
        </is>
      </c>
      <c r="C903" s="10" t="inlineStr">
        <is>
          <t>C11264</t>
        </is>
      </c>
      <c r="D903" s="10">
        <f>INDEX(Customers!$B:$B,MATCH(C903,Customers!$A:$A,0))</f>
        <v/>
      </c>
      <c r="E903" s="10">
        <f>INDEX(Customers!$D:$D,MATCH(C903,Customers!$A:$A,0))</f>
        <v/>
      </c>
      <c r="F903" s="10" t="inlineStr">
        <is>
          <t>Own trucks</t>
        </is>
      </c>
      <c r="G903" s="5" t="n">
        <v>46266</v>
      </c>
      <c r="H903" s="5" t="n">
        <v>46267</v>
      </c>
      <c r="I903" s="5" t="n">
        <v>46268</v>
      </c>
      <c r="J903" s="10" t="inlineStr">
        <is>
          <t>09:10</t>
        </is>
      </c>
      <c r="K903" s="10" t="inlineStr">
        <is>
          <t>Late</t>
        </is>
      </c>
      <c r="L903" s="6" t="n">
        <v>1</v>
      </c>
      <c r="M903" s="10" t="inlineStr">
        <is>
          <t>Carrier delay</t>
        </is>
      </c>
      <c r="N903" s="6" t="n">
        <v>27</v>
      </c>
      <c r="O903" s="6" t="n">
        <v>2943</v>
      </c>
      <c r="P903" s="6" t="n">
        <v>1</v>
      </c>
      <c r="Q903" s="6">
        <f>IF(OR(K903="On time",K903="Late",K903="Very late"),1,0)</f>
        <v/>
      </c>
    </row>
    <row r="904">
      <c r="A904" s="10" t="inlineStr">
        <is>
          <t>DN319126</t>
        </is>
      </c>
      <c r="B904" s="10" t="inlineStr">
        <is>
          <t>SO62978</t>
        </is>
      </c>
      <c r="C904" s="10" t="inlineStr">
        <is>
          <t>C11314</t>
        </is>
      </c>
      <c r="D904" s="10">
        <f>INDEX(Customers!$B:$B,MATCH(C904,Customers!$A:$A,0))</f>
        <v/>
      </c>
      <c r="E904" s="10">
        <f>INDEX(Customers!$D:$D,MATCH(C904,Customers!$A:$A,0))</f>
        <v/>
      </c>
      <c r="F904" s="10" t="inlineStr">
        <is>
          <t>Own trucks</t>
        </is>
      </c>
      <c r="G904" s="5" t="n">
        <v>46266</v>
      </c>
      <c r="H904" s="5" t="n">
        <v>46267</v>
      </c>
      <c r="I904" s="5" t="n">
        <v>46267</v>
      </c>
      <c r="J904" s="10" t="inlineStr">
        <is>
          <t>10:10</t>
        </is>
      </c>
      <c r="K904" s="10" t="inlineStr">
        <is>
          <t>On time</t>
        </is>
      </c>
      <c r="L904" s="6" t="n">
        <v>0</v>
      </c>
      <c r="M904" s="10" t="n"/>
      <c r="N904" s="6" t="n">
        <v>22</v>
      </c>
      <c r="O904" s="6" t="n">
        <v>2464</v>
      </c>
      <c r="P904" s="6" t="n">
        <v>1</v>
      </c>
      <c r="Q904" s="6">
        <f>IF(OR(K904="On time",K904="Late",K904="Very late"),1,0)</f>
        <v/>
      </c>
    </row>
    <row r="905">
      <c r="A905" s="10" t="inlineStr">
        <is>
          <t>DN319127</t>
        </is>
      </c>
      <c r="B905" s="10" t="inlineStr">
        <is>
          <t>SO62979</t>
        </is>
      </c>
      <c r="C905" s="10" t="inlineStr">
        <is>
          <t>C11333</t>
        </is>
      </c>
      <c r="D905" s="10">
        <f>INDEX(Customers!$B:$B,MATCH(C905,Customers!$A:$A,0))</f>
        <v/>
      </c>
      <c r="E905" s="10">
        <f>INDEX(Customers!$D:$D,MATCH(C905,Customers!$A:$A,0))</f>
        <v/>
      </c>
      <c r="F905" s="10" t="inlineStr">
        <is>
          <t>Own trucks</t>
        </is>
      </c>
      <c r="G905" s="5" t="n">
        <v>46266</v>
      </c>
      <c r="H905" s="5" t="n">
        <v>46267</v>
      </c>
      <c r="I905" s="5" t="n">
        <v>46267</v>
      </c>
      <c r="J905" s="10" t="inlineStr">
        <is>
          <t>12:30</t>
        </is>
      </c>
      <c r="K905" s="10" t="inlineStr">
        <is>
          <t>On time</t>
        </is>
      </c>
      <c r="L905" s="6" t="n">
        <v>0</v>
      </c>
      <c r="M905" s="10" t="n"/>
      <c r="N905" s="6" t="n">
        <v>38</v>
      </c>
      <c r="O905" s="6" t="n">
        <v>4522</v>
      </c>
      <c r="P905" s="6" t="n">
        <v>1</v>
      </c>
      <c r="Q905" s="6">
        <f>IF(OR(K905="On time",K905="Late",K905="Very late"),1,0)</f>
        <v/>
      </c>
    </row>
    <row r="906">
      <c r="A906" s="10" t="inlineStr">
        <is>
          <t>DN319128</t>
        </is>
      </c>
      <c r="B906" s="10" t="inlineStr">
        <is>
          <t>SO62980</t>
        </is>
      </c>
      <c r="C906" s="10" t="inlineStr">
        <is>
          <t>C11400</t>
        </is>
      </c>
      <c r="D906" s="10">
        <f>INDEX(Customers!$B:$B,MATCH(C906,Customers!$A:$A,0))</f>
        <v/>
      </c>
      <c r="E906" s="10">
        <f>INDEX(Customers!$D:$D,MATCH(C906,Customers!$A:$A,0))</f>
        <v/>
      </c>
      <c r="F906" s="10" t="inlineStr">
        <is>
          <t>Own trucks</t>
        </is>
      </c>
      <c r="G906" s="5" t="n">
        <v>46266</v>
      </c>
      <c r="H906" s="5" t="n">
        <v>46267</v>
      </c>
      <c r="I906" s="5" t="n">
        <v>46267</v>
      </c>
      <c r="J906" s="10" t="inlineStr">
        <is>
          <t>10:20</t>
        </is>
      </c>
      <c r="K906" s="10" t="inlineStr">
        <is>
          <t>On time</t>
        </is>
      </c>
      <c r="L906" s="6" t="n">
        <v>0</v>
      </c>
      <c r="M906" s="10" t="n"/>
      <c r="N906" s="6" t="n">
        <v>15</v>
      </c>
      <c r="O906" s="6" t="n">
        <v>1125</v>
      </c>
      <c r="P906" s="6" t="n">
        <v>1</v>
      </c>
      <c r="Q906" s="6">
        <f>IF(OR(K906="On time",K906="Late",K906="Very late"),1,0)</f>
        <v/>
      </c>
    </row>
    <row r="907">
      <c r="A907" s="10" t="inlineStr">
        <is>
          <t>DN319130</t>
        </is>
      </c>
      <c r="B907" s="10" t="inlineStr">
        <is>
          <t>SO62981</t>
        </is>
      </c>
      <c r="C907" s="10" t="inlineStr">
        <is>
          <t>C11463</t>
        </is>
      </c>
      <c r="D907" s="10">
        <f>INDEX(Customers!$B:$B,MATCH(C907,Customers!$A:$A,0))</f>
        <v/>
      </c>
      <c r="E907" s="10">
        <f>INDEX(Customers!$D:$D,MATCH(C907,Customers!$A:$A,0))</f>
        <v/>
      </c>
      <c r="F907" s="10" t="inlineStr">
        <is>
          <t>Own trucks</t>
        </is>
      </c>
      <c r="G907" s="5" t="n">
        <v>46266</v>
      </c>
      <c r="H907" s="5" t="n">
        <v>46267</v>
      </c>
      <c r="I907" s="5" t="n">
        <v>46267</v>
      </c>
      <c r="J907" s="10" t="inlineStr">
        <is>
          <t>11:10</t>
        </is>
      </c>
      <c r="K907" s="10" t="inlineStr">
        <is>
          <t>On time</t>
        </is>
      </c>
      <c r="L907" s="6" t="n">
        <v>0</v>
      </c>
      <c r="M907" s="10" t="n"/>
      <c r="N907" s="6" t="n">
        <v>4</v>
      </c>
      <c r="O907" s="6" t="n">
        <v>340</v>
      </c>
      <c r="P907" s="6" t="n">
        <v>1</v>
      </c>
      <c r="Q907" s="6">
        <f>IF(OR(K907="On time",K907="Late",K907="Very late"),1,0)</f>
        <v/>
      </c>
    </row>
    <row r="908">
      <c r="A908" s="10" t="inlineStr">
        <is>
          <t>DN319131</t>
        </is>
      </c>
      <c r="B908" s="10" t="inlineStr">
        <is>
          <t>SO62982</t>
        </is>
      </c>
      <c r="C908" s="10" t="inlineStr">
        <is>
          <t>C11518</t>
        </is>
      </c>
      <c r="D908" s="10">
        <f>INDEX(Customers!$B:$B,MATCH(C908,Customers!$A:$A,0))</f>
        <v/>
      </c>
      <c r="E908" s="10">
        <f>INDEX(Customers!$D:$D,MATCH(C908,Customers!$A:$A,0))</f>
        <v/>
      </c>
      <c r="F908" s="10" t="inlineStr">
        <is>
          <t>Own trucks</t>
        </is>
      </c>
      <c r="G908" s="5" t="n">
        <v>46266</v>
      </c>
      <c r="H908" s="5" t="n">
        <v>46267</v>
      </c>
      <c r="I908" s="5" t="n">
        <v>46267</v>
      </c>
      <c r="J908" s="10" t="inlineStr">
        <is>
          <t>14:50</t>
        </is>
      </c>
      <c r="K908" s="10" t="inlineStr">
        <is>
          <t>On time</t>
        </is>
      </c>
      <c r="L908" s="6" t="n">
        <v>0</v>
      </c>
      <c r="M908" s="10" t="n"/>
      <c r="N908" s="6" t="n">
        <v>15</v>
      </c>
      <c r="O908" s="6" t="n">
        <v>840</v>
      </c>
      <c r="P908" s="6" t="n">
        <v>1</v>
      </c>
      <c r="Q908" s="6">
        <f>IF(OR(K908="On time",K908="Late",K908="Very late"),1,0)</f>
        <v/>
      </c>
    </row>
    <row r="909">
      <c r="A909" s="10" t="inlineStr">
        <is>
          <t>DN319132</t>
        </is>
      </c>
      <c r="B909" s="10" t="inlineStr">
        <is>
          <t>SO62983</t>
        </is>
      </c>
      <c r="C909" s="10" t="inlineStr">
        <is>
          <t>C11579</t>
        </is>
      </c>
      <c r="D909" s="10">
        <f>INDEX(Customers!$B:$B,MATCH(C909,Customers!$A:$A,0))</f>
        <v/>
      </c>
      <c r="E909" s="10">
        <f>INDEX(Customers!$D:$D,MATCH(C909,Customers!$A:$A,0))</f>
        <v/>
      </c>
      <c r="F909" s="10" t="inlineStr">
        <is>
          <t>Own trucks</t>
        </is>
      </c>
      <c r="G909" s="5" t="n">
        <v>46266</v>
      </c>
      <c r="H909" s="5" t="n">
        <v>46267</v>
      </c>
      <c r="I909" s="5" t="n">
        <v>46267</v>
      </c>
      <c r="J909" s="10" t="inlineStr">
        <is>
          <t>07:20</t>
        </is>
      </c>
      <c r="K909" s="10" t="inlineStr">
        <is>
          <t>On time</t>
        </is>
      </c>
      <c r="L909" s="6" t="n">
        <v>0</v>
      </c>
      <c r="M909" s="10" t="n"/>
      <c r="N909" s="6" t="n">
        <v>22</v>
      </c>
      <c r="O909" s="6" t="n">
        <v>2200</v>
      </c>
      <c r="P909" s="6" t="n">
        <v>1</v>
      </c>
      <c r="Q909" s="6">
        <f>IF(OR(K909="On time",K909="Late",K909="Very late"),1,0)</f>
        <v/>
      </c>
    </row>
    <row r="910">
      <c r="A910" s="10" t="inlineStr">
        <is>
          <t>DN319133</t>
        </is>
      </c>
      <c r="B910" s="10" t="inlineStr">
        <is>
          <t>SO62985</t>
        </is>
      </c>
      <c r="C910" s="10" t="inlineStr">
        <is>
          <t>C11666</t>
        </is>
      </c>
      <c r="D910" s="10">
        <f>INDEX(Customers!$B:$B,MATCH(C910,Customers!$A:$A,0))</f>
        <v/>
      </c>
      <c r="E910" s="10">
        <f>INDEX(Customers!$D:$D,MATCH(C910,Customers!$A:$A,0))</f>
        <v/>
      </c>
      <c r="F910" s="10" t="inlineStr">
        <is>
          <t>Own trucks</t>
        </is>
      </c>
      <c r="G910" s="5" t="n">
        <v>46266</v>
      </c>
      <c r="H910" s="5" t="n">
        <v>46267</v>
      </c>
      <c r="I910" s="5" t="n">
        <v>46267</v>
      </c>
      <c r="J910" s="10" t="inlineStr">
        <is>
          <t>16:30</t>
        </is>
      </c>
      <c r="K910" s="10" t="inlineStr">
        <is>
          <t>On time</t>
        </is>
      </c>
      <c r="L910" s="6" t="n">
        <v>0</v>
      </c>
      <c r="M910" s="10" t="n"/>
      <c r="N910" s="6" t="n">
        <v>35</v>
      </c>
      <c r="O910" s="6" t="n">
        <v>2590</v>
      </c>
      <c r="P910" s="6" t="n">
        <v>1</v>
      </c>
      <c r="Q910" s="6">
        <f>IF(OR(K910="On time",K910="Late",K910="Very late"),1,0)</f>
        <v/>
      </c>
    </row>
    <row r="911">
      <c r="A911" s="10" t="inlineStr">
        <is>
          <t>DN319135</t>
        </is>
      </c>
      <c r="B911" s="10" t="inlineStr">
        <is>
          <t>SO62986</t>
        </is>
      </c>
      <c r="C911" s="10" t="inlineStr">
        <is>
          <t>C11790</t>
        </is>
      </c>
      <c r="D911" s="10">
        <f>INDEX(Customers!$B:$B,MATCH(C911,Customers!$A:$A,0))</f>
        <v/>
      </c>
      <c r="E911" s="10">
        <f>INDEX(Customers!$D:$D,MATCH(C911,Customers!$A:$A,0))</f>
        <v/>
      </c>
      <c r="F911" s="10" t="inlineStr">
        <is>
          <t>Carrier A</t>
        </is>
      </c>
      <c r="G911" s="5" t="n">
        <v>46266</v>
      </c>
      <c r="H911" s="5" t="n">
        <v>46267</v>
      </c>
      <c r="I911" s="5" t="n">
        <v>46267</v>
      </c>
      <c r="J911" s="10" t="inlineStr">
        <is>
          <t>12:10</t>
        </is>
      </c>
      <c r="K911" s="10" t="inlineStr">
        <is>
          <t>On time</t>
        </is>
      </c>
      <c r="L911" s="6" t="n">
        <v>0</v>
      </c>
      <c r="M911" s="10" t="n"/>
      <c r="N911" s="6" t="n">
        <v>30</v>
      </c>
      <c r="O911" s="6" t="n">
        <v>3840</v>
      </c>
      <c r="P911" s="6" t="n">
        <v>1</v>
      </c>
      <c r="Q911" s="6">
        <f>IF(OR(K911="On time",K911="Late",K911="Very late"),1,0)</f>
        <v/>
      </c>
    </row>
    <row r="912">
      <c r="A912" s="10" t="inlineStr">
        <is>
          <t>DN319136</t>
        </is>
      </c>
      <c r="B912" s="10" t="inlineStr">
        <is>
          <t>SO62988</t>
        </is>
      </c>
      <c r="C912" s="10" t="inlineStr">
        <is>
          <t>C11858</t>
        </is>
      </c>
      <c r="D912" s="10">
        <f>INDEX(Customers!$B:$B,MATCH(C912,Customers!$A:$A,0))</f>
        <v/>
      </c>
      <c r="E912" s="10">
        <f>INDEX(Customers!$D:$D,MATCH(C912,Customers!$A:$A,0))</f>
        <v/>
      </c>
      <c r="F912" s="10" t="inlineStr">
        <is>
          <t>Carrier A</t>
        </is>
      </c>
      <c r="G912" s="5" t="n">
        <v>46266</v>
      </c>
      <c r="H912" s="5" t="n">
        <v>46267</v>
      </c>
      <c r="I912" s="5" t="n">
        <v>46267</v>
      </c>
      <c r="J912" s="10" t="inlineStr">
        <is>
          <t>07:00</t>
        </is>
      </c>
      <c r="K912" s="10" t="inlineStr">
        <is>
          <t>On time</t>
        </is>
      </c>
      <c r="L912" s="6" t="n">
        <v>0</v>
      </c>
      <c r="M912" s="10" t="n"/>
      <c r="N912" s="6" t="n">
        <v>18</v>
      </c>
      <c r="O912" s="6" t="n">
        <v>1008</v>
      </c>
      <c r="P912" s="6" t="n">
        <v>1</v>
      </c>
      <c r="Q912" s="6">
        <f>IF(OR(K912="On time",K912="Late",K912="Very late"),1,0)</f>
        <v/>
      </c>
    </row>
    <row r="913">
      <c r="A913" s="10" t="inlineStr">
        <is>
          <t>DN319137</t>
        </is>
      </c>
      <c r="B913" s="10" t="inlineStr">
        <is>
          <t>SO62989</t>
        </is>
      </c>
      <c r="C913" s="10" t="inlineStr">
        <is>
          <t>C11866</t>
        </is>
      </c>
      <c r="D913" s="10">
        <f>INDEX(Customers!$B:$B,MATCH(C913,Customers!$A:$A,0))</f>
        <v/>
      </c>
      <c r="E913" s="10">
        <f>INDEX(Customers!$D:$D,MATCH(C913,Customers!$A:$A,0))</f>
        <v/>
      </c>
      <c r="F913" s="10" t="inlineStr">
        <is>
          <t>Carrier A</t>
        </is>
      </c>
      <c r="G913" s="5" t="n">
        <v>46266</v>
      </c>
      <c r="H913" s="5" t="n">
        <v>46267</v>
      </c>
      <c r="I913" s="5" t="n">
        <v>46267</v>
      </c>
      <c r="J913" s="10" t="inlineStr">
        <is>
          <t>16:40</t>
        </is>
      </c>
      <c r="K913" s="10" t="inlineStr">
        <is>
          <t>On time</t>
        </is>
      </c>
      <c r="L913" s="6" t="n">
        <v>0</v>
      </c>
      <c r="M913" s="10" t="n"/>
      <c r="N913" s="6" t="n">
        <v>7</v>
      </c>
      <c r="O913" s="6" t="n">
        <v>462</v>
      </c>
      <c r="P913" s="6" t="n">
        <v>1</v>
      </c>
      <c r="Q913" s="6">
        <f>IF(OR(K913="On time",K913="Late",K913="Very late"),1,0)</f>
        <v/>
      </c>
    </row>
    <row r="914">
      <c r="A914" s="10" t="inlineStr">
        <is>
          <t>DN319138</t>
        </is>
      </c>
      <c r="B914" s="10" t="inlineStr">
        <is>
          <t>SO62990</t>
        </is>
      </c>
      <c r="C914" s="10" t="inlineStr">
        <is>
          <t>C11971</t>
        </is>
      </c>
      <c r="D914" s="10">
        <f>INDEX(Customers!$B:$B,MATCH(C914,Customers!$A:$A,0))</f>
        <v/>
      </c>
      <c r="E914" s="10">
        <f>INDEX(Customers!$D:$D,MATCH(C914,Customers!$A:$A,0))</f>
        <v/>
      </c>
      <c r="F914" s="10" t="inlineStr">
        <is>
          <t>Own trucks</t>
        </is>
      </c>
      <c r="G914" s="5" t="n">
        <v>46266</v>
      </c>
      <c r="H914" s="5" t="n">
        <v>46267</v>
      </c>
      <c r="I914" s="5" t="n">
        <v>46267</v>
      </c>
      <c r="J914" s="10" t="inlineStr">
        <is>
          <t>16:20</t>
        </is>
      </c>
      <c r="K914" s="10" t="inlineStr">
        <is>
          <t>On time</t>
        </is>
      </c>
      <c r="L914" s="6" t="n">
        <v>0</v>
      </c>
      <c r="M914" s="10" t="n"/>
      <c r="N914" s="6" t="n">
        <v>36</v>
      </c>
      <c r="O914" s="6" t="n">
        <v>3888</v>
      </c>
      <c r="P914" s="6" t="n">
        <v>1</v>
      </c>
      <c r="Q914" s="6">
        <f>IF(OR(K914="On time",K914="Late",K914="Very late"),1,0)</f>
        <v/>
      </c>
    </row>
    <row r="915">
      <c r="A915" s="10" t="inlineStr">
        <is>
          <t>DN319139</t>
        </is>
      </c>
      <c r="B915" s="10" t="inlineStr">
        <is>
          <t>SO62991</t>
        </is>
      </c>
      <c r="C915" s="10" t="inlineStr">
        <is>
          <t>C12037</t>
        </is>
      </c>
      <c r="D915" s="10">
        <f>INDEX(Customers!$B:$B,MATCH(C915,Customers!$A:$A,0))</f>
        <v/>
      </c>
      <c r="E915" s="10">
        <f>INDEX(Customers!$D:$D,MATCH(C915,Customers!$A:$A,0))</f>
        <v/>
      </c>
      <c r="F915" s="10" t="inlineStr">
        <is>
          <t>Own trucks</t>
        </is>
      </c>
      <c r="G915" s="5" t="n">
        <v>46266</v>
      </c>
      <c r="H915" s="5" t="n">
        <v>46267</v>
      </c>
      <c r="I915" s="5" t="n">
        <v>46267</v>
      </c>
      <c r="J915" s="10" t="inlineStr">
        <is>
          <t>11:50</t>
        </is>
      </c>
      <c r="K915" s="10" t="inlineStr">
        <is>
          <t>On time</t>
        </is>
      </c>
      <c r="L915" s="6" t="n">
        <v>0</v>
      </c>
      <c r="M915" s="10" t="n"/>
      <c r="N915" s="6" t="n">
        <v>7</v>
      </c>
      <c r="O915" s="6" t="n">
        <v>483</v>
      </c>
      <c r="P915" s="6" t="n">
        <v>1</v>
      </c>
      <c r="Q915" s="6">
        <f>IF(OR(K915="On time",K915="Late",K915="Very late"),1,0)</f>
        <v/>
      </c>
    </row>
    <row r="916">
      <c r="A916" s="10" t="inlineStr">
        <is>
          <t>DN319141</t>
        </is>
      </c>
      <c r="B916" s="10" t="inlineStr">
        <is>
          <t>SO62992</t>
        </is>
      </c>
      <c r="C916" s="10" t="inlineStr">
        <is>
          <t>C12103</t>
        </is>
      </c>
      <c r="D916" s="10">
        <f>INDEX(Customers!$B:$B,MATCH(C916,Customers!$A:$A,0))</f>
        <v/>
      </c>
      <c r="E916" s="10">
        <f>INDEX(Customers!$D:$D,MATCH(C916,Customers!$A:$A,0))</f>
        <v/>
      </c>
      <c r="F916" s="10" t="inlineStr">
        <is>
          <t>Own trucks</t>
        </is>
      </c>
      <c r="G916" s="5" t="n">
        <v>46266</v>
      </c>
      <c r="H916" s="5" t="n">
        <v>46267</v>
      </c>
      <c r="I916" s="5" t="n">
        <v>46267</v>
      </c>
      <c r="J916" s="10" t="inlineStr">
        <is>
          <t>16:30</t>
        </is>
      </c>
      <c r="K916" s="10" t="inlineStr">
        <is>
          <t>On time</t>
        </is>
      </c>
      <c r="L916" s="6" t="n">
        <v>0</v>
      </c>
      <c r="M916" s="10" t="n"/>
      <c r="N916" s="6" t="n">
        <v>30</v>
      </c>
      <c r="O916" s="6" t="n">
        <v>2880</v>
      </c>
      <c r="P916" s="6" t="n">
        <v>1</v>
      </c>
      <c r="Q916" s="6">
        <f>IF(OR(K916="On time",K916="Late",K916="Very late"),1,0)</f>
        <v/>
      </c>
    </row>
    <row r="917">
      <c r="A917" s="10" t="inlineStr">
        <is>
          <t>DN319142</t>
        </is>
      </c>
      <c r="B917" s="10" t="inlineStr">
        <is>
          <t>SO62993</t>
        </is>
      </c>
      <c r="C917" s="10" t="inlineStr">
        <is>
          <t>C12117</t>
        </is>
      </c>
      <c r="D917" s="10">
        <f>INDEX(Customers!$B:$B,MATCH(C917,Customers!$A:$A,0))</f>
        <v/>
      </c>
      <c r="E917" s="10">
        <f>INDEX(Customers!$D:$D,MATCH(C917,Customers!$A:$A,0))</f>
        <v/>
      </c>
      <c r="F917" s="10" t="inlineStr">
        <is>
          <t>Own trucks</t>
        </is>
      </c>
      <c r="G917" s="5" t="n">
        <v>46266</v>
      </c>
      <c r="H917" s="5" t="n">
        <v>46267</v>
      </c>
      <c r="I917" s="5" t="n">
        <v>46267</v>
      </c>
      <c r="J917" s="10" t="inlineStr">
        <is>
          <t>15:10</t>
        </is>
      </c>
      <c r="K917" s="10" t="inlineStr">
        <is>
          <t>On time</t>
        </is>
      </c>
      <c r="L917" s="6" t="n">
        <v>0</v>
      </c>
      <c r="M917" s="10" t="n"/>
      <c r="N917" s="6" t="n">
        <v>9</v>
      </c>
      <c r="O917" s="6" t="n">
        <v>513</v>
      </c>
      <c r="P917" s="6" t="n">
        <v>1</v>
      </c>
      <c r="Q917" s="6">
        <f>IF(OR(K917="On time",K917="Late",K917="Very late"),1,0)</f>
        <v/>
      </c>
    </row>
    <row r="918">
      <c r="A918" s="10" t="inlineStr">
        <is>
          <t>DN319143</t>
        </is>
      </c>
      <c r="B918" s="10" t="inlineStr">
        <is>
          <t>SO62994</t>
        </is>
      </c>
      <c r="C918" s="10" t="inlineStr">
        <is>
          <t>C12183</t>
        </is>
      </c>
      <c r="D918" s="10">
        <f>INDEX(Customers!$B:$B,MATCH(C918,Customers!$A:$A,0))</f>
        <v/>
      </c>
      <c r="E918" s="10">
        <f>INDEX(Customers!$D:$D,MATCH(C918,Customers!$A:$A,0))</f>
        <v/>
      </c>
      <c r="F918" s="10" t="inlineStr">
        <is>
          <t>Carrier B</t>
        </is>
      </c>
      <c r="G918" s="5" t="n">
        <v>46266</v>
      </c>
      <c r="H918" s="5" t="n">
        <v>46267</v>
      </c>
      <c r="I918" s="5" t="n">
        <v>46267</v>
      </c>
      <c r="J918" s="10" t="inlineStr">
        <is>
          <t>08:20</t>
        </is>
      </c>
      <c r="K918" s="10" t="inlineStr">
        <is>
          <t>On time</t>
        </is>
      </c>
      <c r="L918" s="6" t="n">
        <v>0</v>
      </c>
      <c r="M918" s="10" t="n"/>
      <c r="N918" s="6" t="n">
        <v>2</v>
      </c>
      <c r="O918" s="6" t="n">
        <v>158</v>
      </c>
      <c r="P918" s="6" t="n">
        <v>1</v>
      </c>
      <c r="Q918" s="6">
        <f>IF(OR(K918="On time",K918="Late",K918="Very late"),1,0)</f>
        <v/>
      </c>
    </row>
    <row r="919">
      <c r="A919" s="10" t="inlineStr">
        <is>
          <t>DN319144</t>
        </is>
      </c>
      <c r="B919" s="10" t="inlineStr">
        <is>
          <t>SO62995</t>
        </is>
      </c>
      <c r="C919" s="10" t="inlineStr">
        <is>
          <t>C12213</t>
        </is>
      </c>
      <c r="D919" s="10">
        <f>INDEX(Customers!$B:$B,MATCH(C919,Customers!$A:$A,0))</f>
        <v/>
      </c>
      <c r="E919" s="10">
        <f>INDEX(Customers!$D:$D,MATCH(C919,Customers!$A:$A,0))</f>
        <v/>
      </c>
      <c r="F919" s="10" t="inlineStr">
        <is>
          <t>Carrier B</t>
        </is>
      </c>
      <c r="G919" s="5" t="n">
        <v>46266</v>
      </c>
      <c r="H919" s="5" t="n">
        <v>46267</v>
      </c>
      <c r="I919" s="5" t="n">
        <v>46267</v>
      </c>
      <c r="J919" s="10" t="inlineStr">
        <is>
          <t>12:30</t>
        </is>
      </c>
      <c r="K919" s="10" t="inlineStr">
        <is>
          <t>On time</t>
        </is>
      </c>
      <c r="L919" s="6" t="n">
        <v>0</v>
      </c>
      <c r="M919" s="10" t="n"/>
      <c r="N919" s="6" t="n">
        <v>13</v>
      </c>
      <c r="O919" s="6" t="n">
        <v>780</v>
      </c>
      <c r="P919" s="6" t="n">
        <v>1</v>
      </c>
      <c r="Q919" s="6">
        <f>IF(OR(K919="On time",K919="Late",K919="Very late"),1,0)</f>
        <v/>
      </c>
    </row>
    <row r="920">
      <c r="A920" s="10" t="inlineStr">
        <is>
          <t>DN319145</t>
        </is>
      </c>
      <c r="B920" s="10" t="inlineStr">
        <is>
          <t>SO62996</t>
        </is>
      </c>
      <c r="C920" s="10" t="inlineStr">
        <is>
          <t>C12239</t>
        </is>
      </c>
      <c r="D920" s="10">
        <f>INDEX(Customers!$B:$B,MATCH(C920,Customers!$A:$A,0))</f>
        <v/>
      </c>
      <c r="E920" s="10">
        <f>INDEX(Customers!$D:$D,MATCH(C920,Customers!$A:$A,0))</f>
        <v/>
      </c>
      <c r="F920" s="10" t="inlineStr">
        <is>
          <t>Carrier B</t>
        </is>
      </c>
      <c r="G920" s="5" t="n">
        <v>46266</v>
      </c>
      <c r="H920" s="5" t="n">
        <v>46267</v>
      </c>
      <c r="I920" s="5" t="n">
        <v>46267</v>
      </c>
      <c r="J920" s="10" t="inlineStr">
        <is>
          <t>13:20</t>
        </is>
      </c>
      <c r="K920" s="10" t="inlineStr">
        <is>
          <t>On time</t>
        </is>
      </c>
      <c r="L920" s="6" t="n">
        <v>0</v>
      </c>
      <c r="M920" s="10" t="n"/>
      <c r="N920" s="6" t="n">
        <v>31</v>
      </c>
      <c r="O920" s="6" t="n">
        <v>3317</v>
      </c>
      <c r="P920" s="6" t="n">
        <v>1</v>
      </c>
      <c r="Q920" s="6">
        <f>IF(OR(K920="On time",K920="Late",K920="Very late"),1,0)</f>
        <v/>
      </c>
    </row>
    <row r="921">
      <c r="A921" s="10" t="inlineStr">
        <is>
          <t>DN319146</t>
        </is>
      </c>
      <c r="B921" s="10" t="inlineStr">
        <is>
          <t>SO62997</t>
        </is>
      </c>
      <c r="C921" s="10" t="inlineStr">
        <is>
          <t>C12262</t>
        </is>
      </c>
      <c r="D921" s="10">
        <f>INDEX(Customers!$B:$B,MATCH(C921,Customers!$A:$A,0))</f>
        <v/>
      </c>
      <c r="E921" s="10">
        <f>INDEX(Customers!$D:$D,MATCH(C921,Customers!$A:$A,0))</f>
        <v/>
      </c>
      <c r="F921" s="10" t="inlineStr">
        <is>
          <t>Carrier B</t>
        </is>
      </c>
      <c r="G921" s="5" t="n">
        <v>46266</v>
      </c>
      <c r="H921" s="5" t="n">
        <v>46267</v>
      </c>
      <c r="I921" s="5" t="n">
        <v>46267</v>
      </c>
      <c r="J921" s="10" t="inlineStr">
        <is>
          <t>07:10</t>
        </is>
      </c>
      <c r="K921" s="10" t="inlineStr">
        <is>
          <t>On time</t>
        </is>
      </c>
      <c r="L921" s="6" t="n">
        <v>0</v>
      </c>
      <c r="M921" s="10" t="n"/>
      <c r="N921" s="6" t="n">
        <v>17</v>
      </c>
      <c r="O921" s="6" t="n">
        <v>2363</v>
      </c>
      <c r="P921" s="6" t="n">
        <v>1</v>
      </c>
      <c r="Q921" s="6">
        <f>IF(OR(K921="On time",K921="Late",K921="Very late"),1,0)</f>
        <v/>
      </c>
    </row>
    <row r="922">
      <c r="A922" s="10" t="inlineStr">
        <is>
          <t>DN319147</t>
        </is>
      </c>
      <c r="B922" s="10" t="inlineStr">
        <is>
          <t>SO62998</t>
        </is>
      </c>
      <c r="C922" s="10" t="inlineStr">
        <is>
          <t>C12371</t>
        </is>
      </c>
      <c r="D922" s="10">
        <f>INDEX(Customers!$B:$B,MATCH(C922,Customers!$A:$A,0))</f>
        <v/>
      </c>
      <c r="E922" s="10">
        <f>INDEX(Customers!$D:$D,MATCH(C922,Customers!$A:$A,0))</f>
        <v/>
      </c>
      <c r="F922" s="10" t="inlineStr">
        <is>
          <t>Carrier A</t>
        </is>
      </c>
      <c r="G922" s="5" t="n">
        <v>46266</v>
      </c>
      <c r="H922" s="5" t="n">
        <v>46267</v>
      </c>
      <c r="I922" s="5" t="n">
        <v>46267</v>
      </c>
      <c r="J922" s="10" t="inlineStr">
        <is>
          <t>11:20</t>
        </is>
      </c>
      <c r="K922" s="10" t="inlineStr">
        <is>
          <t>On time</t>
        </is>
      </c>
      <c r="L922" s="6" t="n">
        <v>0</v>
      </c>
      <c r="M922" s="10" t="n"/>
      <c r="N922" s="6" t="n">
        <v>33</v>
      </c>
      <c r="O922" s="6" t="n">
        <v>2112</v>
      </c>
      <c r="P922" s="6" t="n">
        <v>1</v>
      </c>
      <c r="Q922" s="6">
        <f>IF(OR(K922="On time",K922="Late",K922="Very late"),1,0)</f>
        <v/>
      </c>
    </row>
    <row r="923">
      <c r="A923" s="10" t="inlineStr">
        <is>
          <t>DN319148</t>
        </is>
      </c>
      <c r="B923" s="10" t="inlineStr">
        <is>
          <t>SO62999</t>
        </is>
      </c>
      <c r="C923" s="10" t="inlineStr">
        <is>
          <t>C12420</t>
        </is>
      </c>
      <c r="D923" s="10">
        <f>INDEX(Customers!$B:$B,MATCH(C923,Customers!$A:$A,0))</f>
        <v/>
      </c>
      <c r="E923" s="10">
        <f>INDEX(Customers!$D:$D,MATCH(C923,Customers!$A:$A,0))</f>
        <v/>
      </c>
      <c r="F923" s="10" t="inlineStr">
        <is>
          <t>Carrier A</t>
        </is>
      </c>
      <c r="G923" s="5" t="n">
        <v>46266</v>
      </c>
      <c r="H923" s="5" t="n">
        <v>46267</v>
      </c>
      <c r="I923" s="5" t="n">
        <v>46267</v>
      </c>
      <c r="J923" s="10" t="inlineStr">
        <is>
          <t>14:10</t>
        </is>
      </c>
      <c r="K923" s="10" t="inlineStr">
        <is>
          <t>On time</t>
        </is>
      </c>
      <c r="L923" s="6" t="n">
        <v>0</v>
      </c>
      <c r="M923" s="10" t="n"/>
      <c r="N923" s="6" t="n">
        <v>3</v>
      </c>
      <c r="O923" s="6" t="n">
        <v>327</v>
      </c>
      <c r="P923" s="6" t="n">
        <v>1</v>
      </c>
      <c r="Q923" s="6">
        <f>IF(OR(K923="On time",K923="Late",K923="Very late"),1,0)</f>
        <v/>
      </c>
    </row>
    <row r="924">
      <c r="A924" s="10" t="inlineStr">
        <is>
          <t>DN319149</t>
        </is>
      </c>
      <c r="B924" s="10" t="inlineStr">
        <is>
          <t>SO63000</t>
        </is>
      </c>
      <c r="C924" s="10" t="inlineStr">
        <is>
          <t>C12490</t>
        </is>
      </c>
      <c r="D924" s="10">
        <f>INDEX(Customers!$B:$B,MATCH(C924,Customers!$A:$A,0))</f>
        <v/>
      </c>
      <c r="E924" s="10">
        <f>INDEX(Customers!$D:$D,MATCH(C924,Customers!$A:$A,0))</f>
        <v/>
      </c>
      <c r="F924" s="10" t="inlineStr">
        <is>
          <t>Carrier A</t>
        </is>
      </c>
      <c r="G924" s="5" t="n">
        <v>46266</v>
      </c>
      <c r="H924" s="5" t="n">
        <v>46267</v>
      </c>
      <c r="I924" s="5" t="n">
        <v>46269</v>
      </c>
      <c r="J924" s="10" t="inlineStr">
        <is>
          <t>11:00</t>
        </is>
      </c>
      <c r="K924" s="10" t="inlineStr">
        <is>
          <t>Very late</t>
        </is>
      </c>
      <c r="L924" s="6" t="n">
        <v>2</v>
      </c>
      <c r="M924" s="10" t="inlineStr">
        <is>
          <t>Carrier delay</t>
        </is>
      </c>
      <c r="N924" s="6" t="n">
        <v>26</v>
      </c>
      <c r="O924" s="6" t="n">
        <v>2808</v>
      </c>
      <c r="P924" s="6" t="n">
        <v>0</v>
      </c>
      <c r="Q924" s="6">
        <f>IF(OR(K924="On time",K924="Late",K924="Very late"),1,0)</f>
        <v/>
      </c>
    </row>
    <row r="925">
      <c r="A925" s="10" t="inlineStr">
        <is>
          <t>DN319150</t>
        </is>
      </c>
      <c r="B925" s="10" t="inlineStr">
        <is>
          <t>SO63002</t>
        </is>
      </c>
      <c r="C925" s="10" t="inlineStr">
        <is>
          <t>C12527</t>
        </is>
      </c>
      <c r="D925" s="10">
        <f>INDEX(Customers!$B:$B,MATCH(C925,Customers!$A:$A,0))</f>
        <v/>
      </c>
      <c r="E925" s="10">
        <f>INDEX(Customers!$D:$D,MATCH(C925,Customers!$A:$A,0))</f>
        <v/>
      </c>
      <c r="F925" s="10" t="inlineStr">
        <is>
          <t>Carrier A</t>
        </is>
      </c>
      <c r="G925" s="5" t="n">
        <v>46266</v>
      </c>
      <c r="H925" s="5" t="n">
        <v>46267</v>
      </c>
      <c r="I925" s="5" t="n">
        <v>46267</v>
      </c>
      <c r="J925" s="10" t="inlineStr">
        <is>
          <t>10:00</t>
        </is>
      </c>
      <c r="K925" s="10" t="inlineStr">
        <is>
          <t>On time</t>
        </is>
      </c>
      <c r="L925" s="6" t="n">
        <v>0</v>
      </c>
      <c r="M925" s="10" t="n"/>
      <c r="N925" s="6" t="n">
        <v>11</v>
      </c>
      <c r="O925" s="6" t="n">
        <v>1287</v>
      </c>
      <c r="P925" s="6" t="n">
        <v>1</v>
      </c>
      <c r="Q925" s="6">
        <f>IF(OR(K925="On time",K925="Late",K925="Very late"),1,0)</f>
        <v/>
      </c>
    </row>
    <row r="926">
      <c r="A926" s="10" t="inlineStr">
        <is>
          <t>DN319151</t>
        </is>
      </c>
      <c r="B926" s="10" t="inlineStr">
        <is>
          <t>SO63003</t>
        </is>
      </c>
      <c r="C926" s="10" t="inlineStr">
        <is>
          <t>C12543</t>
        </is>
      </c>
      <c r="D926" s="10">
        <f>INDEX(Customers!$B:$B,MATCH(C926,Customers!$A:$A,0))</f>
        <v/>
      </c>
      <c r="E926" s="10">
        <f>INDEX(Customers!$D:$D,MATCH(C926,Customers!$A:$A,0))</f>
        <v/>
      </c>
      <c r="F926" s="10" t="inlineStr">
        <is>
          <t>Carrier B</t>
        </is>
      </c>
      <c r="G926" s="5" t="n">
        <v>46265</v>
      </c>
      <c r="H926" s="5" t="n">
        <v>46267</v>
      </c>
      <c r="I926" s="5" t="n">
        <v>46267</v>
      </c>
      <c r="J926" s="10" t="inlineStr">
        <is>
          <t>10:40</t>
        </is>
      </c>
      <c r="K926" s="10" t="inlineStr">
        <is>
          <t>On time</t>
        </is>
      </c>
      <c r="L926" s="6" t="n">
        <v>0</v>
      </c>
      <c r="M926" s="10" t="n"/>
      <c r="N926" s="6" t="n">
        <v>35</v>
      </c>
      <c r="O926" s="6" t="n">
        <v>3640</v>
      </c>
      <c r="P926" s="6" t="n">
        <v>1</v>
      </c>
      <c r="Q926" s="6">
        <f>IF(OR(K926="On time",K926="Late",K926="Very late"),1,0)</f>
        <v/>
      </c>
    </row>
    <row r="927">
      <c r="A927" s="10" t="inlineStr">
        <is>
          <t>DN319152</t>
        </is>
      </c>
      <c r="B927" s="10" t="inlineStr">
        <is>
          <t>SO63004</t>
        </is>
      </c>
      <c r="C927" s="10" t="inlineStr">
        <is>
          <t>C12617</t>
        </is>
      </c>
      <c r="D927" s="10">
        <f>INDEX(Customers!$B:$B,MATCH(C927,Customers!$A:$A,0))</f>
        <v/>
      </c>
      <c r="E927" s="10">
        <f>INDEX(Customers!$D:$D,MATCH(C927,Customers!$A:$A,0))</f>
        <v/>
      </c>
      <c r="F927" s="10" t="inlineStr">
        <is>
          <t>Carrier B</t>
        </is>
      </c>
      <c r="G927" s="5" t="n">
        <v>46265</v>
      </c>
      <c r="H927" s="5" t="n">
        <v>46267</v>
      </c>
      <c r="I927" s="5" t="n">
        <v>46267</v>
      </c>
      <c r="J927" s="10" t="inlineStr">
        <is>
          <t>15:40</t>
        </is>
      </c>
      <c r="K927" s="10" t="inlineStr">
        <is>
          <t>On time</t>
        </is>
      </c>
      <c r="L927" s="6" t="n">
        <v>0</v>
      </c>
      <c r="M927" s="10" t="n"/>
      <c r="N927" s="6" t="n">
        <v>21</v>
      </c>
      <c r="O927" s="6" t="n">
        <v>1953</v>
      </c>
      <c r="P927" s="6" t="n">
        <v>1</v>
      </c>
      <c r="Q927" s="6">
        <f>IF(OR(K927="On time",K927="Late",K927="Very late"),1,0)</f>
        <v/>
      </c>
    </row>
    <row r="928">
      <c r="A928" s="10" t="inlineStr">
        <is>
          <t>DN319153</t>
        </is>
      </c>
      <c r="B928" s="10" t="inlineStr">
        <is>
          <t>SO63005</t>
        </is>
      </c>
      <c r="C928" s="10" t="inlineStr">
        <is>
          <t>C12639</t>
        </is>
      </c>
      <c r="D928" s="10">
        <f>INDEX(Customers!$B:$B,MATCH(C928,Customers!$A:$A,0))</f>
        <v/>
      </c>
      <c r="E928" s="10">
        <f>INDEX(Customers!$D:$D,MATCH(C928,Customers!$A:$A,0))</f>
        <v/>
      </c>
      <c r="F928" s="10" t="inlineStr">
        <is>
          <t>Carrier B</t>
        </is>
      </c>
      <c r="G928" s="5" t="n">
        <v>46265</v>
      </c>
      <c r="H928" s="5" t="n">
        <v>46267</v>
      </c>
      <c r="I928" s="5" t="n">
        <v>46267</v>
      </c>
      <c r="J928" s="10" t="inlineStr">
        <is>
          <t>10:50</t>
        </is>
      </c>
      <c r="K928" s="10" t="inlineStr">
        <is>
          <t>On time</t>
        </is>
      </c>
      <c r="L928" s="6" t="n">
        <v>0</v>
      </c>
      <c r="M928" s="10" t="n"/>
      <c r="N928" s="6" t="n">
        <v>29</v>
      </c>
      <c r="O928" s="6" t="n">
        <v>3799</v>
      </c>
      <c r="P928" s="6" t="n">
        <v>1</v>
      </c>
      <c r="Q928" s="6">
        <f>IF(OR(K928="On time",K928="Late",K928="Very late"),1,0)</f>
        <v/>
      </c>
    </row>
    <row r="929">
      <c r="A929" s="10" t="inlineStr">
        <is>
          <t>DN319154</t>
        </is>
      </c>
      <c r="B929" s="10" t="inlineStr">
        <is>
          <t>SO63006</t>
        </is>
      </c>
      <c r="C929" s="10" t="inlineStr">
        <is>
          <t>C12675</t>
        </is>
      </c>
      <c r="D929" s="10">
        <f>INDEX(Customers!$B:$B,MATCH(C929,Customers!$A:$A,0))</f>
        <v/>
      </c>
      <c r="E929" s="10">
        <f>INDEX(Customers!$D:$D,MATCH(C929,Customers!$A:$A,0))</f>
        <v/>
      </c>
      <c r="F929" s="10" t="inlineStr">
        <is>
          <t>Carrier B</t>
        </is>
      </c>
      <c r="G929" s="5" t="n">
        <v>46265</v>
      </c>
      <c r="H929" s="5" t="n">
        <v>46267</v>
      </c>
      <c r="I929" s="5" t="n">
        <v>46267</v>
      </c>
      <c r="J929" s="10" t="inlineStr">
        <is>
          <t>10:10</t>
        </is>
      </c>
      <c r="K929" s="10" t="inlineStr">
        <is>
          <t>On time</t>
        </is>
      </c>
      <c r="L929" s="6" t="n">
        <v>0</v>
      </c>
      <c r="M929" s="10" t="n"/>
      <c r="N929" s="6" t="n">
        <v>22</v>
      </c>
      <c r="O929" s="6" t="n">
        <v>2046</v>
      </c>
      <c r="P929" s="6" t="n">
        <v>1</v>
      </c>
      <c r="Q929" s="6">
        <f>IF(OR(K929="On time",K929="Late",K929="Very late"),1,0)</f>
        <v/>
      </c>
    </row>
    <row r="930">
      <c r="A930" s="10" t="inlineStr">
        <is>
          <t>DN319155</t>
        </is>
      </c>
      <c r="B930" s="10" t="inlineStr">
        <is>
          <t>SO63008</t>
        </is>
      </c>
      <c r="C930" s="10" t="inlineStr">
        <is>
          <t>C10268</t>
        </is>
      </c>
      <c r="D930" s="10">
        <f>INDEX(Customers!$B:$B,MATCH(C930,Customers!$A:$A,0))</f>
        <v/>
      </c>
      <c r="E930" s="10">
        <f>INDEX(Customers!$D:$D,MATCH(C930,Customers!$A:$A,0))</f>
        <v/>
      </c>
      <c r="F930" s="10" t="inlineStr">
        <is>
          <t>Own trucks</t>
        </is>
      </c>
      <c r="G930" s="5" t="n">
        <v>46267</v>
      </c>
      <c r="H930" s="5" t="n">
        <v>46268</v>
      </c>
      <c r="I930" s="5" t="n">
        <v>46268</v>
      </c>
      <c r="J930" s="10" t="inlineStr">
        <is>
          <t>14:50</t>
        </is>
      </c>
      <c r="K930" s="10" t="inlineStr">
        <is>
          <t>On time</t>
        </is>
      </c>
      <c r="L930" s="6" t="n">
        <v>0</v>
      </c>
      <c r="M930" s="10" t="n"/>
      <c r="N930" s="6" t="n">
        <v>35</v>
      </c>
      <c r="O930" s="6" t="n">
        <v>4795</v>
      </c>
      <c r="P930" s="6" t="n">
        <v>1</v>
      </c>
      <c r="Q930" s="6">
        <f>IF(OR(K930="On time",K930="Late",K930="Very late"),1,0)</f>
        <v/>
      </c>
    </row>
    <row r="931">
      <c r="A931" s="10" t="inlineStr">
        <is>
          <t>DN319156</t>
        </is>
      </c>
      <c r="B931" s="10" t="inlineStr">
        <is>
          <t>SO63009</t>
        </is>
      </c>
      <c r="C931" s="10" t="inlineStr">
        <is>
          <t>C10322</t>
        </is>
      </c>
      <c r="D931" s="10">
        <f>INDEX(Customers!$B:$B,MATCH(C931,Customers!$A:$A,0))</f>
        <v/>
      </c>
      <c r="E931" s="10">
        <f>INDEX(Customers!$D:$D,MATCH(C931,Customers!$A:$A,0))</f>
        <v/>
      </c>
      <c r="F931" s="10" t="inlineStr">
        <is>
          <t>Own trucks</t>
        </is>
      </c>
      <c r="G931" s="5" t="n">
        <v>46267</v>
      </c>
      <c r="H931" s="5" t="n">
        <v>46268</v>
      </c>
      <c r="I931" s="5" t="n">
        <v>46268</v>
      </c>
      <c r="J931" s="10" t="inlineStr">
        <is>
          <t>14:50</t>
        </is>
      </c>
      <c r="K931" s="10" t="inlineStr">
        <is>
          <t>On time</t>
        </is>
      </c>
      <c r="L931" s="6" t="n">
        <v>0</v>
      </c>
      <c r="M931" s="10" t="n"/>
      <c r="N931" s="6" t="n">
        <v>34</v>
      </c>
      <c r="O931" s="6" t="n">
        <v>3128</v>
      </c>
      <c r="P931" s="6" t="n">
        <v>1</v>
      </c>
      <c r="Q931" s="6">
        <f>IF(OR(K931="On time",K931="Late",K931="Very late"),1,0)</f>
        <v/>
      </c>
    </row>
    <row r="932">
      <c r="A932" s="10" t="inlineStr">
        <is>
          <t>DN319158</t>
        </is>
      </c>
      <c r="B932" s="10" t="inlineStr">
        <is>
          <t>SO63010</t>
        </is>
      </c>
      <c r="C932" s="10" t="inlineStr">
        <is>
          <t>C10343</t>
        </is>
      </c>
      <c r="D932" s="10">
        <f>INDEX(Customers!$B:$B,MATCH(C932,Customers!$A:$A,0))</f>
        <v/>
      </c>
      <c r="E932" s="10">
        <f>INDEX(Customers!$D:$D,MATCH(C932,Customers!$A:$A,0))</f>
        <v/>
      </c>
      <c r="F932" s="10" t="inlineStr">
        <is>
          <t>Own trucks</t>
        </is>
      </c>
      <c r="G932" s="5" t="n">
        <v>46267</v>
      </c>
      <c r="H932" s="5" t="n">
        <v>46268</v>
      </c>
      <c r="I932" s="5" t="n">
        <v>46268</v>
      </c>
      <c r="J932" s="10" t="inlineStr">
        <is>
          <t>11:20</t>
        </is>
      </c>
      <c r="K932" s="10" t="inlineStr">
        <is>
          <t>On time</t>
        </is>
      </c>
      <c r="L932" s="6" t="n">
        <v>0</v>
      </c>
      <c r="M932" s="10" t="n"/>
      <c r="N932" s="6" t="n">
        <v>27</v>
      </c>
      <c r="O932" s="6" t="n">
        <v>3024</v>
      </c>
      <c r="P932" s="6" t="n">
        <v>1</v>
      </c>
      <c r="Q932" s="6">
        <f>IF(OR(K932="On time",K932="Late",K932="Very late"),1,0)</f>
        <v/>
      </c>
    </row>
    <row r="933">
      <c r="A933" s="10" t="inlineStr">
        <is>
          <t>DN319159</t>
        </is>
      </c>
      <c r="B933" s="10" t="inlineStr">
        <is>
          <t>SO63012</t>
        </is>
      </c>
      <c r="C933" s="10" t="inlineStr">
        <is>
          <t>C10413</t>
        </is>
      </c>
      <c r="D933" s="10">
        <f>INDEX(Customers!$B:$B,MATCH(C933,Customers!$A:$A,0))</f>
        <v/>
      </c>
      <c r="E933" s="10">
        <f>INDEX(Customers!$D:$D,MATCH(C933,Customers!$A:$A,0))</f>
        <v/>
      </c>
      <c r="F933" s="10" t="inlineStr">
        <is>
          <t>Own trucks</t>
        </is>
      </c>
      <c r="G933" s="5" t="n">
        <v>46267</v>
      </c>
      <c r="H933" s="5" t="n">
        <v>46268</v>
      </c>
      <c r="I933" s="5" t="n">
        <v>46268</v>
      </c>
      <c r="J933" s="10" t="inlineStr">
        <is>
          <t>12:40</t>
        </is>
      </c>
      <c r="K933" s="10" t="inlineStr">
        <is>
          <t>On time</t>
        </is>
      </c>
      <c r="L933" s="6" t="n">
        <v>0</v>
      </c>
      <c r="M933" s="10" t="n"/>
      <c r="N933" s="6" t="n">
        <v>20</v>
      </c>
      <c r="O933" s="6" t="n">
        <v>2060</v>
      </c>
      <c r="P933" s="6" t="n">
        <v>1</v>
      </c>
      <c r="Q933" s="6">
        <f>IF(OR(K933="On time",K933="Late",K933="Very late"),1,0)</f>
        <v/>
      </c>
    </row>
    <row r="934">
      <c r="A934" s="10" t="inlineStr">
        <is>
          <t>DN319160</t>
        </is>
      </c>
      <c r="B934" s="10" t="inlineStr">
        <is>
          <t>SO63013</t>
        </is>
      </c>
      <c r="C934" s="10" t="inlineStr">
        <is>
          <t>C10446</t>
        </is>
      </c>
      <c r="D934" s="10">
        <f>INDEX(Customers!$B:$B,MATCH(C934,Customers!$A:$A,0))</f>
        <v/>
      </c>
      <c r="E934" s="10">
        <f>INDEX(Customers!$D:$D,MATCH(C934,Customers!$A:$A,0))</f>
        <v/>
      </c>
      <c r="F934" s="10" t="inlineStr">
        <is>
          <t>Own trucks</t>
        </is>
      </c>
      <c r="G934" s="5" t="n">
        <v>46267</v>
      </c>
      <c r="H934" s="5" t="n">
        <v>46268</v>
      </c>
      <c r="I934" s="5" t="n">
        <v>46268</v>
      </c>
      <c r="J934" s="10" t="inlineStr">
        <is>
          <t>07:30</t>
        </is>
      </c>
      <c r="K934" s="10" t="inlineStr">
        <is>
          <t>On time</t>
        </is>
      </c>
      <c r="L934" s="6" t="n">
        <v>0</v>
      </c>
      <c r="M934" s="10" t="n"/>
      <c r="N934" s="6" t="n">
        <v>19</v>
      </c>
      <c r="O934" s="6" t="n">
        <v>2204</v>
      </c>
      <c r="P934" s="6" t="n">
        <v>1</v>
      </c>
      <c r="Q934" s="6">
        <f>IF(OR(K934="On time",K934="Late",K934="Very late"),1,0)</f>
        <v/>
      </c>
    </row>
    <row r="935">
      <c r="A935" s="10" t="inlineStr">
        <is>
          <t>DN319161</t>
        </is>
      </c>
      <c r="B935" s="10" t="inlineStr">
        <is>
          <t>SO63015</t>
        </is>
      </c>
      <c r="C935" s="10" t="inlineStr">
        <is>
          <t>C10515</t>
        </is>
      </c>
      <c r="D935" s="10">
        <f>INDEX(Customers!$B:$B,MATCH(C935,Customers!$A:$A,0))</f>
        <v/>
      </c>
      <c r="E935" s="10">
        <f>INDEX(Customers!$D:$D,MATCH(C935,Customers!$A:$A,0))</f>
        <v/>
      </c>
      <c r="F935" s="10" t="inlineStr">
        <is>
          <t>Own trucks</t>
        </is>
      </c>
      <c r="G935" s="5" t="n">
        <v>46267</v>
      </c>
      <c r="H935" s="5" t="n">
        <v>46268</v>
      </c>
      <c r="I935" s="5" t="n">
        <v>46268</v>
      </c>
      <c r="J935" s="10" t="inlineStr">
        <is>
          <t>08:30</t>
        </is>
      </c>
      <c r="K935" s="10" t="inlineStr">
        <is>
          <t>On time</t>
        </is>
      </c>
      <c r="L935" s="6" t="n">
        <v>0</v>
      </c>
      <c r="M935" s="10" t="n"/>
      <c r="N935" s="6" t="n">
        <v>6</v>
      </c>
      <c r="O935" s="6" t="n">
        <v>810</v>
      </c>
      <c r="P935" s="6" t="n">
        <v>1</v>
      </c>
      <c r="Q935" s="6">
        <f>IF(OR(K935="On time",K935="Late",K935="Very late"),1,0)</f>
        <v/>
      </c>
    </row>
    <row r="936">
      <c r="A936" s="10" t="inlineStr">
        <is>
          <t>DN319162</t>
        </is>
      </c>
      <c r="B936" s="10" t="inlineStr">
        <is>
          <t>SO63016</t>
        </is>
      </c>
      <c r="C936" s="10" t="inlineStr">
        <is>
          <t>C10536</t>
        </is>
      </c>
      <c r="D936" s="10">
        <f>INDEX(Customers!$B:$B,MATCH(C936,Customers!$A:$A,0))</f>
        <v/>
      </c>
      <c r="E936" s="10">
        <f>INDEX(Customers!$D:$D,MATCH(C936,Customers!$A:$A,0))</f>
        <v/>
      </c>
      <c r="F936" s="10" t="inlineStr">
        <is>
          <t>Own trucks</t>
        </is>
      </c>
      <c r="G936" s="5" t="n">
        <v>46267</v>
      </c>
      <c r="H936" s="5" t="n">
        <v>46268</v>
      </c>
      <c r="I936" s="5" t="n">
        <v>46268</v>
      </c>
      <c r="J936" s="10" t="inlineStr">
        <is>
          <t>08:00</t>
        </is>
      </c>
      <c r="K936" s="10" t="inlineStr">
        <is>
          <t>On time</t>
        </is>
      </c>
      <c r="L936" s="6" t="n">
        <v>0</v>
      </c>
      <c r="M936" s="10" t="n"/>
      <c r="N936" s="6" t="n">
        <v>38</v>
      </c>
      <c r="O936" s="6" t="n">
        <v>4636</v>
      </c>
      <c r="P936" s="6" t="n">
        <v>1</v>
      </c>
      <c r="Q936" s="6">
        <f>IF(OR(K936="On time",K936="Late",K936="Very late"),1,0)</f>
        <v/>
      </c>
    </row>
    <row r="937">
      <c r="A937" s="10" t="inlineStr">
        <is>
          <t>DN319163</t>
        </is>
      </c>
      <c r="B937" s="10" t="inlineStr">
        <is>
          <t>SO63018</t>
        </is>
      </c>
      <c r="C937" s="10" t="inlineStr">
        <is>
          <t>C10589</t>
        </is>
      </c>
      <c r="D937" s="10">
        <f>INDEX(Customers!$B:$B,MATCH(C937,Customers!$A:$A,0))</f>
        <v/>
      </c>
      <c r="E937" s="10">
        <f>INDEX(Customers!$D:$D,MATCH(C937,Customers!$A:$A,0))</f>
        <v/>
      </c>
      <c r="F937" s="10" t="inlineStr">
        <is>
          <t>Own trucks</t>
        </is>
      </c>
      <c r="G937" s="5" t="n">
        <v>46267</v>
      </c>
      <c r="H937" s="5" t="n">
        <v>46268</v>
      </c>
      <c r="I937" s="5" t="n">
        <v>46268</v>
      </c>
      <c r="J937" s="10" t="inlineStr">
        <is>
          <t>13:10</t>
        </is>
      </c>
      <c r="K937" s="10" t="inlineStr">
        <is>
          <t>On time</t>
        </is>
      </c>
      <c r="L937" s="6" t="n">
        <v>0</v>
      </c>
      <c r="M937" s="10" t="n"/>
      <c r="N937" s="6" t="n">
        <v>34</v>
      </c>
      <c r="O937" s="6" t="n">
        <v>2312</v>
      </c>
      <c r="P937" s="6" t="n">
        <v>1</v>
      </c>
      <c r="Q937" s="6">
        <f>IF(OR(K937="On time",K937="Late",K937="Very late"),1,0)</f>
        <v/>
      </c>
    </row>
    <row r="938">
      <c r="A938" s="10" t="inlineStr">
        <is>
          <t>DN319164</t>
        </is>
      </c>
      <c r="B938" s="10" t="inlineStr">
        <is>
          <t>SO63019</t>
        </is>
      </c>
      <c r="C938" s="10" t="inlineStr">
        <is>
          <t>C10622</t>
        </is>
      </c>
      <c r="D938" s="10">
        <f>INDEX(Customers!$B:$B,MATCH(C938,Customers!$A:$A,0))</f>
        <v/>
      </c>
      <c r="E938" s="10">
        <f>INDEX(Customers!$D:$D,MATCH(C938,Customers!$A:$A,0))</f>
        <v/>
      </c>
      <c r="F938" s="10" t="inlineStr">
        <is>
          <t>Own trucks</t>
        </is>
      </c>
      <c r="G938" s="5" t="n">
        <v>46267</v>
      </c>
      <c r="H938" s="5" t="n">
        <v>46268</v>
      </c>
      <c r="I938" s="5" t="n">
        <v>46268</v>
      </c>
      <c r="J938" s="10" t="inlineStr">
        <is>
          <t>15:00</t>
        </is>
      </c>
      <c r="K938" s="10" t="inlineStr">
        <is>
          <t>On time</t>
        </is>
      </c>
      <c r="L938" s="6" t="n">
        <v>0</v>
      </c>
      <c r="M938" s="10" t="n"/>
      <c r="N938" s="6" t="n">
        <v>31</v>
      </c>
      <c r="O938" s="6" t="n">
        <v>2108</v>
      </c>
      <c r="P938" s="6" t="n">
        <v>1</v>
      </c>
      <c r="Q938" s="6">
        <f>IF(OR(K938="On time",K938="Late",K938="Very late"),1,0)</f>
        <v/>
      </c>
    </row>
    <row r="939">
      <c r="A939" s="10" t="inlineStr">
        <is>
          <t>DN319165</t>
        </is>
      </c>
      <c r="B939" s="10" t="inlineStr">
        <is>
          <t>SO63020</t>
        </is>
      </c>
      <c r="C939" s="10" t="inlineStr">
        <is>
          <t>C10676</t>
        </is>
      </c>
      <c r="D939" s="10">
        <f>INDEX(Customers!$B:$B,MATCH(C939,Customers!$A:$A,0))</f>
        <v/>
      </c>
      <c r="E939" s="10">
        <f>INDEX(Customers!$D:$D,MATCH(C939,Customers!$A:$A,0))</f>
        <v/>
      </c>
      <c r="F939" s="10" t="inlineStr">
        <is>
          <t>Own trucks</t>
        </is>
      </c>
      <c r="G939" s="5" t="n">
        <v>46267</v>
      </c>
      <c r="H939" s="5" t="n">
        <v>46268</v>
      </c>
      <c r="I939" s="5" t="n">
        <v>46268</v>
      </c>
      <c r="J939" s="10" t="inlineStr">
        <is>
          <t>12:10</t>
        </is>
      </c>
      <c r="K939" s="10" t="inlineStr">
        <is>
          <t>On time</t>
        </is>
      </c>
      <c r="L939" s="6" t="n">
        <v>0</v>
      </c>
      <c r="M939" s="10" t="n"/>
      <c r="N939" s="6" t="n">
        <v>28</v>
      </c>
      <c r="O939" s="6" t="n">
        <v>2408</v>
      </c>
      <c r="P939" s="6" t="n">
        <v>1</v>
      </c>
      <c r="Q939" s="6">
        <f>IF(OR(K939="On time",K939="Late",K939="Very late"),1,0)</f>
        <v/>
      </c>
    </row>
    <row r="940">
      <c r="A940" s="10" t="inlineStr">
        <is>
          <t>DN319166</t>
        </is>
      </c>
      <c r="B940" s="10" t="inlineStr">
        <is>
          <t>SO63021</t>
        </is>
      </c>
      <c r="C940" s="10" t="inlineStr">
        <is>
          <t>C10796</t>
        </is>
      </c>
      <c r="D940" s="10">
        <f>INDEX(Customers!$B:$B,MATCH(C940,Customers!$A:$A,0))</f>
        <v/>
      </c>
      <c r="E940" s="10">
        <f>INDEX(Customers!$D:$D,MATCH(C940,Customers!$A:$A,0))</f>
        <v/>
      </c>
      <c r="F940" s="10" t="inlineStr">
        <is>
          <t>Own trucks</t>
        </is>
      </c>
      <c r="G940" s="5" t="n">
        <v>46267</v>
      </c>
      <c r="H940" s="5" t="n">
        <v>46268</v>
      </c>
      <c r="I940" s="5" t="n">
        <v>46272</v>
      </c>
      <c r="J940" s="10" t="inlineStr">
        <is>
          <t>13:50</t>
        </is>
      </c>
      <c r="K940" s="10" t="inlineStr">
        <is>
          <t>Very late</t>
        </is>
      </c>
      <c r="L940" s="6" t="n">
        <v>2</v>
      </c>
      <c r="M940" s="10" t="inlineStr">
        <is>
          <t>Carrier delay</t>
        </is>
      </c>
      <c r="N940" s="6" t="n">
        <v>40</v>
      </c>
      <c r="O940" s="6" t="n">
        <v>4640</v>
      </c>
      <c r="P940" s="6" t="n">
        <v>1</v>
      </c>
      <c r="Q940" s="6">
        <f>IF(OR(K940="On time",K940="Late",K940="Very late"),1,0)</f>
        <v/>
      </c>
    </row>
    <row r="941">
      <c r="A941" s="10" t="inlineStr">
        <is>
          <t>DN319167</t>
        </is>
      </c>
      <c r="B941" s="10" t="inlineStr">
        <is>
          <t>SO63023</t>
        </is>
      </c>
      <c r="C941" s="10" t="inlineStr">
        <is>
          <t>C10847</t>
        </is>
      </c>
      <c r="D941" s="10">
        <f>INDEX(Customers!$B:$B,MATCH(C941,Customers!$A:$A,0))</f>
        <v/>
      </c>
      <c r="E941" s="10">
        <f>INDEX(Customers!$D:$D,MATCH(C941,Customers!$A:$A,0))</f>
        <v/>
      </c>
      <c r="F941" s="10" t="inlineStr">
        <is>
          <t>Own trucks</t>
        </is>
      </c>
      <c r="G941" s="5" t="n">
        <v>46267</v>
      </c>
      <c r="H941" s="5" t="n">
        <v>46268</v>
      </c>
      <c r="I941" s="5" t="n">
        <v>46268</v>
      </c>
      <c r="J941" s="10" t="inlineStr">
        <is>
          <t>13:40</t>
        </is>
      </c>
      <c r="K941" s="10" t="inlineStr">
        <is>
          <t>On time</t>
        </is>
      </c>
      <c r="L941" s="6" t="n">
        <v>0</v>
      </c>
      <c r="M941" s="10" t="n"/>
      <c r="N941" s="6" t="n">
        <v>40</v>
      </c>
      <c r="O941" s="6" t="n">
        <v>3200</v>
      </c>
      <c r="P941" s="6" t="n">
        <v>1</v>
      </c>
      <c r="Q941" s="6">
        <f>IF(OR(K941="On time",K941="Late",K941="Very late"),1,0)</f>
        <v/>
      </c>
    </row>
    <row r="942">
      <c r="A942" s="10" t="inlineStr">
        <is>
          <t>DN319168</t>
        </is>
      </c>
      <c r="B942" s="10" t="inlineStr">
        <is>
          <t>SO63024</t>
        </is>
      </c>
      <c r="C942" s="10" t="inlineStr">
        <is>
          <t>C10915</t>
        </is>
      </c>
      <c r="D942" s="10">
        <f>INDEX(Customers!$B:$B,MATCH(C942,Customers!$A:$A,0))</f>
        <v/>
      </c>
      <c r="E942" s="10">
        <f>INDEX(Customers!$D:$D,MATCH(C942,Customers!$A:$A,0))</f>
        <v/>
      </c>
      <c r="F942" s="10" t="inlineStr">
        <is>
          <t>Own trucks</t>
        </is>
      </c>
      <c r="G942" s="5" t="n">
        <v>46267</v>
      </c>
      <c r="H942" s="5" t="n">
        <v>46268</v>
      </c>
      <c r="I942" s="5" t="n">
        <v>46268</v>
      </c>
      <c r="J942" s="10" t="inlineStr">
        <is>
          <t>10:30</t>
        </is>
      </c>
      <c r="K942" s="10" t="inlineStr">
        <is>
          <t>On time</t>
        </is>
      </c>
      <c r="L942" s="6" t="n">
        <v>0</v>
      </c>
      <c r="M942" s="10" t="n"/>
      <c r="N942" s="6" t="n">
        <v>30</v>
      </c>
      <c r="O942" s="6" t="n">
        <v>1980</v>
      </c>
      <c r="P942" s="6" t="n">
        <v>1</v>
      </c>
      <c r="Q942" s="6">
        <f>IF(OR(K942="On time",K942="Late",K942="Very late"),1,0)</f>
        <v/>
      </c>
    </row>
    <row r="943">
      <c r="A943" s="10" t="inlineStr">
        <is>
          <t>DN319169</t>
        </is>
      </c>
      <c r="B943" s="10" t="inlineStr">
        <is>
          <t>SO63025</t>
        </is>
      </c>
      <c r="C943" s="10" t="inlineStr">
        <is>
          <t>C10982</t>
        </is>
      </c>
      <c r="D943" s="10">
        <f>INDEX(Customers!$B:$B,MATCH(C943,Customers!$A:$A,0))</f>
        <v/>
      </c>
      <c r="E943" s="10">
        <f>INDEX(Customers!$D:$D,MATCH(C943,Customers!$A:$A,0))</f>
        <v/>
      </c>
      <c r="F943" s="10" t="inlineStr">
        <is>
          <t>Own trucks</t>
        </is>
      </c>
      <c r="G943" s="5" t="n">
        <v>46267</v>
      </c>
      <c r="H943" s="5" t="n">
        <v>46268</v>
      </c>
      <c r="I943" s="5" t="n">
        <v>46268</v>
      </c>
      <c r="J943" s="10" t="inlineStr">
        <is>
          <t>16:00</t>
        </is>
      </c>
      <c r="K943" s="10" t="inlineStr">
        <is>
          <t>On time</t>
        </is>
      </c>
      <c r="L943" s="6" t="n">
        <v>0</v>
      </c>
      <c r="M943" s="10" t="n"/>
      <c r="N943" s="6" t="n">
        <v>12</v>
      </c>
      <c r="O943" s="6" t="n">
        <v>1188</v>
      </c>
      <c r="P943" s="6" t="n">
        <v>1</v>
      </c>
      <c r="Q943" s="6">
        <f>IF(OR(K943="On time",K943="Late",K943="Very late"),1,0)</f>
        <v/>
      </c>
    </row>
    <row r="944">
      <c r="A944" s="10" t="inlineStr">
        <is>
          <t>DN319170</t>
        </is>
      </c>
      <c r="B944" s="10" t="inlineStr">
        <is>
          <t>SO63026</t>
        </is>
      </c>
      <c r="C944" s="10" t="inlineStr">
        <is>
          <t>C11107</t>
        </is>
      </c>
      <c r="D944" s="10">
        <f>INDEX(Customers!$B:$B,MATCH(C944,Customers!$A:$A,0))</f>
        <v/>
      </c>
      <c r="E944" s="10">
        <f>INDEX(Customers!$D:$D,MATCH(C944,Customers!$A:$A,0))</f>
        <v/>
      </c>
      <c r="F944" s="10" t="inlineStr">
        <is>
          <t>Own trucks</t>
        </is>
      </c>
      <c r="G944" s="5" t="n">
        <v>46267</v>
      </c>
      <c r="H944" s="5" t="n">
        <v>46268</v>
      </c>
      <c r="I944" s="5" t="n">
        <v>46268</v>
      </c>
      <c r="J944" s="10" t="inlineStr">
        <is>
          <t>15:50</t>
        </is>
      </c>
      <c r="K944" s="10" t="inlineStr">
        <is>
          <t>On time</t>
        </is>
      </c>
      <c r="L944" s="6" t="n">
        <v>0</v>
      </c>
      <c r="M944" s="10" t="n"/>
      <c r="N944" s="6" t="n">
        <v>37</v>
      </c>
      <c r="O944" s="6" t="n">
        <v>2294</v>
      </c>
      <c r="P944" s="6" t="n">
        <v>1</v>
      </c>
      <c r="Q944" s="6">
        <f>IF(OR(K944="On time",K944="Late",K944="Very late"),1,0)</f>
        <v/>
      </c>
    </row>
    <row r="945">
      <c r="A945" s="10" t="inlineStr">
        <is>
          <t>DN319171</t>
        </is>
      </c>
      <c r="B945" s="10" t="inlineStr">
        <is>
          <t>SO63028</t>
        </is>
      </c>
      <c r="C945" s="10" t="inlineStr">
        <is>
          <t>C11186</t>
        </is>
      </c>
      <c r="D945" s="10">
        <f>INDEX(Customers!$B:$B,MATCH(C945,Customers!$A:$A,0))</f>
        <v/>
      </c>
      <c r="E945" s="10">
        <f>INDEX(Customers!$D:$D,MATCH(C945,Customers!$A:$A,0))</f>
        <v/>
      </c>
      <c r="F945" s="10" t="inlineStr">
        <is>
          <t>Own trucks</t>
        </is>
      </c>
      <c r="G945" s="5" t="n">
        <v>46267</v>
      </c>
      <c r="H945" s="5" t="n">
        <v>46268</v>
      </c>
      <c r="I945" s="5" t="n">
        <v>46273</v>
      </c>
      <c r="J945" s="10" t="inlineStr">
        <is>
          <t>13:40</t>
        </is>
      </c>
      <c r="K945" s="10" t="inlineStr">
        <is>
          <t>Very late</t>
        </is>
      </c>
      <c r="L945" s="6" t="n">
        <v>3</v>
      </c>
      <c r="M945" s="10" t="inlineStr">
        <is>
          <t>Stock not ready</t>
        </is>
      </c>
      <c r="N945" s="6" t="n">
        <v>35</v>
      </c>
      <c r="O945" s="6" t="n">
        <v>4375</v>
      </c>
      <c r="P945" s="6" t="n">
        <v>1</v>
      </c>
      <c r="Q945" s="6">
        <f>IF(OR(K945="On time",K945="Late",K945="Very late"),1,0)</f>
        <v/>
      </c>
    </row>
    <row r="946">
      <c r="A946" s="10" t="inlineStr">
        <is>
          <t>DN319172</t>
        </is>
      </c>
      <c r="B946" s="10" t="inlineStr">
        <is>
          <t>SO63029</t>
        </is>
      </c>
      <c r="C946" s="10" t="inlineStr">
        <is>
          <t>C11264</t>
        </is>
      </c>
      <c r="D946" s="10">
        <f>INDEX(Customers!$B:$B,MATCH(C946,Customers!$A:$A,0))</f>
        <v/>
      </c>
      <c r="E946" s="10">
        <f>INDEX(Customers!$D:$D,MATCH(C946,Customers!$A:$A,0))</f>
        <v/>
      </c>
      <c r="F946" s="10" t="inlineStr">
        <is>
          <t>Own trucks</t>
        </is>
      </c>
      <c r="G946" s="5" t="n">
        <v>46267</v>
      </c>
      <c r="H946" s="5" t="n">
        <v>46268</v>
      </c>
      <c r="I946" s="5" t="n">
        <v>46268</v>
      </c>
      <c r="J946" s="10" t="inlineStr">
        <is>
          <t>07:20</t>
        </is>
      </c>
      <c r="K946" s="10" t="inlineStr">
        <is>
          <t>On time</t>
        </is>
      </c>
      <c r="L946" s="6" t="n">
        <v>0</v>
      </c>
      <c r="M946" s="10" t="n"/>
      <c r="N946" s="6" t="n">
        <v>37</v>
      </c>
      <c r="O946" s="6" t="n">
        <v>2479</v>
      </c>
      <c r="P946" s="6" t="n">
        <v>0</v>
      </c>
      <c r="Q946" s="6">
        <f>IF(OR(K946="On time",K946="Late",K946="Very late"),1,0)</f>
        <v/>
      </c>
    </row>
    <row r="947">
      <c r="A947" s="10" t="inlineStr">
        <is>
          <t>DN319173</t>
        </is>
      </c>
      <c r="B947" s="10" t="inlineStr">
        <is>
          <t>SO63030</t>
        </is>
      </c>
      <c r="C947" s="10" t="inlineStr">
        <is>
          <t>C11314</t>
        </is>
      </c>
      <c r="D947" s="10">
        <f>INDEX(Customers!$B:$B,MATCH(C947,Customers!$A:$A,0))</f>
        <v/>
      </c>
      <c r="E947" s="10">
        <f>INDEX(Customers!$D:$D,MATCH(C947,Customers!$A:$A,0))</f>
        <v/>
      </c>
      <c r="F947" s="10" t="inlineStr">
        <is>
          <t>Own trucks</t>
        </is>
      </c>
      <c r="G947" s="5" t="n">
        <v>46267</v>
      </c>
      <c r="H947" s="5" t="n">
        <v>46268</v>
      </c>
      <c r="I947" s="5" t="n">
        <v>46268</v>
      </c>
      <c r="J947" s="10" t="inlineStr">
        <is>
          <t>16:30</t>
        </is>
      </c>
      <c r="K947" s="10" t="inlineStr">
        <is>
          <t>On time</t>
        </is>
      </c>
      <c r="L947" s="6" t="n">
        <v>0</v>
      </c>
      <c r="M947" s="10" t="n"/>
      <c r="N947" s="6" t="n">
        <v>32</v>
      </c>
      <c r="O947" s="6" t="n">
        <v>1824</v>
      </c>
      <c r="P947" s="6" t="n">
        <v>1</v>
      </c>
      <c r="Q947" s="6">
        <f>IF(OR(K947="On time",K947="Late",K947="Very late"),1,0)</f>
        <v/>
      </c>
    </row>
    <row r="948">
      <c r="A948" s="10" t="inlineStr">
        <is>
          <t>DN319174</t>
        </is>
      </c>
      <c r="B948" s="10" t="inlineStr">
        <is>
          <t>SO63032</t>
        </is>
      </c>
      <c r="C948" s="10" t="inlineStr">
        <is>
          <t>C11400</t>
        </is>
      </c>
      <c r="D948" s="10">
        <f>INDEX(Customers!$B:$B,MATCH(C948,Customers!$A:$A,0))</f>
        <v/>
      </c>
      <c r="E948" s="10">
        <f>INDEX(Customers!$D:$D,MATCH(C948,Customers!$A:$A,0))</f>
        <v/>
      </c>
      <c r="F948" s="10" t="inlineStr">
        <is>
          <t>Own trucks</t>
        </is>
      </c>
      <c r="G948" s="5" t="n">
        <v>46267</v>
      </c>
      <c r="H948" s="5" t="n">
        <v>46268</v>
      </c>
      <c r="I948" s="5" t="n">
        <v>46268</v>
      </c>
      <c r="J948" s="10" t="inlineStr">
        <is>
          <t>11:40</t>
        </is>
      </c>
      <c r="K948" s="10" t="inlineStr">
        <is>
          <t>On time</t>
        </is>
      </c>
      <c r="L948" s="6" t="n">
        <v>0</v>
      </c>
      <c r="M948" s="10" t="n"/>
      <c r="N948" s="6" t="n">
        <v>10</v>
      </c>
      <c r="O948" s="6" t="n">
        <v>550</v>
      </c>
      <c r="P948" s="6" t="n">
        <v>1</v>
      </c>
      <c r="Q948" s="6">
        <f>IF(OR(K948="On time",K948="Late",K948="Very late"),1,0)</f>
        <v/>
      </c>
    </row>
    <row r="949">
      <c r="A949" s="10" t="inlineStr">
        <is>
          <t>DN319175</t>
        </is>
      </c>
      <c r="B949" s="10" t="inlineStr">
        <is>
          <t>SO63033</t>
        </is>
      </c>
      <c r="C949" s="10" t="inlineStr">
        <is>
          <t>C11518</t>
        </is>
      </c>
      <c r="D949" s="10">
        <f>INDEX(Customers!$B:$B,MATCH(C949,Customers!$A:$A,0))</f>
        <v/>
      </c>
      <c r="E949" s="10">
        <f>INDEX(Customers!$D:$D,MATCH(C949,Customers!$A:$A,0))</f>
        <v/>
      </c>
      <c r="F949" s="10" t="inlineStr">
        <is>
          <t>Own trucks</t>
        </is>
      </c>
      <c r="G949" s="5" t="n">
        <v>46267</v>
      </c>
      <c r="H949" s="5" t="n">
        <v>46268</v>
      </c>
      <c r="I949" s="5" t="n">
        <v>46269</v>
      </c>
      <c r="J949" s="10" t="inlineStr">
        <is>
          <t>09:00</t>
        </is>
      </c>
      <c r="K949" s="10" t="inlineStr">
        <is>
          <t>Late</t>
        </is>
      </c>
      <c r="L949" s="6" t="n">
        <v>1</v>
      </c>
      <c r="M949" s="10" t="inlineStr">
        <is>
          <t>Carrier delay</t>
        </is>
      </c>
      <c r="N949" s="6" t="n">
        <v>24</v>
      </c>
      <c r="O949" s="6" t="n">
        <v>2472</v>
      </c>
      <c r="P949" s="6" t="n">
        <v>1</v>
      </c>
      <c r="Q949" s="6">
        <f>IF(OR(K949="On time",K949="Late",K949="Very late"),1,0)</f>
        <v/>
      </c>
    </row>
    <row r="950">
      <c r="A950" s="10" t="inlineStr">
        <is>
          <t>DN319176</t>
        </is>
      </c>
      <c r="B950" s="10" t="inlineStr">
        <is>
          <t>SO63034</t>
        </is>
      </c>
      <c r="C950" s="10" t="inlineStr">
        <is>
          <t>C11579</t>
        </is>
      </c>
      <c r="D950" s="10">
        <f>INDEX(Customers!$B:$B,MATCH(C950,Customers!$A:$A,0))</f>
        <v/>
      </c>
      <c r="E950" s="10">
        <f>INDEX(Customers!$D:$D,MATCH(C950,Customers!$A:$A,0))</f>
        <v/>
      </c>
      <c r="F950" s="10" t="inlineStr">
        <is>
          <t>Own trucks</t>
        </is>
      </c>
      <c r="G950" s="5" t="n">
        <v>46267</v>
      </c>
      <c r="H950" s="5" t="n">
        <v>46268</v>
      </c>
      <c r="I950" s="5" t="n">
        <v>46268</v>
      </c>
      <c r="J950" s="10" t="inlineStr">
        <is>
          <t>09:20</t>
        </is>
      </c>
      <c r="K950" s="10" t="inlineStr">
        <is>
          <t>On time</t>
        </is>
      </c>
      <c r="L950" s="6" t="n">
        <v>0</v>
      </c>
      <c r="M950" s="10" t="n"/>
      <c r="N950" s="6" t="n">
        <v>2</v>
      </c>
      <c r="O950" s="6" t="n">
        <v>200</v>
      </c>
      <c r="P950" s="6" t="n">
        <v>1</v>
      </c>
      <c r="Q950" s="6">
        <f>IF(OR(K950="On time",K950="Late",K950="Very late"),1,0)</f>
        <v/>
      </c>
    </row>
    <row r="951">
      <c r="A951" s="10" t="inlineStr">
        <is>
          <t>DN319177</t>
        </is>
      </c>
      <c r="B951" s="10" t="inlineStr">
        <is>
          <t>SO63035</t>
        </is>
      </c>
      <c r="C951" s="10" t="inlineStr">
        <is>
          <t>C11666</t>
        </is>
      </c>
      <c r="D951" s="10">
        <f>INDEX(Customers!$B:$B,MATCH(C951,Customers!$A:$A,0))</f>
        <v/>
      </c>
      <c r="E951" s="10">
        <f>INDEX(Customers!$D:$D,MATCH(C951,Customers!$A:$A,0))</f>
        <v/>
      </c>
      <c r="F951" s="10" t="inlineStr">
        <is>
          <t>Own trucks</t>
        </is>
      </c>
      <c r="G951" s="5" t="n">
        <v>46267</v>
      </c>
      <c r="H951" s="5" t="n">
        <v>46268</v>
      </c>
      <c r="I951" s="5" t="n">
        <v>46268</v>
      </c>
      <c r="J951" s="10" t="inlineStr">
        <is>
          <t>12:10</t>
        </is>
      </c>
      <c r="K951" s="10" t="inlineStr">
        <is>
          <t>On time</t>
        </is>
      </c>
      <c r="L951" s="6" t="n">
        <v>0</v>
      </c>
      <c r="M951" s="10" t="n"/>
      <c r="N951" s="6" t="n">
        <v>30</v>
      </c>
      <c r="O951" s="6" t="n">
        <v>3540</v>
      </c>
      <c r="P951" s="6" t="n">
        <v>1</v>
      </c>
      <c r="Q951" s="6">
        <f>IF(OR(K951="On time",K951="Late",K951="Very late"),1,0)</f>
        <v/>
      </c>
    </row>
    <row r="952">
      <c r="A952" s="10" t="inlineStr">
        <is>
          <t>DN319178</t>
        </is>
      </c>
      <c r="B952" s="10" t="inlineStr">
        <is>
          <t>SO63036</t>
        </is>
      </c>
      <c r="C952" s="10" t="inlineStr">
        <is>
          <t>C11798</t>
        </is>
      </c>
      <c r="D952" s="10">
        <f>INDEX(Customers!$B:$B,MATCH(C952,Customers!$A:$A,0))</f>
        <v/>
      </c>
      <c r="E952" s="10">
        <f>INDEX(Customers!$D:$D,MATCH(C952,Customers!$A:$A,0))</f>
        <v/>
      </c>
      <c r="F952" s="10" t="inlineStr">
        <is>
          <t>Carrier A</t>
        </is>
      </c>
      <c r="G952" s="5" t="n">
        <v>46267</v>
      </c>
      <c r="H952" s="5" t="n">
        <v>46268</v>
      </c>
      <c r="I952" s="5" t="n">
        <v>46268</v>
      </c>
      <c r="J952" s="10" t="inlineStr">
        <is>
          <t>13:50</t>
        </is>
      </c>
      <c r="K952" s="10" t="inlineStr">
        <is>
          <t>On time</t>
        </is>
      </c>
      <c r="L952" s="6" t="n">
        <v>0</v>
      </c>
      <c r="M952" s="10" t="n"/>
      <c r="N952" s="6" t="n">
        <v>31</v>
      </c>
      <c r="O952" s="6" t="n">
        <v>3007</v>
      </c>
      <c r="P952" s="6" t="n">
        <v>1</v>
      </c>
      <c r="Q952" s="6">
        <f>IF(OR(K952="On time",K952="Late",K952="Very late"),1,0)</f>
        <v/>
      </c>
    </row>
    <row r="953">
      <c r="A953" s="10" t="inlineStr">
        <is>
          <t>DN319180</t>
        </is>
      </c>
      <c r="B953" s="10" t="inlineStr">
        <is>
          <t>SO63037</t>
        </is>
      </c>
      <c r="C953" s="10" t="inlineStr">
        <is>
          <t>C11858</t>
        </is>
      </c>
      <c r="D953" s="10">
        <f>INDEX(Customers!$B:$B,MATCH(C953,Customers!$A:$A,0))</f>
        <v/>
      </c>
      <c r="E953" s="10">
        <f>INDEX(Customers!$D:$D,MATCH(C953,Customers!$A:$A,0))</f>
        <v/>
      </c>
      <c r="F953" s="10" t="inlineStr">
        <is>
          <t>Carrier A</t>
        </is>
      </c>
      <c r="G953" s="5" t="n">
        <v>46267</v>
      </c>
      <c r="H953" s="5" t="n">
        <v>46268</v>
      </c>
      <c r="I953" s="5" t="n">
        <v>46268</v>
      </c>
      <c r="J953" s="10" t="inlineStr">
        <is>
          <t>07:50</t>
        </is>
      </c>
      <c r="K953" s="10" t="inlineStr">
        <is>
          <t>On time</t>
        </is>
      </c>
      <c r="L953" s="6" t="n">
        <v>0</v>
      </c>
      <c r="M953" s="10" t="n"/>
      <c r="N953" s="6" t="n">
        <v>15</v>
      </c>
      <c r="O953" s="6" t="n">
        <v>1200</v>
      </c>
      <c r="P953" s="6" t="n">
        <v>1</v>
      </c>
      <c r="Q953" s="6">
        <f>IF(OR(K953="On time",K953="Late",K953="Very late"),1,0)</f>
        <v/>
      </c>
    </row>
    <row r="954">
      <c r="A954" s="10" t="inlineStr">
        <is>
          <t>DN319181</t>
        </is>
      </c>
      <c r="B954" s="10" t="inlineStr">
        <is>
          <t>SO63038</t>
        </is>
      </c>
      <c r="C954" s="10" t="inlineStr">
        <is>
          <t>C11866</t>
        </is>
      </c>
      <c r="D954" s="10">
        <f>INDEX(Customers!$B:$B,MATCH(C954,Customers!$A:$A,0))</f>
        <v/>
      </c>
      <c r="E954" s="10">
        <f>INDEX(Customers!$D:$D,MATCH(C954,Customers!$A:$A,0))</f>
        <v/>
      </c>
      <c r="F954" s="10" t="inlineStr">
        <is>
          <t>Carrier A</t>
        </is>
      </c>
      <c r="G954" s="5" t="n">
        <v>46267</v>
      </c>
      <c r="H954" s="5" t="n">
        <v>46268</v>
      </c>
      <c r="I954" s="5" t="n">
        <v>46268</v>
      </c>
      <c r="J954" s="10" t="inlineStr">
        <is>
          <t>14:30</t>
        </is>
      </c>
      <c r="K954" s="10" t="inlineStr">
        <is>
          <t>On time</t>
        </is>
      </c>
      <c r="L954" s="6" t="n">
        <v>0</v>
      </c>
      <c r="M954" s="10" t="n"/>
      <c r="N954" s="6" t="n">
        <v>4</v>
      </c>
      <c r="O954" s="6" t="n">
        <v>304</v>
      </c>
      <c r="P954" s="6" t="n">
        <v>1</v>
      </c>
      <c r="Q954" s="6">
        <f>IF(OR(K954="On time",K954="Late",K954="Very late"),1,0)</f>
        <v/>
      </c>
    </row>
    <row r="955">
      <c r="A955" s="10" t="inlineStr">
        <is>
          <t>DN319182</t>
        </is>
      </c>
      <c r="B955" s="10" t="inlineStr">
        <is>
          <t>SO63039</t>
        </is>
      </c>
      <c r="C955" s="10" t="inlineStr">
        <is>
          <t>C11910</t>
        </is>
      </c>
      <c r="D955" s="10">
        <f>INDEX(Customers!$B:$B,MATCH(C955,Customers!$A:$A,0))</f>
        <v/>
      </c>
      <c r="E955" s="10">
        <f>INDEX(Customers!$D:$D,MATCH(C955,Customers!$A:$A,0))</f>
        <v/>
      </c>
      <c r="F955" s="10" t="inlineStr">
        <is>
          <t>Carrier A</t>
        </is>
      </c>
      <c r="G955" s="5" t="n">
        <v>46267</v>
      </c>
      <c r="H955" s="5" t="n">
        <v>46268</v>
      </c>
      <c r="I955" s="5" t="n">
        <v>46269</v>
      </c>
      <c r="J955" s="10" t="inlineStr">
        <is>
          <t>15:50</t>
        </is>
      </c>
      <c r="K955" s="10" t="inlineStr">
        <is>
          <t>Late</t>
        </is>
      </c>
      <c r="L955" s="6" t="n">
        <v>1</v>
      </c>
      <c r="M955" s="10" t="inlineStr">
        <is>
          <t>Customer closed (failed attempt)</t>
        </is>
      </c>
      <c r="N955" s="6" t="n">
        <v>4</v>
      </c>
      <c r="O955" s="6" t="n">
        <v>316</v>
      </c>
      <c r="P955" s="6" t="n">
        <v>1</v>
      </c>
      <c r="Q955" s="6">
        <f>IF(OR(K955="On time",K955="Late",K955="Very late"),1,0)</f>
        <v/>
      </c>
    </row>
    <row r="956">
      <c r="A956" s="10" t="inlineStr">
        <is>
          <t>DN319183</t>
        </is>
      </c>
      <c r="B956" s="10" t="inlineStr">
        <is>
          <t>SO63040</t>
        </is>
      </c>
      <c r="C956" s="10" t="inlineStr">
        <is>
          <t>C11950</t>
        </is>
      </c>
      <c r="D956" s="10">
        <f>INDEX(Customers!$B:$B,MATCH(C956,Customers!$A:$A,0))</f>
        <v/>
      </c>
      <c r="E956" s="10">
        <f>INDEX(Customers!$D:$D,MATCH(C956,Customers!$A:$A,0))</f>
        <v/>
      </c>
      <c r="F956" s="10" t="inlineStr">
        <is>
          <t>Carrier A</t>
        </is>
      </c>
      <c r="G956" s="5" t="n">
        <v>46267</v>
      </c>
      <c r="H956" s="5" t="n">
        <v>46268</v>
      </c>
      <c r="I956" s="5" t="n">
        <v>46268</v>
      </c>
      <c r="J956" s="10" t="inlineStr">
        <is>
          <t>11:00</t>
        </is>
      </c>
      <c r="K956" s="10" t="inlineStr">
        <is>
          <t>On time</t>
        </is>
      </c>
      <c r="L956" s="6" t="n">
        <v>0</v>
      </c>
      <c r="M956" s="10" t="n"/>
      <c r="N956" s="6" t="n">
        <v>4</v>
      </c>
      <c r="O956" s="6" t="n">
        <v>280</v>
      </c>
      <c r="P956" s="6" t="n">
        <v>1</v>
      </c>
      <c r="Q956" s="6">
        <f>IF(OR(K956="On time",K956="Late",K956="Very late"),1,0)</f>
        <v/>
      </c>
    </row>
    <row r="957">
      <c r="A957" s="10" t="inlineStr">
        <is>
          <t>DN319184</t>
        </is>
      </c>
      <c r="B957" s="10" t="inlineStr">
        <is>
          <t>SO63041</t>
        </is>
      </c>
      <c r="C957" s="10" t="inlineStr">
        <is>
          <t>C11971</t>
        </is>
      </c>
      <c r="D957" s="10">
        <f>INDEX(Customers!$B:$B,MATCH(C957,Customers!$A:$A,0))</f>
        <v/>
      </c>
      <c r="E957" s="10">
        <f>INDEX(Customers!$D:$D,MATCH(C957,Customers!$A:$A,0))</f>
        <v/>
      </c>
      <c r="F957" s="10" t="inlineStr">
        <is>
          <t>Own trucks</t>
        </is>
      </c>
      <c r="G957" s="5" t="n">
        <v>46267</v>
      </c>
      <c r="H957" s="5" t="n">
        <v>46268</v>
      </c>
      <c r="I957" s="5" t="n">
        <v>46268</v>
      </c>
      <c r="J957" s="10" t="inlineStr">
        <is>
          <t>12:20</t>
        </is>
      </c>
      <c r="K957" s="10" t="inlineStr">
        <is>
          <t>On time</t>
        </is>
      </c>
      <c r="L957" s="6" t="n">
        <v>0</v>
      </c>
      <c r="M957" s="10" t="n"/>
      <c r="N957" s="6" t="n">
        <v>15</v>
      </c>
      <c r="O957" s="6" t="n">
        <v>1050</v>
      </c>
      <c r="P957" s="6" t="n">
        <v>1</v>
      </c>
      <c r="Q957" s="6">
        <f>IF(OR(K957="On time",K957="Late",K957="Very late"),1,0)</f>
        <v/>
      </c>
    </row>
    <row r="958">
      <c r="A958" s="10" t="inlineStr">
        <is>
          <t>DN319185</t>
        </is>
      </c>
      <c r="B958" s="10" t="inlineStr">
        <is>
          <t>SO63042</t>
        </is>
      </c>
      <c r="C958" s="10" t="inlineStr">
        <is>
          <t>C11982</t>
        </is>
      </c>
      <c r="D958" s="10">
        <f>INDEX(Customers!$B:$B,MATCH(C958,Customers!$A:$A,0))</f>
        <v/>
      </c>
      <c r="E958" s="10">
        <f>INDEX(Customers!$D:$D,MATCH(C958,Customers!$A:$A,0))</f>
        <v/>
      </c>
      <c r="F958" s="10" t="inlineStr">
        <is>
          <t>Own trucks</t>
        </is>
      </c>
      <c r="G958" s="5" t="n">
        <v>46267</v>
      </c>
      <c r="H958" s="5" t="n">
        <v>46268</v>
      </c>
      <c r="I958" s="5" t="n">
        <v>46268</v>
      </c>
      <c r="J958" s="10" t="inlineStr">
        <is>
          <t>13:20</t>
        </is>
      </c>
      <c r="K958" s="10" t="inlineStr">
        <is>
          <t>On time</t>
        </is>
      </c>
      <c r="L958" s="6" t="n">
        <v>0</v>
      </c>
      <c r="M958" s="10" t="n"/>
      <c r="N958" s="6" t="n">
        <v>35</v>
      </c>
      <c r="O958" s="6" t="n">
        <v>3780</v>
      </c>
      <c r="P958" s="6" t="n">
        <v>1</v>
      </c>
      <c r="Q958" s="6">
        <f>IF(OR(K958="On time",K958="Late",K958="Very late"),1,0)</f>
        <v/>
      </c>
    </row>
    <row r="959">
      <c r="A959" s="10" t="inlineStr">
        <is>
          <t>DN319186</t>
        </is>
      </c>
      <c r="B959" s="10" t="inlineStr">
        <is>
          <t>SO63043</t>
        </is>
      </c>
      <c r="C959" s="10" t="inlineStr">
        <is>
          <t>C12037</t>
        </is>
      </c>
      <c r="D959" s="10">
        <f>INDEX(Customers!$B:$B,MATCH(C959,Customers!$A:$A,0))</f>
        <v/>
      </c>
      <c r="E959" s="10">
        <f>INDEX(Customers!$D:$D,MATCH(C959,Customers!$A:$A,0))</f>
        <v/>
      </c>
      <c r="F959" s="10" t="inlineStr">
        <is>
          <t>Own trucks</t>
        </is>
      </c>
      <c r="G959" s="5" t="n">
        <v>46267</v>
      </c>
      <c r="H959" s="5" t="n">
        <v>46268</v>
      </c>
      <c r="I959" s="5" t="n">
        <v>46268</v>
      </c>
      <c r="J959" s="10" t="inlineStr">
        <is>
          <t>08:20</t>
        </is>
      </c>
      <c r="K959" s="10" t="inlineStr">
        <is>
          <t>On time</t>
        </is>
      </c>
      <c r="L959" s="6" t="n">
        <v>0</v>
      </c>
      <c r="M959" s="10" t="n"/>
      <c r="N959" s="6" t="n">
        <v>6</v>
      </c>
      <c r="O959" s="6" t="n">
        <v>624</v>
      </c>
      <c r="P959" s="6" t="n">
        <v>1</v>
      </c>
      <c r="Q959" s="6">
        <f>IF(OR(K959="On time",K959="Late",K959="Very late"),1,0)</f>
        <v/>
      </c>
    </row>
    <row r="960">
      <c r="A960" s="10" t="inlineStr">
        <is>
          <t>DN319187</t>
        </is>
      </c>
      <c r="B960" s="10" t="inlineStr">
        <is>
          <t>SO63044</t>
        </is>
      </c>
      <c r="C960" s="10" t="inlineStr">
        <is>
          <t>C12103</t>
        </is>
      </c>
      <c r="D960" s="10">
        <f>INDEX(Customers!$B:$B,MATCH(C960,Customers!$A:$A,0))</f>
        <v/>
      </c>
      <c r="E960" s="10">
        <f>INDEX(Customers!$D:$D,MATCH(C960,Customers!$A:$A,0))</f>
        <v/>
      </c>
      <c r="F960" s="10" t="inlineStr">
        <is>
          <t>Own trucks</t>
        </is>
      </c>
      <c r="G960" s="5" t="n">
        <v>46267</v>
      </c>
      <c r="H960" s="5" t="n">
        <v>46268</v>
      </c>
      <c r="I960" s="5" t="n">
        <v>46268</v>
      </c>
      <c r="J960" s="10" t="inlineStr">
        <is>
          <t>11:30</t>
        </is>
      </c>
      <c r="K960" s="10" t="inlineStr">
        <is>
          <t>On time</t>
        </is>
      </c>
      <c r="L960" s="6" t="n">
        <v>0</v>
      </c>
      <c r="M960" s="10" t="n"/>
      <c r="N960" s="6" t="n">
        <v>2</v>
      </c>
      <c r="O960" s="6" t="n">
        <v>208</v>
      </c>
      <c r="P960" s="6" t="n">
        <v>1</v>
      </c>
      <c r="Q960" s="6">
        <f>IF(OR(K960="On time",K960="Late",K960="Very late"),1,0)</f>
        <v/>
      </c>
    </row>
    <row r="961">
      <c r="A961" s="10" t="inlineStr">
        <is>
          <t>DN319188</t>
        </is>
      </c>
      <c r="B961" s="10" t="inlineStr">
        <is>
          <t>SO63045</t>
        </is>
      </c>
      <c r="C961" s="10" t="inlineStr">
        <is>
          <t>C12117</t>
        </is>
      </c>
      <c r="D961" s="10">
        <f>INDEX(Customers!$B:$B,MATCH(C961,Customers!$A:$A,0))</f>
        <v/>
      </c>
      <c r="E961" s="10">
        <f>INDEX(Customers!$D:$D,MATCH(C961,Customers!$A:$A,0))</f>
        <v/>
      </c>
      <c r="F961" s="10" t="inlineStr">
        <is>
          <t>Own trucks</t>
        </is>
      </c>
      <c r="G961" s="5" t="n">
        <v>46267</v>
      </c>
      <c r="H961" s="5" t="n">
        <v>46268</v>
      </c>
      <c r="I961" s="5" t="n">
        <v>46268</v>
      </c>
      <c r="J961" s="10" t="inlineStr">
        <is>
          <t>16:50</t>
        </is>
      </c>
      <c r="K961" s="10" t="inlineStr">
        <is>
          <t>On time</t>
        </is>
      </c>
      <c r="L961" s="6" t="n">
        <v>0</v>
      </c>
      <c r="M961" s="10" t="n"/>
      <c r="N961" s="6" t="n">
        <v>26</v>
      </c>
      <c r="O961" s="6" t="n">
        <v>2210</v>
      </c>
      <c r="P961" s="6" t="n">
        <v>1</v>
      </c>
      <c r="Q961" s="6">
        <f>IF(OR(K961="On time",K961="Late",K961="Very late"),1,0)</f>
        <v/>
      </c>
    </row>
    <row r="962">
      <c r="A962" s="10" t="inlineStr">
        <is>
          <t>DN319189</t>
        </is>
      </c>
      <c r="B962" s="10" t="inlineStr">
        <is>
          <t>SO63046</t>
        </is>
      </c>
      <c r="C962" s="10" t="inlineStr">
        <is>
          <t>C12213</t>
        </is>
      </c>
      <c r="D962" s="10">
        <f>INDEX(Customers!$B:$B,MATCH(C962,Customers!$A:$A,0))</f>
        <v/>
      </c>
      <c r="E962" s="10">
        <f>INDEX(Customers!$D:$D,MATCH(C962,Customers!$A:$A,0))</f>
        <v/>
      </c>
      <c r="F962" s="10" t="inlineStr">
        <is>
          <t>Carrier B</t>
        </is>
      </c>
      <c r="G962" s="5" t="n">
        <v>46267</v>
      </c>
      <c r="H962" s="5" t="n">
        <v>46268</v>
      </c>
      <c r="I962" s="5" t="n">
        <v>46268</v>
      </c>
      <c r="J962" s="10" t="inlineStr">
        <is>
          <t>09:30</t>
        </is>
      </c>
      <c r="K962" s="10" t="inlineStr">
        <is>
          <t>On time</t>
        </is>
      </c>
      <c r="L962" s="6" t="n">
        <v>0</v>
      </c>
      <c r="M962" s="10" t="n"/>
      <c r="N962" s="6" t="n">
        <v>3</v>
      </c>
      <c r="O962" s="6" t="n">
        <v>309</v>
      </c>
      <c r="P962" s="6" t="n">
        <v>1</v>
      </c>
      <c r="Q962" s="6">
        <f>IF(OR(K962="On time",K962="Late",K962="Very late"),1,0)</f>
        <v/>
      </c>
    </row>
    <row r="963">
      <c r="A963" s="10" t="inlineStr">
        <is>
          <t>DN319190</t>
        </is>
      </c>
      <c r="B963" s="10" t="inlineStr">
        <is>
          <t>SO63047</t>
        </is>
      </c>
      <c r="C963" s="10" t="inlineStr">
        <is>
          <t>C12239</t>
        </is>
      </c>
      <c r="D963" s="10">
        <f>INDEX(Customers!$B:$B,MATCH(C963,Customers!$A:$A,0))</f>
        <v/>
      </c>
      <c r="E963" s="10">
        <f>INDEX(Customers!$D:$D,MATCH(C963,Customers!$A:$A,0))</f>
        <v/>
      </c>
      <c r="F963" s="10" t="inlineStr">
        <is>
          <t>Carrier B</t>
        </is>
      </c>
      <c r="G963" s="5" t="n">
        <v>46267</v>
      </c>
      <c r="H963" s="5" t="n">
        <v>46268</v>
      </c>
      <c r="I963" s="5" t="n">
        <v>46268</v>
      </c>
      <c r="J963" s="10" t="inlineStr">
        <is>
          <t>08:20</t>
        </is>
      </c>
      <c r="K963" s="10" t="inlineStr">
        <is>
          <t>On time</t>
        </is>
      </c>
      <c r="L963" s="6" t="n">
        <v>0</v>
      </c>
      <c r="M963" s="10" t="n"/>
      <c r="N963" s="6" t="n">
        <v>16</v>
      </c>
      <c r="O963" s="6" t="n">
        <v>1888</v>
      </c>
      <c r="P963" s="6" t="n">
        <v>1</v>
      </c>
      <c r="Q963" s="6">
        <f>IF(OR(K963="On time",K963="Late",K963="Very late"),1,0)</f>
        <v/>
      </c>
    </row>
    <row r="964">
      <c r="A964" s="10" t="inlineStr">
        <is>
          <t>DN319191</t>
        </is>
      </c>
      <c r="B964" s="10" t="inlineStr">
        <is>
          <t>SO63048</t>
        </is>
      </c>
      <c r="C964" s="10" t="inlineStr">
        <is>
          <t>C12305</t>
        </is>
      </c>
      <c r="D964" s="10">
        <f>INDEX(Customers!$B:$B,MATCH(C964,Customers!$A:$A,0))</f>
        <v/>
      </c>
      <c r="E964" s="10">
        <f>INDEX(Customers!$D:$D,MATCH(C964,Customers!$A:$A,0))</f>
        <v/>
      </c>
      <c r="F964" s="10" t="inlineStr">
        <is>
          <t>Carrier B</t>
        </is>
      </c>
      <c r="G964" s="5" t="n">
        <v>46267</v>
      </c>
      <c r="H964" s="5" t="n">
        <v>46268</v>
      </c>
      <c r="I964" s="5" t="n">
        <v>46268</v>
      </c>
      <c r="J964" s="10" t="inlineStr">
        <is>
          <t>11:00</t>
        </is>
      </c>
      <c r="K964" s="10" t="inlineStr">
        <is>
          <t>On time</t>
        </is>
      </c>
      <c r="L964" s="6" t="n">
        <v>0</v>
      </c>
      <c r="M964" s="10" t="n"/>
      <c r="N964" s="6" t="n">
        <v>32</v>
      </c>
      <c r="O964" s="6" t="n">
        <v>2464</v>
      </c>
      <c r="P964" s="6" t="n">
        <v>1</v>
      </c>
      <c r="Q964" s="6">
        <f>IF(OR(K964="On time",K964="Late",K964="Very late"),1,0)</f>
        <v/>
      </c>
    </row>
    <row r="965">
      <c r="A965" s="10" t="inlineStr">
        <is>
          <t>DN319192</t>
        </is>
      </c>
      <c r="B965" s="10" t="inlineStr">
        <is>
          <t>SO63049</t>
        </is>
      </c>
      <c r="C965" s="10" t="inlineStr">
        <is>
          <t>C12365</t>
        </is>
      </c>
      <c r="D965" s="10">
        <f>INDEX(Customers!$B:$B,MATCH(C965,Customers!$A:$A,0))</f>
        <v/>
      </c>
      <c r="E965" s="10">
        <f>INDEX(Customers!$D:$D,MATCH(C965,Customers!$A:$A,0))</f>
        <v/>
      </c>
      <c r="F965" s="10" t="inlineStr">
        <is>
          <t>Carrier B</t>
        </is>
      </c>
      <c r="G965" s="5" t="n">
        <v>46267</v>
      </c>
      <c r="H965" s="5" t="n">
        <v>46268</v>
      </c>
      <c r="I965" s="5" t="n">
        <v>46268</v>
      </c>
      <c r="J965" s="10" t="inlineStr">
        <is>
          <t>14:30</t>
        </is>
      </c>
      <c r="K965" s="10" t="inlineStr">
        <is>
          <t>On time</t>
        </is>
      </c>
      <c r="L965" s="6" t="n">
        <v>0</v>
      </c>
      <c r="M965" s="10" t="n"/>
      <c r="N965" s="6" t="n">
        <v>29</v>
      </c>
      <c r="O965" s="6" t="n">
        <v>3915</v>
      </c>
      <c r="P965" s="6" t="n">
        <v>1</v>
      </c>
      <c r="Q965" s="6">
        <f>IF(OR(K965="On time",K965="Late",K965="Very late"),1,0)</f>
        <v/>
      </c>
    </row>
    <row r="966">
      <c r="A966" s="10" t="inlineStr">
        <is>
          <t>DN319193</t>
        </is>
      </c>
      <c r="B966" s="10" t="inlineStr">
        <is>
          <t>SO63051</t>
        </is>
      </c>
      <c r="C966" s="10" t="inlineStr">
        <is>
          <t>C12371</t>
        </is>
      </c>
      <c r="D966" s="10">
        <f>INDEX(Customers!$B:$B,MATCH(C966,Customers!$A:$A,0))</f>
        <v/>
      </c>
      <c r="E966" s="10">
        <f>INDEX(Customers!$D:$D,MATCH(C966,Customers!$A:$A,0))</f>
        <v/>
      </c>
      <c r="F966" s="10" t="inlineStr">
        <is>
          <t>Carrier A</t>
        </is>
      </c>
      <c r="G966" s="5" t="n">
        <v>46267</v>
      </c>
      <c r="H966" s="5" t="n">
        <v>46268</v>
      </c>
      <c r="I966" s="5" t="n">
        <v>46272</v>
      </c>
      <c r="J966" s="10" t="inlineStr">
        <is>
          <t>15:30</t>
        </is>
      </c>
      <c r="K966" s="10" t="inlineStr">
        <is>
          <t>Very late</t>
        </is>
      </c>
      <c r="L966" s="6" t="n">
        <v>2</v>
      </c>
      <c r="M966" s="10" t="inlineStr">
        <is>
          <t>Carrier delay</t>
        </is>
      </c>
      <c r="N966" s="6" t="n">
        <v>9</v>
      </c>
      <c r="O966" s="6" t="n">
        <v>738</v>
      </c>
      <c r="P966" s="6" t="n">
        <v>1</v>
      </c>
      <c r="Q966" s="6">
        <f>IF(OR(K966="On time",K966="Late",K966="Very late"),1,0)</f>
        <v/>
      </c>
    </row>
    <row r="967">
      <c r="A967" s="10" t="inlineStr">
        <is>
          <t>DN319194</t>
        </is>
      </c>
      <c r="B967" s="10" t="inlineStr">
        <is>
          <t>SO63052</t>
        </is>
      </c>
      <c r="C967" s="10" t="inlineStr">
        <is>
          <t>C12420</t>
        </is>
      </c>
      <c r="D967" s="10">
        <f>INDEX(Customers!$B:$B,MATCH(C967,Customers!$A:$A,0))</f>
        <v/>
      </c>
      <c r="E967" s="10">
        <f>INDEX(Customers!$D:$D,MATCH(C967,Customers!$A:$A,0))</f>
        <v/>
      </c>
      <c r="F967" s="10" t="inlineStr">
        <is>
          <t>Carrier A</t>
        </is>
      </c>
      <c r="G967" s="5" t="n">
        <v>46267</v>
      </c>
      <c r="H967" s="5" t="n">
        <v>46268</v>
      </c>
      <c r="I967" s="5" t="n">
        <v>46268</v>
      </c>
      <c r="J967" s="10" t="inlineStr">
        <is>
          <t>16:00</t>
        </is>
      </c>
      <c r="K967" s="10" t="inlineStr">
        <is>
          <t>On time</t>
        </is>
      </c>
      <c r="L967" s="6" t="n">
        <v>0</v>
      </c>
      <c r="M967" s="10" t="n"/>
      <c r="N967" s="6" t="n">
        <v>37</v>
      </c>
      <c r="O967" s="6" t="n">
        <v>2442</v>
      </c>
      <c r="P967" s="6" t="n">
        <v>1</v>
      </c>
      <c r="Q967" s="6">
        <f>IF(OR(K967="On time",K967="Late",K967="Very late"),1,0)</f>
        <v/>
      </c>
    </row>
    <row r="968">
      <c r="A968" s="10" t="inlineStr">
        <is>
          <t>DN319195</t>
        </is>
      </c>
      <c r="B968" s="10" t="inlineStr">
        <is>
          <t>SO63053</t>
        </is>
      </c>
      <c r="C968" s="10" t="inlineStr">
        <is>
          <t>C12543</t>
        </is>
      </c>
      <c r="D968" s="10">
        <f>INDEX(Customers!$B:$B,MATCH(C968,Customers!$A:$A,0))</f>
        <v/>
      </c>
      <c r="E968" s="10">
        <f>INDEX(Customers!$D:$D,MATCH(C968,Customers!$A:$A,0))</f>
        <v/>
      </c>
      <c r="F968" s="10" t="inlineStr">
        <is>
          <t>Carrier B</t>
        </is>
      </c>
      <c r="G968" s="5" t="n">
        <v>46266</v>
      </c>
      <c r="H968" s="5" t="n">
        <v>46268</v>
      </c>
      <c r="I968" s="5" t="n">
        <v>46268</v>
      </c>
      <c r="J968" s="10" t="inlineStr">
        <is>
          <t>10:20</t>
        </is>
      </c>
      <c r="K968" s="10" t="inlineStr">
        <is>
          <t>On time</t>
        </is>
      </c>
      <c r="L968" s="6" t="n">
        <v>0</v>
      </c>
      <c r="M968" s="10" t="n"/>
      <c r="N968" s="6" t="n">
        <v>23</v>
      </c>
      <c r="O968" s="6" t="n">
        <v>2254</v>
      </c>
      <c r="P968" s="6" t="n">
        <v>1</v>
      </c>
      <c r="Q968" s="6">
        <f>IF(OR(K968="On time",K968="Late",K968="Very late"),1,0)</f>
        <v/>
      </c>
    </row>
    <row r="969">
      <c r="A969" s="10" t="inlineStr">
        <is>
          <t>DN319196</t>
        </is>
      </c>
      <c r="B969" s="10" t="inlineStr">
        <is>
          <t>SO63054</t>
        </is>
      </c>
      <c r="C969" s="10" t="inlineStr">
        <is>
          <t>C12617</t>
        </is>
      </c>
      <c r="D969" s="10">
        <f>INDEX(Customers!$B:$B,MATCH(C969,Customers!$A:$A,0))</f>
        <v/>
      </c>
      <c r="E969" s="10">
        <f>INDEX(Customers!$D:$D,MATCH(C969,Customers!$A:$A,0))</f>
        <v/>
      </c>
      <c r="F969" s="10" t="inlineStr">
        <is>
          <t>Carrier B</t>
        </is>
      </c>
      <c r="G969" s="5" t="n">
        <v>46266</v>
      </c>
      <c r="H969" s="5" t="n">
        <v>46268</v>
      </c>
      <c r="I969" s="5" t="n">
        <v>46268</v>
      </c>
      <c r="J969" s="10" t="inlineStr">
        <is>
          <t>11:30</t>
        </is>
      </c>
      <c r="K969" s="10" t="inlineStr">
        <is>
          <t>On time</t>
        </is>
      </c>
      <c r="L969" s="6" t="n">
        <v>0</v>
      </c>
      <c r="M969" s="10" t="n"/>
      <c r="N969" s="6" t="n">
        <v>20</v>
      </c>
      <c r="O969" s="6" t="n">
        <v>1520</v>
      </c>
      <c r="P969" s="6" t="n">
        <v>1</v>
      </c>
      <c r="Q969" s="6">
        <f>IF(OR(K969="On time",K969="Late",K969="Very late"),1,0)</f>
        <v/>
      </c>
    </row>
    <row r="970">
      <c r="A970" s="10" t="inlineStr">
        <is>
          <t>DN319197</t>
        </is>
      </c>
      <c r="B970" s="10" t="inlineStr">
        <is>
          <t>SO63055</t>
        </is>
      </c>
      <c r="C970" s="10" t="inlineStr">
        <is>
          <t>C12631</t>
        </is>
      </c>
      <c r="D970" s="10">
        <f>INDEX(Customers!$B:$B,MATCH(C970,Customers!$A:$A,0))</f>
        <v/>
      </c>
      <c r="E970" s="10">
        <f>INDEX(Customers!$D:$D,MATCH(C970,Customers!$A:$A,0))</f>
        <v/>
      </c>
      <c r="F970" s="10" t="inlineStr">
        <is>
          <t>Carrier B</t>
        </is>
      </c>
      <c r="G970" s="5" t="n">
        <v>46266</v>
      </c>
      <c r="H970" s="5" t="n">
        <v>46268</v>
      </c>
      <c r="I970" s="5" t="n">
        <v>46268</v>
      </c>
      <c r="J970" s="10" t="inlineStr">
        <is>
          <t>12:40</t>
        </is>
      </c>
      <c r="K970" s="10" t="inlineStr">
        <is>
          <t>On time</t>
        </is>
      </c>
      <c r="L970" s="6" t="n">
        <v>0</v>
      </c>
      <c r="M970" s="10" t="n"/>
      <c r="N970" s="6" t="n">
        <v>15</v>
      </c>
      <c r="O970" s="6" t="n">
        <v>1680</v>
      </c>
      <c r="P970" s="6" t="n">
        <v>1</v>
      </c>
      <c r="Q970" s="6">
        <f>IF(OR(K970="On time",K970="Late",K970="Very late"),1,0)</f>
        <v/>
      </c>
    </row>
    <row r="971">
      <c r="A971" s="10" t="inlineStr">
        <is>
          <t>DN319198</t>
        </is>
      </c>
      <c r="B971" s="10" t="inlineStr">
        <is>
          <t>SO63057</t>
        </is>
      </c>
      <c r="C971" s="10" t="inlineStr">
        <is>
          <t>C12639</t>
        </is>
      </c>
      <c r="D971" s="10">
        <f>INDEX(Customers!$B:$B,MATCH(C971,Customers!$A:$A,0))</f>
        <v/>
      </c>
      <c r="E971" s="10">
        <f>INDEX(Customers!$D:$D,MATCH(C971,Customers!$A:$A,0))</f>
        <v/>
      </c>
      <c r="F971" s="10" t="inlineStr">
        <is>
          <t>Carrier B</t>
        </is>
      </c>
      <c r="G971" s="5" t="n">
        <v>46266</v>
      </c>
      <c r="H971" s="5" t="n">
        <v>46268</v>
      </c>
      <c r="I971" s="5" t="n">
        <v>46268</v>
      </c>
      <c r="J971" s="10" t="inlineStr">
        <is>
          <t>10:50</t>
        </is>
      </c>
      <c r="K971" s="10" t="inlineStr">
        <is>
          <t>On time</t>
        </is>
      </c>
      <c r="L971" s="6" t="n">
        <v>0</v>
      </c>
      <c r="M971" s="10" t="n"/>
      <c r="N971" s="6" t="n">
        <v>15</v>
      </c>
      <c r="O971" s="6" t="n">
        <v>1830</v>
      </c>
      <c r="P971" s="6" t="n">
        <v>1</v>
      </c>
      <c r="Q971" s="6">
        <f>IF(OR(K971="On time",K971="Late",K971="Very late"),1,0)</f>
        <v/>
      </c>
    </row>
    <row r="972">
      <c r="A972" s="10" t="inlineStr">
        <is>
          <t>DN319199</t>
        </is>
      </c>
      <c r="B972" s="10" t="inlineStr">
        <is>
          <t>SO63058</t>
        </is>
      </c>
      <c r="C972" s="10" t="inlineStr">
        <is>
          <t>C12675</t>
        </is>
      </c>
      <c r="D972" s="10">
        <f>INDEX(Customers!$B:$B,MATCH(C972,Customers!$A:$A,0))</f>
        <v/>
      </c>
      <c r="E972" s="10">
        <f>INDEX(Customers!$D:$D,MATCH(C972,Customers!$A:$A,0))</f>
        <v/>
      </c>
      <c r="F972" s="10" t="inlineStr">
        <is>
          <t>Carrier B</t>
        </is>
      </c>
      <c r="G972" s="5" t="n">
        <v>46266</v>
      </c>
      <c r="H972" s="5" t="n">
        <v>46268</v>
      </c>
      <c r="I972" s="5" t="n">
        <v>46268</v>
      </c>
      <c r="J972" s="10" t="inlineStr">
        <is>
          <t>16:20</t>
        </is>
      </c>
      <c r="K972" s="10" t="inlineStr">
        <is>
          <t>On time</t>
        </is>
      </c>
      <c r="L972" s="6" t="n">
        <v>0</v>
      </c>
      <c r="M972" s="10" t="n"/>
      <c r="N972" s="6" t="n">
        <v>36</v>
      </c>
      <c r="O972" s="6" t="n">
        <v>3132</v>
      </c>
      <c r="P972" s="6" t="n">
        <v>1</v>
      </c>
      <c r="Q972" s="6">
        <f>IF(OR(K972="On time",K972="Late",K972="Very late"),1,0)</f>
        <v/>
      </c>
    </row>
    <row r="973">
      <c r="A973" s="10" t="inlineStr">
        <is>
          <t>DN319200</t>
        </is>
      </c>
      <c r="B973" s="10" t="inlineStr">
        <is>
          <t>SO63059</t>
        </is>
      </c>
      <c r="C973" s="10" t="inlineStr">
        <is>
          <t>C10268</t>
        </is>
      </c>
      <c r="D973" s="10">
        <f>INDEX(Customers!$B:$B,MATCH(C973,Customers!$A:$A,0))</f>
        <v/>
      </c>
      <c r="E973" s="10">
        <f>INDEX(Customers!$D:$D,MATCH(C973,Customers!$A:$A,0))</f>
        <v/>
      </c>
      <c r="F973" s="10" t="inlineStr">
        <is>
          <t>Own trucks</t>
        </is>
      </c>
      <c r="G973" s="5" t="n">
        <v>46268</v>
      </c>
      <c r="H973" s="5" t="n">
        <v>46269</v>
      </c>
      <c r="I973" s="5" t="n">
        <v>46269</v>
      </c>
      <c r="J973" s="10" t="inlineStr">
        <is>
          <t>09:30</t>
        </is>
      </c>
      <c r="K973" s="10" t="inlineStr">
        <is>
          <t>On time</t>
        </is>
      </c>
      <c r="L973" s="6" t="n">
        <v>0</v>
      </c>
      <c r="M973" s="10" t="n"/>
      <c r="N973" s="6" t="n">
        <v>31</v>
      </c>
      <c r="O973" s="6" t="n">
        <v>3193</v>
      </c>
      <c r="P973" s="6" t="n">
        <v>1</v>
      </c>
      <c r="Q973" s="6">
        <f>IF(OR(K973="On time",K973="Late",K973="Very late"),1,0)</f>
        <v/>
      </c>
    </row>
    <row r="974">
      <c r="A974" s="10" t="inlineStr">
        <is>
          <t>DN319201</t>
        </is>
      </c>
      <c r="B974" s="10" t="inlineStr">
        <is>
          <t>SO63060</t>
        </is>
      </c>
      <c r="C974" s="10" t="inlineStr">
        <is>
          <t>C10322</t>
        </is>
      </c>
      <c r="D974" s="10">
        <f>INDEX(Customers!$B:$B,MATCH(C974,Customers!$A:$A,0))</f>
        <v/>
      </c>
      <c r="E974" s="10">
        <f>INDEX(Customers!$D:$D,MATCH(C974,Customers!$A:$A,0))</f>
        <v/>
      </c>
      <c r="F974" s="10" t="inlineStr">
        <is>
          <t>Same-day courier</t>
        </is>
      </c>
      <c r="G974" s="5" t="n">
        <v>46268</v>
      </c>
      <c r="H974" s="5" t="n">
        <v>46269</v>
      </c>
      <c r="I974" s="5" t="n">
        <v>46269</v>
      </c>
      <c r="J974" s="10" t="inlineStr">
        <is>
          <t>14:50</t>
        </is>
      </c>
      <c r="K974" s="10" t="inlineStr">
        <is>
          <t>On time</t>
        </is>
      </c>
      <c r="L974" s="6" t="n">
        <v>0</v>
      </c>
      <c r="M974" s="10" t="n"/>
      <c r="N974" s="6" t="n">
        <v>38</v>
      </c>
      <c r="O974" s="6" t="n">
        <v>3420</v>
      </c>
      <c r="P974" s="6" t="n">
        <v>1</v>
      </c>
      <c r="Q974" s="6">
        <f>IF(OR(K974="On time",K974="Late",K974="Very late"),1,0)</f>
        <v/>
      </c>
    </row>
    <row r="975">
      <c r="A975" s="10" t="inlineStr">
        <is>
          <t>DN319202</t>
        </is>
      </c>
      <c r="B975" s="10" t="inlineStr">
        <is>
          <t>SO63061</t>
        </is>
      </c>
      <c r="C975" s="10" t="inlineStr">
        <is>
          <t>C10343</t>
        </is>
      </c>
      <c r="D975" s="10">
        <f>INDEX(Customers!$B:$B,MATCH(C975,Customers!$A:$A,0))</f>
        <v/>
      </c>
      <c r="E975" s="10">
        <f>INDEX(Customers!$D:$D,MATCH(C975,Customers!$A:$A,0))</f>
        <v/>
      </c>
      <c r="F975" s="10" t="inlineStr">
        <is>
          <t>Own trucks</t>
        </is>
      </c>
      <c r="G975" s="5" t="n">
        <v>46268</v>
      </c>
      <c r="H975" s="5" t="n">
        <v>46269</v>
      </c>
      <c r="I975" s="5" t="n">
        <v>46269</v>
      </c>
      <c r="J975" s="10" t="inlineStr">
        <is>
          <t>15:10</t>
        </is>
      </c>
      <c r="K975" s="10" t="inlineStr">
        <is>
          <t>On time</t>
        </is>
      </c>
      <c r="L975" s="6" t="n">
        <v>0</v>
      </c>
      <c r="M975" s="10" t="n"/>
      <c r="N975" s="6" t="n">
        <v>26</v>
      </c>
      <c r="O975" s="6" t="n">
        <v>1768</v>
      </c>
      <c r="P975" s="6" t="n">
        <v>1</v>
      </c>
      <c r="Q975" s="6">
        <f>IF(OR(K975="On time",K975="Late",K975="Very late"),1,0)</f>
        <v/>
      </c>
    </row>
    <row r="976">
      <c r="A976" s="10" t="inlineStr">
        <is>
          <t>DN319203</t>
        </is>
      </c>
      <c r="B976" s="10" t="inlineStr">
        <is>
          <t>SO63062</t>
        </is>
      </c>
      <c r="C976" s="10" t="inlineStr">
        <is>
          <t>C10446</t>
        </is>
      </c>
      <c r="D976" s="10">
        <f>INDEX(Customers!$B:$B,MATCH(C976,Customers!$A:$A,0))</f>
        <v/>
      </c>
      <c r="E976" s="10">
        <f>INDEX(Customers!$D:$D,MATCH(C976,Customers!$A:$A,0))</f>
        <v/>
      </c>
      <c r="F976" s="10" t="inlineStr">
        <is>
          <t>Own trucks</t>
        </is>
      </c>
      <c r="G976" s="5" t="n">
        <v>46268</v>
      </c>
      <c r="H976" s="5" t="n">
        <v>46269</v>
      </c>
      <c r="I976" s="5" t="n">
        <v>46269</v>
      </c>
      <c r="J976" s="10" t="inlineStr">
        <is>
          <t>15:50</t>
        </is>
      </c>
      <c r="K976" s="10" t="inlineStr">
        <is>
          <t>On time</t>
        </is>
      </c>
      <c r="L976" s="6" t="n">
        <v>0</v>
      </c>
      <c r="M976" s="10" t="n"/>
      <c r="N976" s="6" t="n">
        <v>24</v>
      </c>
      <c r="O976" s="6" t="n">
        <v>1944</v>
      </c>
      <c r="P976" s="6" t="n">
        <v>1</v>
      </c>
      <c r="Q976" s="6">
        <f>IF(OR(K976="On time",K976="Late",K976="Very late"),1,0)</f>
        <v/>
      </c>
    </row>
    <row r="977">
      <c r="A977" s="10" t="inlineStr">
        <is>
          <t>DN319204</t>
        </is>
      </c>
      <c r="B977" s="10" t="inlineStr">
        <is>
          <t>SO63064</t>
        </is>
      </c>
      <c r="C977" s="10" t="inlineStr">
        <is>
          <t>C10522</t>
        </is>
      </c>
      <c r="D977" s="10">
        <f>INDEX(Customers!$B:$B,MATCH(C977,Customers!$A:$A,0))</f>
        <v/>
      </c>
      <c r="E977" s="10">
        <f>INDEX(Customers!$D:$D,MATCH(C977,Customers!$A:$A,0))</f>
        <v/>
      </c>
      <c r="F977" s="10" t="inlineStr">
        <is>
          <t>Own trucks</t>
        </is>
      </c>
      <c r="G977" s="5" t="n">
        <v>46268</v>
      </c>
      <c r="H977" s="5" t="n">
        <v>46269</v>
      </c>
      <c r="I977" s="5" t="n">
        <v>46269</v>
      </c>
      <c r="J977" s="10" t="inlineStr">
        <is>
          <t>11:30</t>
        </is>
      </c>
      <c r="K977" s="10" t="inlineStr">
        <is>
          <t>On time</t>
        </is>
      </c>
      <c r="L977" s="6" t="n">
        <v>0</v>
      </c>
      <c r="M977" s="10" t="n"/>
      <c r="N977" s="6" t="n">
        <v>22</v>
      </c>
      <c r="O977" s="6" t="n">
        <v>2574</v>
      </c>
      <c r="P977" s="6" t="n">
        <v>1</v>
      </c>
      <c r="Q977" s="6">
        <f>IF(OR(K977="On time",K977="Late",K977="Very late"),1,0)</f>
        <v/>
      </c>
    </row>
    <row r="978">
      <c r="A978" s="10" t="inlineStr">
        <is>
          <t>DN319205</t>
        </is>
      </c>
      <c r="B978" s="10" t="inlineStr">
        <is>
          <t>SO63065</t>
        </is>
      </c>
      <c r="C978" s="10" t="inlineStr">
        <is>
          <t>C10536</t>
        </is>
      </c>
      <c r="D978" s="10">
        <f>INDEX(Customers!$B:$B,MATCH(C978,Customers!$A:$A,0))</f>
        <v/>
      </c>
      <c r="E978" s="10">
        <f>INDEX(Customers!$D:$D,MATCH(C978,Customers!$A:$A,0))</f>
        <v/>
      </c>
      <c r="F978" s="10" t="inlineStr">
        <is>
          <t>Own trucks</t>
        </is>
      </c>
      <c r="G978" s="5" t="n">
        <v>46268</v>
      </c>
      <c r="H978" s="5" t="n">
        <v>46269</v>
      </c>
      <c r="I978" s="5" t="n">
        <v>46269</v>
      </c>
      <c r="J978" s="10" t="inlineStr">
        <is>
          <t>11:50</t>
        </is>
      </c>
      <c r="K978" s="10" t="inlineStr">
        <is>
          <t>On time</t>
        </is>
      </c>
      <c r="L978" s="6" t="n">
        <v>0</v>
      </c>
      <c r="M978" s="10" t="n"/>
      <c r="N978" s="6" t="n">
        <v>21</v>
      </c>
      <c r="O978" s="6" t="n">
        <v>1344</v>
      </c>
      <c r="P978" s="6" t="n">
        <v>1</v>
      </c>
      <c r="Q978" s="6">
        <f>IF(OR(K978="On time",K978="Late",K978="Very late"),1,0)</f>
        <v/>
      </c>
    </row>
    <row r="979">
      <c r="A979" s="10" t="inlineStr">
        <is>
          <t>DN319206</t>
        </is>
      </c>
      <c r="B979" s="10" t="inlineStr">
        <is>
          <t>SO63066</t>
        </is>
      </c>
      <c r="C979" s="10" t="inlineStr">
        <is>
          <t>C10589</t>
        </is>
      </c>
      <c r="D979" s="10">
        <f>INDEX(Customers!$B:$B,MATCH(C979,Customers!$A:$A,0))</f>
        <v/>
      </c>
      <c r="E979" s="10">
        <f>INDEX(Customers!$D:$D,MATCH(C979,Customers!$A:$A,0))</f>
        <v/>
      </c>
      <c r="F979" s="10" t="inlineStr">
        <is>
          <t>Own trucks</t>
        </is>
      </c>
      <c r="G979" s="5" t="n">
        <v>46268</v>
      </c>
      <c r="H979" s="5" t="n">
        <v>46269</v>
      </c>
      <c r="I979" s="5" t="n">
        <v>46269</v>
      </c>
      <c r="J979" s="10" t="inlineStr">
        <is>
          <t>12:30</t>
        </is>
      </c>
      <c r="K979" s="10" t="inlineStr">
        <is>
          <t>On time</t>
        </is>
      </c>
      <c r="L979" s="6" t="n">
        <v>0</v>
      </c>
      <c r="M979" s="10" t="n"/>
      <c r="N979" s="6" t="n">
        <v>4</v>
      </c>
      <c r="O979" s="6" t="n">
        <v>396</v>
      </c>
      <c r="P979" s="6" t="n">
        <v>1</v>
      </c>
      <c r="Q979" s="6">
        <f>IF(OR(K979="On time",K979="Late",K979="Very late"),1,0)</f>
        <v/>
      </c>
    </row>
    <row r="980">
      <c r="A980" s="10" t="inlineStr">
        <is>
          <t>DN319207</t>
        </is>
      </c>
      <c r="B980" s="10" t="inlineStr">
        <is>
          <t>SO63068</t>
        </is>
      </c>
      <c r="C980" s="10" t="inlineStr">
        <is>
          <t>C10676</t>
        </is>
      </c>
      <c r="D980" s="10">
        <f>INDEX(Customers!$B:$B,MATCH(C980,Customers!$A:$A,0))</f>
        <v/>
      </c>
      <c r="E980" s="10">
        <f>INDEX(Customers!$D:$D,MATCH(C980,Customers!$A:$A,0))</f>
        <v/>
      </c>
      <c r="F980" s="10" t="inlineStr">
        <is>
          <t>Own trucks</t>
        </is>
      </c>
      <c r="G980" s="5" t="n">
        <v>46268</v>
      </c>
      <c r="H980" s="5" t="n">
        <v>46269</v>
      </c>
      <c r="I980" s="5" t="n">
        <v>46269</v>
      </c>
      <c r="J980" s="10" t="inlineStr">
        <is>
          <t>10:10</t>
        </is>
      </c>
      <c r="K980" s="10" t="inlineStr">
        <is>
          <t>On time</t>
        </is>
      </c>
      <c r="L980" s="6" t="n">
        <v>0</v>
      </c>
      <c r="M980" s="10" t="n"/>
      <c r="N980" s="6" t="n">
        <v>28</v>
      </c>
      <c r="O980" s="6" t="n">
        <v>1680</v>
      </c>
      <c r="P980" s="6" t="n">
        <v>1</v>
      </c>
      <c r="Q980" s="6">
        <f>IF(OR(K980="On time",K980="Late",K980="Very late"),1,0)</f>
        <v/>
      </c>
    </row>
    <row r="981">
      <c r="A981" s="10" t="inlineStr">
        <is>
          <t>DN319208</t>
        </is>
      </c>
      <c r="B981" s="10" t="inlineStr">
        <is>
          <t>SO63069</t>
        </is>
      </c>
      <c r="C981" s="10" t="inlineStr">
        <is>
          <t>C10684</t>
        </is>
      </c>
      <c r="D981" s="10">
        <f>INDEX(Customers!$B:$B,MATCH(C981,Customers!$A:$A,0))</f>
        <v/>
      </c>
      <c r="E981" s="10">
        <f>INDEX(Customers!$D:$D,MATCH(C981,Customers!$A:$A,0))</f>
        <v/>
      </c>
      <c r="F981" s="10" t="inlineStr">
        <is>
          <t>Own trucks</t>
        </is>
      </c>
      <c r="G981" s="5" t="n">
        <v>46268</v>
      </c>
      <c r="H981" s="5" t="n">
        <v>46269</v>
      </c>
      <c r="I981" s="5" t="n">
        <v>46269</v>
      </c>
      <c r="J981" s="10" t="inlineStr">
        <is>
          <t>12:10</t>
        </is>
      </c>
      <c r="K981" s="10" t="inlineStr">
        <is>
          <t>On time</t>
        </is>
      </c>
      <c r="L981" s="6" t="n">
        <v>0</v>
      </c>
      <c r="M981" s="10" t="n"/>
      <c r="N981" s="6" t="n">
        <v>7</v>
      </c>
      <c r="O981" s="6" t="n">
        <v>938</v>
      </c>
      <c r="P981" s="6" t="n">
        <v>1</v>
      </c>
      <c r="Q981" s="6">
        <f>IF(OR(K981="On time",K981="Late",K981="Very late"),1,0)</f>
        <v/>
      </c>
    </row>
    <row r="982">
      <c r="A982" s="10" t="inlineStr">
        <is>
          <t>DN319209</t>
        </is>
      </c>
      <c r="B982" s="10" t="inlineStr">
        <is>
          <t>SO63070</t>
        </is>
      </c>
      <c r="C982" s="10" t="inlineStr">
        <is>
          <t>C10746</t>
        </is>
      </c>
      <c r="D982" s="10">
        <f>INDEX(Customers!$B:$B,MATCH(C982,Customers!$A:$A,0))</f>
        <v/>
      </c>
      <c r="E982" s="10">
        <f>INDEX(Customers!$D:$D,MATCH(C982,Customers!$A:$A,0))</f>
        <v/>
      </c>
      <c r="F982" s="10" t="inlineStr">
        <is>
          <t>Own trucks</t>
        </is>
      </c>
      <c r="G982" s="5" t="n">
        <v>46268</v>
      </c>
      <c r="H982" s="5" t="n">
        <v>46269</v>
      </c>
      <c r="I982" s="5" t="n">
        <v>46269</v>
      </c>
      <c r="J982" s="10" t="inlineStr">
        <is>
          <t>11:00</t>
        </is>
      </c>
      <c r="K982" s="10" t="inlineStr">
        <is>
          <t>On time</t>
        </is>
      </c>
      <c r="L982" s="6" t="n">
        <v>0</v>
      </c>
      <c r="M982" s="10" t="n"/>
      <c r="N982" s="6" t="n">
        <v>4</v>
      </c>
      <c r="O982" s="6" t="n">
        <v>424</v>
      </c>
      <c r="P982" s="6" t="n">
        <v>1</v>
      </c>
      <c r="Q982" s="6">
        <f>IF(OR(K982="On time",K982="Late",K982="Very late"),1,0)</f>
        <v/>
      </c>
    </row>
    <row r="983">
      <c r="A983" s="10" t="inlineStr">
        <is>
          <t>DN319210</t>
        </is>
      </c>
      <c r="B983" s="10" t="inlineStr">
        <is>
          <t>SO63071</t>
        </is>
      </c>
      <c r="C983" s="10" t="inlineStr">
        <is>
          <t>C10796</t>
        </is>
      </c>
      <c r="D983" s="10">
        <f>INDEX(Customers!$B:$B,MATCH(C983,Customers!$A:$A,0))</f>
        <v/>
      </c>
      <c r="E983" s="10">
        <f>INDEX(Customers!$D:$D,MATCH(C983,Customers!$A:$A,0))</f>
        <v/>
      </c>
      <c r="F983" s="10" t="inlineStr">
        <is>
          <t>Own trucks</t>
        </is>
      </c>
      <c r="G983" s="5" t="n">
        <v>46268</v>
      </c>
      <c r="H983" s="5" t="n">
        <v>46269</v>
      </c>
      <c r="I983" s="5" t="n">
        <v>46269</v>
      </c>
      <c r="J983" s="10" t="inlineStr">
        <is>
          <t>14:20</t>
        </is>
      </c>
      <c r="K983" s="10" t="inlineStr">
        <is>
          <t>On time</t>
        </is>
      </c>
      <c r="L983" s="6" t="n">
        <v>0</v>
      </c>
      <c r="M983" s="10" t="n"/>
      <c r="N983" s="6" t="n">
        <v>33</v>
      </c>
      <c r="O983" s="6" t="n">
        <v>3300</v>
      </c>
      <c r="P983" s="6" t="n">
        <v>1</v>
      </c>
      <c r="Q983" s="6">
        <f>IF(OR(K983="On time",K983="Late",K983="Very late"),1,0)</f>
        <v/>
      </c>
    </row>
    <row r="984">
      <c r="A984" s="10" t="inlineStr">
        <is>
          <t>DN319211</t>
        </is>
      </c>
      <c r="B984" s="10" t="inlineStr">
        <is>
          <t>SO63072</t>
        </is>
      </c>
      <c r="C984" s="10" t="inlineStr">
        <is>
          <t>C10847</t>
        </is>
      </c>
      <c r="D984" s="10">
        <f>INDEX(Customers!$B:$B,MATCH(C984,Customers!$A:$A,0))</f>
        <v/>
      </c>
      <c r="E984" s="10">
        <f>INDEX(Customers!$D:$D,MATCH(C984,Customers!$A:$A,0))</f>
        <v/>
      </c>
      <c r="F984" s="10" t="inlineStr">
        <is>
          <t>Own trucks</t>
        </is>
      </c>
      <c r="G984" s="5" t="n">
        <v>46268</v>
      </c>
      <c r="H984" s="5" t="n">
        <v>46269</v>
      </c>
      <c r="I984" s="5" t="n">
        <v>46269</v>
      </c>
      <c r="J984" s="10" t="inlineStr">
        <is>
          <t>13:10</t>
        </is>
      </c>
      <c r="K984" s="10" t="inlineStr">
        <is>
          <t>On time</t>
        </is>
      </c>
      <c r="L984" s="6" t="n">
        <v>0</v>
      </c>
      <c r="M984" s="10" t="n"/>
      <c r="N984" s="6" t="n">
        <v>30</v>
      </c>
      <c r="O984" s="6" t="n">
        <v>2430</v>
      </c>
      <c r="P984" s="6" t="n">
        <v>1</v>
      </c>
      <c r="Q984" s="6">
        <f>IF(OR(K984="On time",K984="Late",K984="Very late"),1,0)</f>
        <v/>
      </c>
    </row>
    <row r="985">
      <c r="A985" s="10" t="inlineStr">
        <is>
          <t>DN319212</t>
        </is>
      </c>
      <c r="B985" s="10" t="inlineStr">
        <is>
          <t>SO63073</t>
        </is>
      </c>
      <c r="C985" s="10" t="inlineStr">
        <is>
          <t>C10915</t>
        </is>
      </c>
      <c r="D985" s="10">
        <f>INDEX(Customers!$B:$B,MATCH(C985,Customers!$A:$A,0))</f>
        <v/>
      </c>
      <c r="E985" s="10">
        <f>INDEX(Customers!$D:$D,MATCH(C985,Customers!$A:$A,0))</f>
        <v/>
      </c>
      <c r="F985" s="10" t="inlineStr">
        <is>
          <t>Own trucks</t>
        </is>
      </c>
      <c r="G985" s="5" t="n">
        <v>46268</v>
      </c>
      <c r="H985" s="5" t="n">
        <v>46269</v>
      </c>
      <c r="I985" s="5" t="n">
        <v>46269</v>
      </c>
      <c r="J985" s="10" t="inlineStr">
        <is>
          <t>14:20</t>
        </is>
      </c>
      <c r="K985" s="10" t="inlineStr">
        <is>
          <t>On time</t>
        </is>
      </c>
      <c r="L985" s="6" t="n">
        <v>0</v>
      </c>
      <c r="M985" s="10" t="n"/>
      <c r="N985" s="6" t="n">
        <v>6</v>
      </c>
      <c r="O985" s="6" t="n">
        <v>624</v>
      </c>
      <c r="P985" s="6" t="n">
        <v>1</v>
      </c>
      <c r="Q985" s="6">
        <f>IF(OR(K985="On time",K985="Late",K985="Very late"),1,0)</f>
        <v/>
      </c>
    </row>
    <row r="986">
      <c r="A986" s="10" t="inlineStr">
        <is>
          <t>DN319213</t>
        </is>
      </c>
      <c r="B986" s="10" t="inlineStr">
        <is>
          <t>SO63075</t>
        </is>
      </c>
      <c r="C986" s="10" t="inlineStr">
        <is>
          <t>C10982</t>
        </is>
      </c>
      <c r="D986" s="10">
        <f>INDEX(Customers!$B:$B,MATCH(C986,Customers!$A:$A,0))</f>
        <v/>
      </c>
      <c r="E986" s="10">
        <f>INDEX(Customers!$D:$D,MATCH(C986,Customers!$A:$A,0))</f>
        <v/>
      </c>
      <c r="F986" s="10" t="inlineStr">
        <is>
          <t>Own trucks</t>
        </is>
      </c>
      <c r="G986" s="5" t="n">
        <v>46268</v>
      </c>
      <c r="H986" s="5" t="n">
        <v>46269</v>
      </c>
      <c r="I986" s="5" t="n">
        <v>46269</v>
      </c>
      <c r="J986" s="10" t="inlineStr">
        <is>
          <t>11:20</t>
        </is>
      </c>
      <c r="K986" s="10" t="inlineStr">
        <is>
          <t>On time</t>
        </is>
      </c>
      <c r="L986" s="6" t="n">
        <v>0</v>
      </c>
      <c r="M986" s="10" t="n"/>
      <c r="N986" s="6" t="n">
        <v>26</v>
      </c>
      <c r="O986" s="6" t="n">
        <v>1794</v>
      </c>
      <c r="P986" s="6" t="n">
        <v>1</v>
      </c>
      <c r="Q986" s="6">
        <f>IF(OR(K986="On time",K986="Late",K986="Very late"),1,0)</f>
        <v/>
      </c>
    </row>
    <row r="987">
      <c r="A987" s="10" t="inlineStr">
        <is>
          <t>DN319214</t>
        </is>
      </c>
      <c r="B987" s="10" t="inlineStr">
        <is>
          <t>SO63076</t>
        </is>
      </c>
      <c r="C987" s="10" t="inlineStr">
        <is>
          <t>C11049</t>
        </is>
      </c>
      <c r="D987" s="10">
        <f>INDEX(Customers!$B:$B,MATCH(C987,Customers!$A:$A,0))</f>
        <v/>
      </c>
      <c r="E987" s="10">
        <f>INDEX(Customers!$D:$D,MATCH(C987,Customers!$A:$A,0))</f>
        <v/>
      </c>
      <c r="F987" s="10" t="inlineStr">
        <is>
          <t>Own trucks</t>
        </is>
      </c>
      <c r="G987" s="5" t="n">
        <v>46268</v>
      </c>
      <c r="H987" s="5" t="n">
        <v>46269</v>
      </c>
      <c r="I987" s="5" t="n">
        <v>46269</v>
      </c>
      <c r="J987" s="10" t="inlineStr">
        <is>
          <t>07:40</t>
        </is>
      </c>
      <c r="K987" s="10" t="inlineStr">
        <is>
          <t>On time</t>
        </is>
      </c>
      <c r="L987" s="6" t="n">
        <v>0</v>
      </c>
      <c r="M987" s="10" t="n"/>
      <c r="N987" s="6" t="n">
        <v>40</v>
      </c>
      <c r="O987" s="6" t="n">
        <v>2840</v>
      </c>
      <c r="P987" s="6" t="n">
        <v>1</v>
      </c>
      <c r="Q987" s="6">
        <f>IF(OR(K987="On time",K987="Late",K987="Very late"),1,0)</f>
        <v/>
      </c>
    </row>
    <row r="988">
      <c r="A988" s="10" t="inlineStr">
        <is>
          <t>DN319215</t>
        </is>
      </c>
      <c r="B988" s="10" t="inlineStr">
        <is>
          <t>SO63077</t>
        </is>
      </c>
      <c r="C988" s="10" t="inlineStr">
        <is>
          <t>C11107</t>
        </is>
      </c>
      <c r="D988" s="10">
        <f>INDEX(Customers!$B:$B,MATCH(C988,Customers!$A:$A,0))</f>
        <v/>
      </c>
      <c r="E988" s="10">
        <f>INDEX(Customers!$D:$D,MATCH(C988,Customers!$A:$A,0))</f>
        <v/>
      </c>
      <c r="F988" s="10" t="inlineStr">
        <is>
          <t>Own trucks</t>
        </is>
      </c>
      <c r="G988" s="5" t="n">
        <v>46268</v>
      </c>
      <c r="H988" s="5" t="n">
        <v>46269</v>
      </c>
      <c r="I988" s="5" t="n">
        <v>46269</v>
      </c>
      <c r="J988" s="10" t="inlineStr">
        <is>
          <t>13:10</t>
        </is>
      </c>
      <c r="K988" s="10" t="inlineStr">
        <is>
          <t>On time</t>
        </is>
      </c>
      <c r="L988" s="6" t="n">
        <v>0</v>
      </c>
      <c r="M988" s="10" t="n"/>
      <c r="N988" s="6" t="n">
        <v>19</v>
      </c>
      <c r="O988" s="6" t="n">
        <v>1957</v>
      </c>
      <c r="P988" s="6" t="n">
        <v>1</v>
      </c>
      <c r="Q988" s="6">
        <f>IF(OR(K988="On time",K988="Late",K988="Very late"),1,0)</f>
        <v/>
      </c>
    </row>
    <row r="989">
      <c r="A989" s="10" t="inlineStr">
        <is>
          <t>DN319216</t>
        </is>
      </c>
      <c r="B989" s="10" t="inlineStr">
        <is>
          <t>SO63078</t>
        </is>
      </c>
      <c r="C989" s="10" t="inlineStr">
        <is>
          <t>C11143</t>
        </is>
      </c>
      <c r="D989" s="10">
        <f>INDEX(Customers!$B:$B,MATCH(C989,Customers!$A:$A,0))</f>
        <v/>
      </c>
      <c r="E989" s="10">
        <f>INDEX(Customers!$D:$D,MATCH(C989,Customers!$A:$A,0))</f>
        <v/>
      </c>
      <c r="F989" s="10" t="inlineStr">
        <is>
          <t>Own trucks</t>
        </is>
      </c>
      <c r="G989" s="5" t="n">
        <v>46268</v>
      </c>
      <c r="H989" s="5" t="n">
        <v>46269</v>
      </c>
      <c r="I989" s="5" t="n">
        <v>46269</v>
      </c>
      <c r="J989" s="10" t="inlineStr">
        <is>
          <t>07:30</t>
        </is>
      </c>
      <c r="K989" s="10" t="inlineStr">
        <is>
          <t>On time</t>
        </is>
      </c>
      <c r="L989" s="6" t="n">
        <v>0</v>
      </c>
      <c r="M989" s="10" t="n"/>
      <c r="N989" s="6" t="n">
        <v>32</v>
      </c>
      <c r="O989" s="6" t="n">
        <v>2592</v>
      </c>
      <c r="P989" s="6" t="n">
        <v>1</v>
      </c>
      <c r="Q989" s="6">
        <f>IF(OR(K989="On time",K989="Late",K989="Very late"),1,0)</f>
        <v/>
      </c>
    </row>
    <row r="990">
      <c r="A990" s="10" t="inlineStr">
        <is>
          <t>DN319217</t>
        </is>
      </c>
      <c r="B990" s="10" t="inlineStr">
        <is>
          <t>SO63080</t>
        </is>
      </c>
      <c r="C990" s="10" t="inlineStr">
        <is>
          <t>C11264</t>
        </is>
      </c>
      <c r="D990" s="10">
        <f>INDEX(Customers!$B:$B,MATCH(C990,Customers!$A:$A,0))</f>
        <v/>
      </c>
      <c r="E990" s="10">
        <f>INDEX(Customers!$D:$D,MATCH(C990,Customers!$A:$A,0))</f>
        <v/>
      </c>
      <c r="F990" s="10" t="inlineStr">
        <is>
          <t>Own trucks</t>
        </is>
      </c>
      <c r="G990" s="5" t="n">
        <v>46268</v>
      </c>
      <c r="H990" s="5" t="n">
        <v>46269</v>
      </c>
      <c r="I990" s="5" t="n">
        <v>46269</v>
      </c>
      <c r="J990" s="10" t="inlineStr">
        <is>
          <t>07:20</t>
        </is>
      </c>
      <c r="K990" s="10" t="inlineStr">
        <is>
          <t>On time</t>
        </is>
      </c>
      <c r="L990" s="6" t="n">
        <v>0</v>
      </c>
      <c r="M990" s="10" t="n"/>
      <c r="N990" s="6" t="n">
        <v>8</v>
      </c>
      <c r="O990" s="6" t="n">
        <v>1120</v>
      </c>
      <c r="P990" s="6" t="n">
        <v>1</v>
      </c>
      <c r="Q990" s="6">
        <f>IF(OR(K990="On time",K990="Late",K990="Very late"),1,0)</f>
        <v/>
      </c>
    </row>
    <row r="991">
      <c r="A991" s="10" t="inlineStr">
        <is>
          <t>DN319218</t>
        </is>
      </c>
      <c r="B991" s="10" t="inlineStr">
        <is>
          <t>SO63081</t>
        </is>
      </c>
      <c r="C991" s="10" t="inlineStr">
        <is>
          <t>C11314</t>
        </is>
      </c>
      <c r="D991" s="10">
        <f>INDEX(Customers!$B:$B,MATCH(C991,Customers!$A:$A,0))</f>
        <v/>
      </c>
      <c r="E991" s="10">
        <f>INDEX(Customers!$D:$D,MATCH(C991,Customers!$A:$A,0))</f>
        <v/>
      </c>
      <c r="F991" s="10" t="inlineStr">
        <is>
          <t>Own trucks</t>
        </is>
      </c>
      <c r="G991" s="5" t="n">
        <v>46268</v>
      </c>
      <c r="H991" s="5" t="n">
        <v>46269</v>
      </c>
      <c r="I991" s="5" t="n">
        <v>46269</v>
      </c>
      <c r="J991" s="10" t="inlineStr">
        <is>
          <t>08:20</t>
        </is>
      </c>
      <c r="K991" s="10" t="inlineStr">
        <is>
          <t>On time</t>
        </is>
      </c>
      <c r="L991" s="6" t="n">
        <v>0</v>
      </c>
      <c r="M991" s="10" t="n"/>
      <c r="N991" s="6" t="n">
        <v>7</v>
      </c>
      <c r="O991" s="6" t="n">
        <v>742</v>
      </c>
      <c r="P991" s="6" t="n">
        <v>1</v>
      </c>
      <c r="Q991" s="6">
        <f>IF(OR(K991="On time",K991="Late",K991="Very late"),1,0)</f>
        <v/>
      </c>
    </row>
    <row r="992">
      <c r="A992" s="10" t="inlineStr">
        <is>
          <t>DN319219</t>
        </is>
      </c>
      <c r="B992" s="10" t="inlineStr">
        <is>
          <t>SO63082</t>
        </is>
      </c>
      <c r="C992" s="10" t="inlineStr">
        <is>
          <t>C11333</t>
        </is>
      </c>
      <c r="D992" s="10">
        <f>INDEX(Customers!$B:$B,MATCH(C992,Customers!$A:$A,0))</f>
        <v/>
      </c>
      <c r="E992" s="10">
        <f>INDEX(Customers!$D:$D,MATCH(C992,Customers!$A:$A,0))</f>
        <v/>
      </c>
      <c r="F992" s="10" t="inlineStr">
        <is>
          <t>Own trucks</t>
        </is>
      </c>
      <c r="G992" s="5" t="n">
        <v>46268</v>
      </c>
      <c r="H992" s="5" t="n">
        <v>46269</v>
      </c>
      <c r="I992" s="5" t="n">
        <v>46269</v>
      </c>
      <c r="J992" s="10" t="inlineStr">
        <is>
          <t>11:10</t>
        </is>
      </c>
      <c r="K992" s="10" t="inlineStr">
        <is>
          <t>On time</t>
        </is>
      </c>
      <c r="L992" s="6" t="n">
        <v>0</v>
      </c>
      <c r="M992" s="10" t="n"/>
      <c r="N992" s="6" t="n">
        <v>21</v>
      </c>
      <c r="O992" s="6" t="n">
        <v>1743</v>
      </c>
      <c r="P992" s="6" t="n">
        <v>1</v>
      </c>
      <c r="Q992" s="6">
        <f>IF(OR(K992="On time",K992="Late",K992="Very late"),1,0)</f>
        <v/>
      </c>
    </row>
    <row r="993">
      <c r="A993" s="10" t="inlineStr">
        <is>
          <t>DN319220</t>
        </is>
      </c>
      <c r="B993" s="10" t="inlineStr">
        <is>
          <t>SO63084</t>
        </is>
      </c>
      <c r="C993" s="10" t="inlineStr">
        <is>
          <t>C11400</t>
        </is>
      </c>
      <c r="D993" s="10">
        <f>INDEX(Customers!$B:$B,MATCH(C993,Customers!$A:$A,0))</f>
        <v/>
      </c>
      <c r="E993" s="10">
        <f>INDEX(Customers!$D:$D,MATCH(C993,Customers!$A:$A,0))</f>
        <v/>
      </c>
      <c r="F993" s="10" t="inlineStr">
        <is>
          <t>Own trucks</t>
        </is>
      </c>
      <c r="G993" s="5" t="n">
        <v>46268</v>
      </c>
      <c r="H993" s="5" t="n">
        <v>46269</v>
      </c>
      <c r="I993" s="5" t="n">
        <v>46269</v>
      </c>
      <c r="J993" s="10" t="inlineStr">
        <is>
          <t>08:20</t>
        </is>
      </c>
      <c r="K993" s="10" t="inlineStr">
        <is>
          <t>On time</t>
        </is>
      </c>
      <c r="L993" s="6" t="n">
        <v>0</v>
      </c>
      <c r="M993" s="10" t="n"/>
      <c r="N993" s="6" t="n">
        <v>27</v>
      </c>
      <c r="O993" s="6" t="n">
        <v>1836</v>
      </c>
      <c r="P993" s="6" t="n">
        <v>1</v>
      </c>
      <c r="Q993" s="6">
        <f>IF(OR(K993="On time",K993="Late",K993="Very late"),1,0)</f>
        <v/>
      </c>
    </row>
    <row r="994">
      <c r="A994" s="10" t="inlineStr">
        <is>
          <t>DN319221</t>
        </is>
      </c>
      <c r="B994" s="10" t="inlineStr">
        <is>
          <t>SO63086</t>
        </is>
      </c>
      <c r="C994" s="10" t="inlineStr">
        <is>
          <t>C11463</t>
        </is>
      </c>
      <c r="D994" s="10">
        <f>INDEX(Customers!$B:$B,MATCH(C994,Customers!$A:$A,0))</f>
        <v/>
      </c>
      <c r="E994" s="10">
        <f>INDEX(Customers!$D:$D,MATCH(C994,Customers!$A:$A,0))</f>
        <v/>
      </c>
      <c r="F994" s="10" t="inlineStr">
        <is>
          <t>Own trucks</t>
        </is>
      </c>
      <c r="G994" s="5" t="n">
        <v>46268</v>
      </c>
      <c r="H994" s="5" t="n">
        <v>46269</v>
      </c>
      <c r="I994" s="5" t="n">
        <v>46269</v>
      </c>
      <c r="J994" s="10" t="inlineStr">
        <is>
          <t>16:50</t>
        </is>
      </c>
      <c r="K994" s="10" t="inlineStr">
        <is>
          <t>On time</t>
        </is>
      </c>
      <c r="L994" s="6" t="n">
        <v>0</v>
      </c>
      <c r="M994" s="10" t="n"/>
      <c r="N994" s="6" t="n">
        <v>38</v>
      </c>
      <c r="O994" s="6" t="n">
        <v>2584</v>
      </c>
      <c r="P994" s="6" t="n">
        <v>1</v>
      </c>
      <c r="Q994" s="6">
        <f>IF(OR(K994="On time",K994="Late",K994="Very late"),1,0)</f>
        <v/>
      </c>
    </row>
    <row r="995">
      <c r="A995" s="10" t="inlineStr">
        <is>
          <t>DN319222</t>
        </is>
      </c>
      <c r="B995" s="10" t="inlineStr">
        <is>
          <t>SO63087</t>
        </is>
      </c>
      <c r="C995" s="10" t="inlineStr">
        <is>
          <t>C11518</t>
        </is>
      </c>
      <c r="D995" s="10">
        <f>INDEX(Customers!$B:$B,MATCH(C995,Customers!$A:$A,0))</f>
        <v/>
      </c>
      <c r="E995" s="10">
        <f>INDEX(Customers!$D:$D,MATCH(C995,Customers!$A:$A,0))</f>
        <v/>
      </c>
      <c r="F995" s="10" t="inlineStr">
        <is>
          <t>Own trucks</t>
        </is>
      </c>
      <c r="G995" s="5" t="n">
        <v>46268</v>
      </c>
      <c r="H995" s="5" t="n">
        <v>46269</v>
      </c>
      <c r="I995" s="5" t="n">
        <v>46272</v>
      </c>
      <c r="J995" s="10" t="inlineStr">
        <is>
          <t>15:50</t>
        </is>
      </c>
      <c r="K995" s="10" t="inlineStr">
        <is>
          <t>Late</t>
        </is>
      </c>
      <c r="L995" s="6" t="n">
        <v>1</v>
      </c>
      <c r="M995" s="10" t="inlineStr">
        <is>
          <t>Stock not ready</t>
        </is>
      </c>
      <c r="N995" s="6" t="n">
        <v>17</v>
      </c>
      <c r="O995" s="6" t="n">
        <v>2193</v>
      </c>
      <c r="P995" s="6" t="n">
        <v>1</v>
      </c>
      <c r="Q995" s="6">
        <f>IF(OR(K995="On time",K995="Late",K995="Very late"),1,0)</f>
        <v/>
      </c>
    </row>
    <row r="996">
      <c r="A996" s="10" t="inlineStr">
        <is>
          <t>DN319223</t>
        </is>
      </c>
      <c r="B996" s="10" t="inlineStr">
        <is>
          <t>SO63088</t>
        </is>
      </c>
      <c r="C996" s="10" t="inlineStr">
        <is>
          <t>C11579</t>
        </is>
      </c>
      <c r="D996" s="10">
        <f>INDEX(Customers!$B:$B,MATCH(C996,Customers!$A:$A,0))</f>
        <v/>
      </c>
      <c r="E996" s="10">
        <f>INDEX(Customers!$D:$D,MATCH(C996,Customers!$A:$A,0))</f>
        <v/>
      </c>
      <c r="F996" s="10" t="inlineStr">
        <is>
          <t>Own trucks</t>
        </is>
      </c>
      <c r="G996" s="5" t="n">
        <v>46268</v>
      </c>
      <c r="H996" s="5" t="n">
        <v>46269</v>
      </c>
      <c r="I996" s="5" t="n">
        <v>46269</v>
      </c>
      <c r="J996" s="10" t="inlineStr">
        <is>
          <t>14:30</t>
        </is>
      </c>
      <c r="K996" s="10" t="inlineStr">
        <is>
          <t>On time</t>
        </is>
      </c>
      <c r="L996" s="6" t="n">
        <v>0</v>
      </c>
      <c r="M996" s="10" t="n"/>
      <c r="N996" s="6" t="n">
        <v>34</v>
      </c>
      <c r="O996" s="6" t="n">
        <v>3740</v>
      </c>
      <c r="P996" s="6" t="n">
        <v>1</v>
      </c>
      <c r="Q996" s="6">
        <f>IF(OR(K996="On time",K996="Late",K996="Very late"),1,0)</f>
        <v/>
      </c>
    </row>
    <row r="997">
      <c r="A997" s="10" t="inlineStr">
        <is>
          <t>DN319224</t>
        </is>
      </c>
      <c r="B997" s="10" t="inlineStr">
        <is>
          <t>SO63090</t>
        </is>
      </c>
      <c r="C997" s="10" t="inlineStr">
        <is>
          <t>C11616</t>
        </is>
      </c>
      <c r="D997" s="10">
        <f>INDEX(Customers!$B:$B,MATCH(C997,Customers!$A:$A,0))</f>
        <v/>
      </c>
      <c r="E997" s="10">
        <f>INDEX(Customers!$D:$D,MATCH(C997,Customers!$A:$A,0))</f>
        <v/>
      </c>
      <c r="F997" s="10" t="inlineStr">
        <is>
          <t>Own trucks</t>
        </is>
      </c>
      <c r="G997" s="5" t="n">
        <v>46268</v>
      </c>
      <c r="H997" s="5" t="n">
        <v>46269</v>
      </c>
      <c r="I997" s="5" t="n">
        <v>46269</v>
      </c>
      <c r="J997" s="10" t="inlineStr">
        <is>
          <t>13:50</t>
        </is>
      </c>
      <c r="K997" s="10" t="inlineStr">
        <is>
          <t>On time</t>
        </is>
      </c>
      <c r="L997" s="6" t="n">
        <v>0</v>
      </c>
      <c r="M997" s="10" t="n"/>
      <c r="N997" s="6" t="n">
        <v>10</v>
      </c>
      <c r="O997" s="6" t="n">
        <v>810</v>
      </c>
      <c r="P997" s="6" t="n">
        <v>1</v>
      </c>
      <c r="Q997" s="6">
        <f>IF(OR(K997="On time",K997="Late",K997="Very late"),1,0)</f>
        <v/>
      </c>
    </row>
    <row r="998">
      <c r="A998" s="10" t="inlineStr">
        <is>
          <t>DN319225</t>
        </is>
      </c>
      <c r="B998" s="10" t="inlineStr">
        <is>
          <t>SO63091</t>
        </is>
      </c>
      <c r="C998" s="10" t="inlineStr">
        <is>
          <t>C11666</t>
        </is>
      </c>
      <c r="D998" s="10">
        <f>INDEX(Customers!$B:$B,MATCH(C998,Customers!$A:$A,0))</f>
        <v/>
      </c>
      <c r="E998" s="10">
        <f>INDEX(Customers!$D:$D,MATCH(C998,Customers!$A:$A,0))</f>
        <v/>
      </c>
      <c r="F998" s="10" t="inlineStr">
        <is>
          <t>Own trucks</t>
        </is>
      </c>
      <c r="G998" s="5" t="n">
        <v>46268</v>
      </c>
      <c r="H998" s="5" t="n">
        <v>46269</v>
      </c>
      <c r="I998" s="5" t="n">
        <v>46269</v>
      </c>
      <c r="J998" s="10" t="inlineStr">
        <is>
          <t>08:10</t>
        </is>
      </c>
      <c r="K998" s="10" t="inlineStr">
        <is>
          <t>On time</t>
        </is>
      </c>
      <c r="L998" s="6" t="n">
        <v>0</v>
      </c>
      <c r="M998" s="10" t="n"/>
      <c r="N998" s="6" t="n">
        <v>15</v>
      </c>
      <c r="O998" s="6" t="n">
        <v>960</v>
      </c>
      <c r="P998" s="6" t="n">
        <v>1</v>
      </c>
      <c r="Q998" s="6">
        <f>IF(OR(K998="On time",K998="Late",K998="Very late"),1,0)</f>
        <v/>
      </c>
    </row>
    <row r="999">
      <c r="A999" s="10" t="inlineStr">
        <is>
          <t>DN319226</t>
        </is>
      </c>
      <c r="B999" s="10" t="inlineStr">
        <is>
          <t>SO63092</t>
        </is>
      </c>
      <c r="C999" s="10" t="inlineStr">
        <is>
          <t>C11745</t>
        </is>
      </c>
      <c r="D999" s="10">
        <f>INDEX(Customers!$B:$B,MATCH(C999,Customers!$A:$A,0))</f>
        <v/>
      </c>
      <c r="E999" s="10">
        <f>INDEX(Customers!$D:$D,MATCH(C999,Customers!$A:$A,0))</f>
        <v/>
      </c>
      <c r="F999" s="10" t="inlineStr">
        <is>
          <t>Own trucks</t>
        </is>
      </c>
      <c r="G999" s="5" t="n">
        <v>46268</v>
      </c>
      <c r="H999" s="5" t="n">
        <v>46269</v>
      </c>
      <c r="I999" s="5" t="n">
        <v>46269</v>
      </c>
      <c r="J999" s="10" t="inlineStr">
        <is>
          <t>11:00</t>
        </is>
      </c>
      <c r="K999" s="10" t="inlineStr">
        <is>
          <t>On time</t>
        </is>
      </c>
      <c r="L999" s="6" t="n">
        <v>0</v>
      </c>
      <c r="M999" s="10" t="n"/>
      <c r="N999" s="6" t="n">
        <v>32</v>
      </c>
      <c r="O999" s="6" t="n">
        <v>3616</v>
      </c>
      <c r="P999" s="6" t="n">
        <v>1</v>
      </c>
      <c r="Q999" s="6">
        <f>IF(OR(K999="On time",K999="Late",K999="Very late"),1,0)</f>
        <v/>
      </c>
    </row>
    <row r="1000">
      <c r="A1000" s="10" t="inlineStr">
        <is>
          <t>DN319227</t>
        </is>
      </c>
      <c r="B1000" s="10" t="inlineStr">
        <is>
          <t>SO63093</t>
        </is>
      </c>
      <c r="C1000" s="10" t="inlineStr">
        <is>
          <t>C11790</t>
        </is>
      </c>
      <c r="D1000" s="10">
        <f>INDEX(Customers!$B:$B,MATCH(C1000,Customers!$A:$A,0))</f>
        <v/>
      </c>
      <c r="E1000" s="10">
        <f>INDEX(Customers!$D:$D,MATCH(C1000,Customers!$A:$A,0))</f>
        <v/>
      </c>
      <c r="F1000" s="10" t="inlineStr">
        <is>
          <t>Carrier A</t>
        </is>
      </c>
      <c r="G1000" s="5" t="n">
        <v>46268</v>
      </c>
      <c r="H1000" s="5" t="n">
        <v>46269</v>
      </c>
      <c r="I1000" s="5" t="n">
        <v>46269</v>
      </c>
      <c r="J1000" s="10" t="inlineStr">
        <is>
          <t>07:30</t>
        </is>
      </c>
      <c r="K1000" s="10" t="inlineStr">
        <is>
          <t>On time</t>
        </is>
      </c>
      <c r="L1000" s="6" t="n">
        <v>0</v>
      </c>
      <c r="M1000" s="10" t="n"/>
      <c r="N1000" s="6" t="n">
        <v>28</v>
      </c>
      <c r="O1000" s="6" t="n">
        <v>2464</v>
      </c>
      <c r="P1000" s="6" t="n">
        <v>0</v>
      </c>
      <c r="Q1000" s="6">
        <f>IF(OR(K1000="On time",K1000="Late",K1000="Very late"),1,0)</f>
        <v/>
      </c>
    </row>
    <row r="1001">
      <c r="A1001" s="10" t="inlineStr">
        <is>
          <t>DN319228</t>
        </is>
      </c>
      <c r="B1001" s="10" t="inlineStr">
        <is>
          <t>SO63094</t>
        </is>
      </c>
      <c r="C1001" s="10" t="inlineStr">
        <is>
          <t>C11866</t>
        </is>
      </c>
      <c r="D1001" s="10">
        <f>INDEX(Customers!$B:$B,MATCH(C1001,Customers!$A:$A,0))</f>
        <v/>
      </c>
      <c r="E1001" s="10">
        <f>INDEX(Customers!$D:$D,MATCH(C1001,Customers!$A:$A,0))</f>
        <v/>
      </c>
      <c r="F1001" s="10" t="inlineStr">
        <is>
          <t>Carrier A</t>
        </is>
      </c>
      <c r="G1001" s="5" t="n">
        <v>46268</v>
      </c>
      <c r="H1001" s="5" t="n">
        <v>46269</v>
      </c>
      <c r="I1001" s="5" t="n">
        <v>46269</v>
      </c>
      <c r="J1001" s="10" t="inlineStr">
        <is>
          <t>11:10</t>
        </is>
      </c>
      <c r="K1001" s="10" t="inlineStr">
        <is>
          <t>On time</t>
        </is>
      </c>
      <c r="L1001" s="6" t="n">
        <v>0</v>
      </c>
      <c r="M1001" s="10" t="n"/>
      <c r="N1001" s="6" t="n">
        <v>18</v>
      </c>
      <c r="O1001" s="6" t="n">
        <v>2322</v>
      </c>
      <c r="P1001" s="6" t="n">
        <v>1</v>
      </c>
      <c r="Q1001" s="6">
        <f>IF(OR(K1001="On time",K1001="Late",K1001="Very late"),1,0)</f>
        <v/>
      </c>
    </row>
    <row r="1002">
      <c r="A1002" s="10" t="inlineStr">
        <is>
          <t>DN319229</t>
        </is>
      </c>
      <c r="B1002" s="10" t="inlineStr">
        <is>
          <t>SO63095</t>
        </is>
      </c>
      <c r="C1002" s="10" t="inlineStr">
        <is>
          <t>C11950</t>
        </is>
      </c>
      <c r="D1002" s="10">
        <f>INDEX(Customers!$B:$B,MATCH(C1002,Customers!$A:$A,0))</f>
        <v/>
      </c>
      <c r="E1002" s="10">
        <f>INDEX(Customers!$D:$D,MATCH(C1002,Customers!$A:$A,0))</f>
        <v/>
      </c>
      <c r="F1002" s="10" t="inlineStr">
        <is>
          <t>Carrier A</t>
        </is>
      </c>
      <c r="G1002" s="5" t="n">
        <v>46268</v>
      </c>
      <c r="H1002" s="5" t="n">
        <v>46269</v>
      </c>
      <c r="I1002" s="5" t="n">
        <v>46269</v>
      </c>
      <c r="J1002" s="10" t="inlineStr">
        <is>
          <t>11:10</t>
        </is>
      </c>
      <c r="K1002" s="10" t="inlineStr">
        <is>
          <t>On time</t>
        </is>
      </c>
      <c r="L1002" s="6" t="n">
        <v>0</v>
      </c>
      <c r="M1002" s="10" t="n"/>
      <c r="N1002" s="6" t="n">
        <v>39</v>
      </c>
      <c r="O1002" s="6" t="n">
        <v>2730</v>
      </c>
      <c r="P1002" s="6" t="n">
        <v>1</v>
      </c>
      <c r="Q1002" s="6">
        <f>IF(OR(K1002="On time",K1002="Late",K1002="Very late"),1,0)</f>
        <v/>
      </c>
    </row>
    <row r="1003">
      <c r="A1003" s="10" t="inlineStr">
        <is>
          <t>DN319230</t>
        </is>
      </c>
      <c r="B1003" s="10" t="inlineStr">
        <is>
          <t>SO63097</t>
        </is>
      </c>
      <c r="C1003" s="10" t="inlineStr">
        <is>
          <t>C11971</t>
        </is>
      </c>
      <c r="D1003" s="10">
        <f>INDEX(Customers!$B:$B,MATCH(C1003,Customers!$A:$A,0))</f>
        <v/>
      </c>
      <c r="E1003" s="10">
        <f>INDEX(Customers!$D:$D,MATCH(C1003,Customers!$A:$A,0))</f>
        <v/>
      </c>
      <c r="F1003" s="10" t="inlineStr">
        <is>
          <t>Own trucks</t>
        </is>
      </c>
      <c r="G1003" s="5" t="n">
        <v>46268</v>
      </c>
      <c r="H1003" s="5" t="n">
        <v>46269</v>
      </c>
      <c r="I1003" s="5" t="n">
        <v>46269</v>
      </c>
      <c r="J1003" s="10" t="inlineStr">
        <is>
          <t>16:40</t>
        </is>
      </c>
      <c r="K1003" s="10" t="inlineStr">
        <is>
          <t>On time</t>
        </is>
      </c>
      <c r="L1003" s="6" t="n">
        <v>0</v>
      </c>
      <c r="M1003" s="10" t="n"/>
      <c r="N1003" s="6" t="n">
        <v>13</v>
      </c>
      <c r="O1003" s="6" t="n">
        <v>1677</v>
      </c>
      <c r="P1003" s="6" t="n">
        <v>1</v>
      </c>
      <c r="Q1003" s="6">
        <f>IF(OR(K1003="On time",K1003="Late",K1003="Very late"),1,0)</f>
        <v/>
      </c>
    </row>
    <row r="1004">
      <c r="A1004" s="10" t="inlineStr">
        <is>
          <t>DN319231</t>
        </is>
      </c>
      <c r="B1004" s="10" t="inlineStr">
        <is>
          <t>SO63098</t>
        </is>
      </c>
      <c r="C1004" s="10" t="inlineStr">
        <is>
          <t>C12103</t>
        </is>
      </c>
      <c r="D1004" s="10">
        <f>INDEX(Customers!$B:$B,MATCH(C1004,Customers!$A:$A,0))</f>
        <v/>
      </c>
      <c r="E1004" s="10">
        <f>INDEX(Customers!$D:$D,MATCH(C1004,Customers!$A:$A,0))</f>
        <v/>
      </c>
      <c r="F1004" s="10" t="inlineStr">
        <is>
          <t>Own trucks</t>
        </is>
      </c>
      <c r="G1004" s="5" t="n">
        <v>46268</v>
      </c>
      <c r="H1004" s="5" t="n">
        <v>46269</v>
      </c>
      <c r="I1004" s="5" t="n">
        <v>46269</v>
      </c>
      <c r="J1004" s="10" t="inlineStr">
        <is>
          <t>14:40</t>
        </is>
      </c>
      <c r="K1004" s="10" t="inlineStr">
        <is>
          <t>On time</t>
        </is>
      </c>
      <c r="L1004" s="6" t="n">
        <v>0</v>
      </c>
      <c r="M1004" s="10" t="n"/>
      <c r="N1004" s="6" t="n">
        <v>27</v>
      </c>
      <c r="O1004" s="6" t="n">
        <v>3591</v>
      </c>
      <c r="P1004" s="6" t="n">
        <v>1</v>
      </c>
      <c r="Q1004" s="6">
        <f>IF(OR(K1004="On time",K1004="Late",K1004="Very late"),1,0)</f>
        <v/>
      </c>
    </row>
    <row r="1005">
      <c r="A1005" s="10" t="inlineStr">
        <is>
          <t>DN319232</t>
        </is>
      </c>
      <c r="B1005" s="10" t="inlineStr">
        <is>
          <t>SO63099</t>
        </is>
      </c>
      <c r="C1005" s="10" t="inlineStr">
        <is>
          <t>C12183</t>
        </is>
      </c>
      <c r="D1005" s="10">
        <f>INDEX(Customers!$B:$B,MATCH(C1005,Customers!$A:$A,0))</f>
        <v/>
      </c>
      <c r="E1005" s="10">
        <f>INDEX(Customers!$D:$D,MATCH(C1005,Customers!$A:$A,0))</f>
        <v/>
      </c>
      <c r="F1005" s="10" t="inlineStr">
        <is>
          <t>Carrier B</t>
        </is>
      </c>
      <c r="G1005" s="5" t="n">
        <v>46268</v>
      </c>
      <c r="H1005" s="5" t="n">
        <v>46269</v>
      </c>
      <c r="I1005" s="5" t="n">
        <v>46269</v>
      </c>
      <c r="J1005" s="10" t="inlineStr">
        <is>
          <t>14:30</t>
        </is>
      </c>
      <c r="K1005" s="10" t="inlineStr">
        <is>
          <t>On time</t>
        </is>
      </c>
      <c r="L1005" s="6" t="n">
        <v>0</v>
      </c>
      <c r="M1005" s="10" t="n"/>
      <c r="N1005" s="6" t="n">
        <v>37</v>
      </c>
      <c r="O1005" s="6" t="n">
        <v>3922</v>
      </c>
      <c r="P1005" s="6" t="n">
        <v>1</v>
      </c>
      <c r="Q1005" s="6">
        <f>IF(OR(K1005="On time",K1005="Late",K1005="Very late"),1,0)</f>
        <v/>
      </c>
    </row>
    <row r="1006">
      <c r="A1006" s="10" t="inlineStr">
        <is>
          <t>DN319233</t>
        </is>
      </c>
      <c r="B1006" s="10" t="inlineStr">
        <is>
          <t>SO63101</t>
        </is>
      </c>
      <c r="C1006" s="10" t="inlineStr">
        <is>
          <t>C12239</t>
        </is>
      </c>
      <c r="D1006" s="10">
        <f>INDEX(Customers!$B:$B,MATCH(C1006,Customers!$A:$A,0))</f>
        <v/>
      </c>
      <c r="E1006" s="10">
        <f>INDEX(Customers!$D:$D,MATCH(C1006,Customers!$A:$A,0))</f>
        <v/>
      </c>
      <c r="F1006" s="10" t="inlineStr">
        <is>
          <t>Carrier B</t>
        </is>
      </c>
      <c r="G1006" s="5" t="n">
        <v>46268</v>
      </c>
      <c r="H1006" s="5" t="n">
        <v>46269</v>
      </c>
      <c r="I1006" s="5" t="n">
        <v>46269</v>
      </c>
      <c r="J1006" s="10" t="inlineStr">
        <is>
          <t>08:10</t>
        </is>
      </c>
      <c r="K1006" s="10" t="inlineStr">
        <is>
          <t>On time</t>
        </is>
      </c>
      <c r="L1006" s="6" t="n">
        <v>0</v>
      </c>
      <c r="M1006" s="10" t="n"/>
      <c r="N1006" s="6" t="n">
        <v>32</v>
      </c>
      <c r="O1006" s="6" t="n">
        <v>4064</v>
      </c>
      <c r="P1006" s="6" t="n">
        <v>1</v>
      </c>
      <c r="Q1006" s="6">
        <f>IF(OR(K1006="On time",K1006="Late",K1006="Very late"),1,0)</f>
        <v/>
      </c>
    </row>
    <row r="1007">
      <c r="A1007" s="10" t="inlineStr">
        <is>
          <t>DN319234</t>
        </is>
      </c>
      <c r="B1007" s="10" t="inlineStr">
        <is>
          <t>SO63102</t>
        </is>
      </c>
      <c r="C1007" s="10" t="inlineStr">
        <is>
          <t>C12262</t>
        </is>
      </c>
      <c r="D1007" s="10">
        <f>INDEX(Customers!$B:$B,MATCH(C1007,Customers!$A:$A,0))</f>
        <v/>
      </c>
      <c r="E1007" s="10">
        <f>INDEX(Customers!$D:$D,MATCH(C1007,Customers!$A:$A,0))</f>
        <v/>
      </c>
      <c r="F1007" s="10" t="inlineStr">
        <is>
          <t>Carrier B</t>
        </is>
      </c>
      <c r="G1007" s="5" t="n">
        <v>46268</v>
      </c>
      <c r="H1007" s="5" t="n">
        <v>46269</v>
      </c>
      <c r="I1007" s="5" t="n">
        <v>46269</v>
      </c>
      <c r="J1007" s="10" t="inlineStr">
        <is>
          <t>15:10</t>
        </is>
      </c>
      <c r="K1007" s="10" t="inlineStr">
        <is>
          <t>On time</t>
        </is>
      </c>
      <c r="L1007" s="6" t="n">
        <v>0</v>
      </c>
      <c r="M1007" s="10" t="n"/>
      <c r="N1007" s="6" t="n">
        <v>31</v>
      </c>
      <c r="O1007" s="6" t="n">
        <v>3596</v>
      </c>
      <c r="P1007" s="6" t="n">
        <v>1</v>
      </c>
      <c r="Q1007" s="6">
        <f>IF(OR(K1007="On time",K1007="Late",K1007="Very late"),1,0)</f>
        <v/>
      </c>
    </row>
    <row r="1008">
      <c r="A1008" s="10" t="inlineStr">
        <is>
          <t>DN319235</t>
        </is>
      </c>
      <c r="B1008" s="10" t="inlineStr">
        <is>
          <t>SO63103</t>
        </is>
      </c>
      <c r="C1008" s="10" t="inlineStr">
        <is>
          <t>C12305</t>
        </is>
      </c>
      <c r="D1008" s="10">
        <f>INDEX(Customers!$B:$B,MATCH(C1008,Customers!$A:$A,0))</f>
        <v/>
      </c>
      <c r="E1008" s="10">
        <f>INDEX(Customers!$D:$D,MATCH(C1008,Customers!$A:$A,0))</f>
        <v/>
      </c>
      <c r="F1008" s="10" t="inlineStr">
        <is>
          <t>Carrier B</t>
        </is>
      </c>
      <c r="G1008" s="5" t="n">
        <v>46268</v>
      </c>
      <c r="H1008" s="5" t="n">
        <v>46269</v>
      </c>
      <c r="I1008" s="5" t="n">
        <v>46269</v>
      </c>
      <c r="J1008" s="10" t="inlineStr">
        <is>
          <t>16:00</t>
        </is>
      </c>
      <c r="K1008" s="10" t="inlineStr">
        <is>
          <t>On time</t>
        </is>
      </c>
      <c r="L1008" s="6" t="n">
        <v>0</v>
      </c>
      <c r="M1008" s="10" t="n"/>
      <c r="N1008" s="6" t="n">
        <v>25</v>
      </c>
      <c r="O1008" s="6" t="n">
        <v>2925</v>
      </c>
      <c r="P1008" s="6" t="n">
        <v>1</v>
      </c>
      <c r="Q1008" s="6">
        <f>IF(OR(K1008="On time",K1008="Late",K1008="Very late"),1,0)</f>
        <v/>
      </c>
    </row>
    <row r="1009">
      <c r="A1009" s="10" t="inlineStr">
        <is>
          <t>DN319236</t>
        </is>
      </c>
      <c r="B1009" s="10" t="inlineStr">
        <is>
          <t>SO63105</t>
        </is>
      </c>
      <c r="C1009" s="10" t="inlineStr">
        <is>
          <t>C12371</t>
        </is>
      </c>
      <c r="D1009" s="10">
        <f>INDEX(Customers!$B:$B,MATCH(C1009,Customers!$A:$A,0))</f>
        <v/>
      </c>
      <c r="E1009" s="10">
        <f>INDEX(Customers!$D:$D,MATCH(C1009,Customers!$A:$A,0))</f>
        <v/>
      </c>
      <c r="F1009" s="10" t="inlineStr">
        <is>
          <t>Carrier A</t>
        </is>
      </c>
      <c r="G1009" s="5" t="n">
        <v>46268</v>
      </c>
      <c r="H1009" s="5" t="n">
        <v>46269</v>
      </c>
      <c r="I1009" s="5" t="n">
        <v>46269</v>
      </c>
      <c r="J1009" s="10" t="inlineStr">
        <is>
          <t>08:20</t>
        </is>
      </c>
      <c r="K1009" s="10" t="inlineStr">
        <is>
          <t>On time</t>
        </is>
      </c>
      <c r="L1009" s="6" t="n">
        <v>0</v>
      </c>
      <c r="M1009" s="10" t="n"/>
      <c r="N1009" s="6" t="n">
        <v>30</v>
      </c>
      <c r="O1009" s="6" t="n">
        <v>2580</v>
      </c>
      <c r="P1009" s="6" t="n">
        <v>1</v>
      </c>
      <c r="Q1009" s="6">
        <f>IF(OR(K1009="On time",K1009="Late",K1009="Very late"),1,0)</f>
        <v/>
      </c>
    </row>
    <row r="1010">
      <c r="A1010" s="10" t="inlineStr">
        <is>
          <t>DN319237</t>
        </is>
      </c>
      <c r="B1010" s="10" t="inlineStr">
        <is>
          <t>SO63106</t>
        </is>
      </c>
      <c r="C1010" s="10" t="inlineStr">
        <is>
          <t>C12389</t>
        </is>
      </c>
      <c r="D1010" s="10">
        <f>INDEX(Customers!$B:$B,MATCH(C1010,Customers!$A:$A,0))</f>
        <v/>
      </c>
      <c r="E1010" s="10">
        <f>INDEX(Customers!$D:$D,MATCH(C1010,Customers!$A:$A,0))</f>
        <v/>
      </c>
      <c r="F1010" s="10" t="inlineStr">
        <is>
          <t>Carrier A</t>
        </is>
      </c>
      <c r="G1010" s="5" t="n">
        <v>46268</v>
      </c>
      <c r="H1010" s="5" t="n">
        <v>46269</v>
      </c>
      <c r="I1010" s="5" t="n">
        <v>46269</v>
      </c>
      <c r="J1010" s="10" t="inlineStr">
        <is>
          <t>13:30</t>
        </is>
      </c>
      <c r="K1010" s="10" t="inlineStr">
        <is>
          <t>On time</t>
        </is>
      </c>
      <c r="L1010" s="6" t="n">
        <v>0</v>
      </c>
      <c r="M1010" s="10" t="n"/>
      <c r="N1010" s="6" t="n">
        <v>24</v>
      </c>
      <c r="O1010" s="6" t="n">
        <v>2856</v>
      </c>
      <c r="P1010" s="6" t="n">
        <v>1</v>
      </c>
      <c r="Q1010" s="6">
        <f>IF(OR(K1010="On time",K1010="Late",K1010="Very late"),1,0)</f>
        <v/>
      </c>
    </row>
    <row r="1011">
      <c r="A1011" s="10" t="inlineStr">
        <is>
          <t>DN319238</t>
        </is>
      </c>
      <c r="B1011" s="10" t="inlineStr">
        <is>
          <t>SO63107</t>
        </is>
      </c>
      <c r="C1011" s="10" t="inlineStr">
        <is>
          <t>C12420</t>
        </is>
      </c>
      <c r="D1011" s="10">
        <f>INDEX(Customers!$B:$B,MATCH(C1011,Customers!$A:$A,0))</f>
        <v/>
      </c>
      <c r="E1011" s="10">
        <f>INDEX(Customers!$D:$D,MATCH(C1011,Customers!$A:$A,0))</f>
        <v/>
      </c>
      <c r="F1011" s="10" t="inlineStr">
        <is>
          <t>Carrier A</t>
        </is>
      </c>
      <c r="G1011" s="5" t="n">
        <v>46268</v>
      </c>
      <c r="H1011" s="5" t="n">
        <v>46269</v>
      </c>
      <c r="I1011" s="5" t="n">
        <v>46269</v>
      </c>
      <c r="J1011" s="10" t="inlineStr">
        <is>
          <t>14:30</t>
        </is>
      </c>
      <c r="K1011" s="10" t="inlineStr">
        <is>
          <t>On time</t>
        </is>
      </c>
      <c r="L1011" s="6" t="n">
        <v>0</v>
      </c>
      <c r="M1011" s="10" t="n"/>
      <c r="N1011" s="6" t="n">
        <v>4</v>
      </c>
      <c r="O1011" s="6" t="n">
        <v>392</v>
      </c>
      <c r="P1011" s="6" t="n">
        <v>1</v>
      </c>
      <c r="Q1011" s="6">
        <f>IF(OR(K1011="On time",K1011="Late",K1011="Very late"),1,0)</f>
        <v/>
      </c>
    </row>
    <row r="1012">
      <c r="A1012" s="10" t="inlineStr">
        <is>
          <t>DN319239</t>
        </is>
      </c>
      <c r="B1012" s="10" t="inlineStr">
        <is>
          <t>SO63109</t>
        </is>
      </c>
      <c r="C1012" s="10" t="inlineStr">
        <is>
          <t>C12490</t>
        </is>
      </c>
      <c r="D1012" s="10">
        <f>INDEX(Customers!$B:$B,MATCH(C1012,Customers!$A:$A,0))</f>
        <v/>
      </c>
      <c r="E1012" s="10">
        <f>INDEX(Customers!$D:$D,MATCH(C1012,Customers!$A:$A,0))</f>
        <v/>
      </c>
      <c r="F1012" s="10" t="inlineStr">
        <is>
          <t>Carrier A</t>
        </is>
      </c>
      <c r="G1012" s="5" t="n">
        <v>46268</v>
      </c>
      <c r="H1012" s="5" t="n">
        <v>46269</v>
      </c>
      <c r="I1012" s="5" t="n">
        <v>46269</v>
      </c>
      <c r="J1012" s="10" t="inlineStr">
        <is>
          <t>14:10</t>
        </is>
      </c>
      <c r="K1012" s="10" t="inlineStr">
        <is>
          <t>On time</t>
        </is>
      </c>
      <c r="L1012" s="6" t="n">
        <v>0</v>
      </c>
      <c r="M1012" s="10" t="n"/>
      <c r="N1012" s="6" t="n">
        <v>32</v>
      </c>
      <c r="O1012" s="6" t="n">
        <v>3744</v>
      </c>
      <c r="P1012" s="6" t="n">
        <v>1</v>
      </c>
      <c r="Q1012" s="6">
        <f>IF(OR(K1012="On time",K1012="Late",K1012="Very late"),1,0)</f>
        <v/>
      </c>
    </row>
    <row r="1013">
      <c r="A1013" s="10" t="inlineStr">
        <is>
          <t>DN319240</t>
        </is>
      </c>
      <c r="B1013" s="10" t="inlineStr">
        <is>
          <t>SO63110</t>
        </is>
      </c>
      <c r="C1013" s="10" t="inlineStr">
        <is>
          <t>C12543</t>
        </is>
      </c>
      <c r="D1013" s="10">
        <f>INDEX(Customers!$B:$B,MATCH(C1013,Customers!$A:$A,0))</f>
        <v/>
      </c>
      <c r="E1013" s="10">
        <f>INDEX(Customers!$D:$D,MATCH(C1013,Customers!$A:$A,0))</f>
        <v/>
      </c>
      <c r="F1013" s="10" t="inlineStr">
        <is>
          <t>Carrier B</t>
        </is>
      </c>
      <c r="G1013" s="5" t="n">
        <v>46267</v>
      </c>
      <c r="H1013" s="5" t="n">
        <v>46269</v>
      </c>
      <c r="I1013" s="5" t="n">
        <v>46269</v>
      </c>
      <c r="J1013" s="10" t="inlineStr">
        <is>
          <t>11:50</t>
        </is>
      </c>
      <c r="K1013" s="10" t="inlineStr">
        <is>
          <t>On time</t>
        </is>
      </c>
      <c r="L1013" s="6" t="n">
        <v>0</v>
      </c>
      <c r="M1013" s="10" t="n"/>
      <c r="N1013" s="6" t="n">
        <v>32</v>
      </c>
      <c r="O1013" s="6" t="n">
        <v>3584</v>
      </c>
      <c r="P1013" s="6" t="n">
        <v>1</v>
      </c>
      <c r="Q1013" s="6">
        <f>IF(OR(K1013="On time",K1013="Late",K1013="Very late"),1,0)</f>
        <v/>
      </c>
    </row>
    <row r="1014">
      <c r="A1014" s="10" t="inlineStr">
        <is>
          <t>DN319241</t>
        </is>
      </c>
      <c r="B1014" s="10" t="inlineStr">
        <is>
          <t>SO63111</t>
        </is>
      </c>
      <c r="C1014" s="10" t="inlineStr">
        <is>
          <t>C12617</t>
        </is>
      </c>
      <c r="D1014" s="10">
        <f>INDEX(Customers!$B:$B,MATCH(C1014,Customers!$A:$A,0))</f>
        <v/>
      </c>
      <c r="E1014" s="10">
        <f>INDEX(Customers!$D:$D,MATCH(C1014,Customers!$A:$A,0))</f>
        <v/>
      </c>
      <c r="F1014" s="10" t="inlineStr">
        <is>
          <t>Carrier B</t>
        </is>
      </c>
      <c r="G1014" s="5" t="n">
        <v>46267</v>
      </c>
      <c r="H1014" s="5" t="n">
        <v>46269</v>
      </c>
      <c r="I1014" s="5" t="n">
        <v>46269</v>
      </c>
      <c r="J1014" s="10" t="inlineStr">
        <is>
          <t>09:40</t>
        </is>
      </c>
      <c r="K1014" s="10" t="inlineStr">
        <is>
          <t>On time</t>
        </is>
      </c>
      <c r="L1014" s="6" t="n">
        <v>0</v>
      </c>
      <c r="M1014" s="10" t="n"/>
      <c r="N1014" s="6" t="n">
        <v>32</v>
      </c>
      <c r="O1014" s="6" t="n">
        <v>3360</v>
      </c>
      <c r="P1014" s="6" t="n">
        <v>1</v>
      </c>
      <c r="Q1014" s="6">
        <f>IF(OR(K1014="On time",K1014="Late",K1014="Very late"),1,0)</f>
        <v/>
      </c>
    </row>
    <row r="1015">
      <c r="A1015" s="10" t="inlineStr">
        <is>
          <t>DN319242</t>
        </is>
      </c>
      <c r="B1015" s="10" t="inlineStr">
        <is>
          <t>SO63113</t>
        </is>
      </c>
      <c r="C1015" s="10" t="inlineStr">
        <is>
          <t>C12631</t>
        </is>
      </c>
      <c r="D1015" s="10">
        <f>INDEX(Customers!$B:$B,MATCH(C1015,Customers!$A:$A,0))</f>
        <v/>
      </c>
      <c r="E1015" s="10">
        <f>INDEX(Customers!$D:$D,MATCH(C1015,Customers!$A:$A,0))</f>
        <v/>
      </c>
      <c r="F1015" s="10" t="inlineStr">
        <is>
          <t>Carrier B</t>
        </is>
      </c>
      <c r="G1015" s="5" t="n">
        <v>46267</v>
      </c>
      <c r="H1015" s="5" t="n">
        <v>46269</v>
      </c>
      <c r="I1015" s="5" t="n">
        <v>46269</v>
      </c>
      <c r="J1015" s="10" t="inlineStr">
        <is>
          <t>16:20</t>
        </is>
      </c>
      <c r="K1015" s="10" t="inlineStr">
        <is>
          <t>On time</t>
        </is>
      </c>
      <c r="L1015" s="6" t="n">
        <v>0</v>
      </c>
      <c r="M1015" s="10" t="n"/>
      <c r="N1015" s="6" t="n">
        <v>35</v>
      </c>
      <c r="O1015" s="6" t="n">
        <v>4445</v>
      </c>
      <c r="P1015" s="6" t="n">
        <v>1</v>
      </c>
      <c r="Q1015" s="6">
        <f>IF(OR(K1015="On time",K1015="Late",K1015="Very late"),1,0)</f>
        <v/>
      </c>
    </row>
    <row r="1016">
      <c r="A1016" s="10" t="inlineStr">
        <is>
          <t>DN319243</t>
        </is>
      </c>
      <c r="B1016" s="10" t="inlineStr">
        <is>
          <t>SO63114</t>
        </is>
      </c>
      <c r="C1016" s="10" t="inlineStr">
        <is>
          <t>C12639</t>
        </is>
      </c>
      <c r="D1016" s="10">
        <f>INDEX(Customers!$B:$B,MATCH(C1016,Customers!$A:$A,0))</f>
        <v/>
      </c>
      <c r="E1016" s="10">
        <f>INDEX(Customers!$D:$D,MATCH(C1016,Customers!$A:$A,0))</f>
        <v/>
      </c>
      <c r="F1016" s="10" t="inlineStr">
        <is>
          <t>Carrier B</t>
        </is>
      </c>
      <c r="G1016" s="5" t="n">
        <v>46267</v>
      </c>
      <c r="H1016" s="5" t="n">
        <v>46269</v>
      </c>
      <c r="I1016" s="5" t="n">
        <v>46269</v>
      </c>
      <c r="J1016" s="10" t="inlineStr">
        <is>
          <t>12:40</t>
        </is>
      </c>
      <c r="K1016" s="10" t="inlineStr">
        <is>
          <t>On time</t>
        </is>
      </c>
      <c r="L1016" s="6" t="n">
        <v>0</v>
      </c>
      <c r="M1016" s="10" t="n"/>
      <c r="N1016" s="6" t="n">
        <v>11</v>
      </c>
      <c r="O1016" s="6" t="n">
        <v>792</v>
      </c>
      <c r="P1016" s="6" t="n">
        <v>1</v>
      </c>
      <c r="Q1016" s="6">
        <f>IF(OR(K1016="On time",K1016="Late",K1016="Very late"),1,0)</f>
        <v/>
      </c>
    </row>
    <row r="1017">
      <c r="A1017" s="10" t="inlineStr">
        <is>
          <t>DN319244</t>
        </is>
      </c>
      <c r="B1017" s="10" t="inlineStr">
        <is>
          <t>SO63116</t>
        </is>
      </c>
      <c r="C1017" s="10" t="inlineStr">
        <is>
          <t>C12675</t>
        </is>
      </c>
      <c r="D1017" s="10">
        <f>INDEX(Customers!$B:$B,MATCH(C1017,Customers!$A:$A,0))</f>
        <v/>
      </c>
      <c r="E1017" s="10">
        <f>INDEX(Customers!$D:$D,MATCH(C1017,Customers!$A:$A,0))</f>
        <v/>
      </c>
      <c r="F1017" s="10" t="inlineStr">
        <is>
          <t>Carrier B</t>
        </is>
      </c>
      <c r="G1017" s="5" t="n">
        <v>46267</v>
      </c>
      <c r="H1017" s="5" t="n">
        <v>46269</v>
      </c>
      <c r="I1017" s="5" t="n">
        <v>46269</v>
      </c>
      <c r="J1017" s="10" t="inlineStr">
        <is>
          <t>13:30</t>
        </is>
      </c>
      <c r="K1017" s="10" t="inlineStr">
        <is>
          <t>On time</t>
        </is>
      </c>
      <c r="L1017" s="6" t="n">
        <v>0</v>
      </c>
      <c r="M1017" s="10" t="n"/>
      <c r="N1017" s="6" t="n">
        <v>40</v>
      </c>
      <c r="O1017" s="6" t="n">
        <v>3600</v>
      </c>
      <c r="P1017" s="6" t="n">
        <v>1</v>
      </c>
      <c r="Q1017" s="6">
        <f>IF(OR(K1017="On time",K1017="Late",K1017="Very late"),1,0)</f>
        <v/>
      </c>
    </row>
    <row r="1018">
      <c r="A1018" s="10" t="inlineStr">
        <is>
          <t>DN319245</t>
        </is>
      </c>
      <c r="B1018" s="10" t="inlineStr">
        <is>
          <t>SO63117</t>
        </is>
      </c>
      <c r="C1018" s="10" t="inlineStr">
        <is>
          <t>C10268</t>
        </is>
      </c>
      <c r="D1018" s="10">
        <f>INDEX(Customers!$B:$B,MATCH(C1018,Customers!$A:$A,0))</f>
        <v/>
      </c>
      <c r="E1018" s="10">
        <f>INDEX(Customers!$D:$D,MATCH(C1018,Customers!$A:$A,0))</f>
        <v/>
      </c>
      <c r="F1018" s="10" t="inlineStr">
        <is>
          <t>Own trucks</t>
        </is>
      </c>
      <c r="G1018" s="5" t="n">
        <v>46269</v>
      </c>
      <c r="H1018" s="5" t="n">
        <v>46272</v>
      </c>
      <c r="I1018" s="5" t="n">
        <v>46272</v>
      </c>
      <c r="J1018" s="10" t="inlineStr">
        <is>
          <t>10:00</t>
        </is>
      </c>
      <c r="K1018" s="10" t="inlineStr">
        <is>
          <t>On time</t>
        </is>
      </c>
      <c r="L1018" s="6" t="n">
        <v>0</v>
      </c>
      <c r="M1018" s="10" t="n"/>
      <c r="N1018" s="6" t="n">
        <v>21</v>
      </c>
      <c r="O1018" s="6" t="n">
        <v>1911</v>
      </c>
      <c r="P1018" s="6" t="n">
        <v>1</v>
      </c>
      <c r="Q1018" s="6">
        <f>IF(OR(K1018="On time",K1018="Late",K1018="Very late"),1,0)</f>
        <v/>
      </c>
    </row>
    <row r="1019">
      <c r="A1019" s="10" t="inlineStr">
        <is>
          <t>DN319246</t>
        </is>
      </c>
      <c r="B1019" s="10" t="inlineStr">
        <is>
          <t>SO63118</t>
        </is>
      </c>
      <c r="C1019" s="10" t="inlineStr">
        <is>
          <t>C10322</t>
        </is>
      </c>
      <c r="D1019" s="10">
        <f>INDEX(Customers!$B:$B,MATCH(C1019,Customers!$A:$A,0))</f>
        <v/>
      </c>
      <c r="E1019" s="10">
        <f>INDEX(Customers!$D:$D,MATCH(C1019,Customers!$A:$A,0))</f>
        <v/>
      </c>
      <c r="F1019" s="10" t="inlineStr">
        <is>
          <t>Own trucks</t>
        </is>
      </c>
      <c r="G1019" s="5" t="n">
        <v>46269</v>
      </c>
      <c r="H1019" s="5" t="n">
        <v>46272</v>
      </c>
      <c r="I1019" s="5" t="n">
        <v>46274</v>
      </c>
      <c r="J1019" s="10" t="inlineStr">
        <is>
          <t>16:40</t>
        </is>
      </c>
      <c r="K1019" s="10" t="inlineStr">
        <is>
          <t>Very late</t>
        </is>
      </c>
      <c r="L1019" s="6" t="n">
        <v>2</v>
      </c>
      <c r="M1019" s="10" t="inlineStr">
        <is>
          <t>Wrong address</t>
        </is>
      </c>
      <c r="N1019" s="6" t="n">
        <v>13</v>
      </c>
      <c r="O1019" s="6" t="n">
        <v>910</v>
      </c>
      <c r="P1019" s="6" t="n">
        <v>1</v>
      </c>
      <c r="Q1019" s="6">
        <f>IF(OR(K1019="On time",K1019="Late",K1019="Very late"),1,0)</f>
        <v/>
      </c>
    </row>
    <row r="1020">
      <c r="A1020" s="10" t="inlineStr">
        <is>
          <t>DN319247</t>
        </is>
      </c>
      <c r="B1020" s="10" t="inlineStr">
        <is>
          <t>SO63120</t>
        </is>
      </c>
      <c r="C1020" s="10" t="inlineStr">
        <is>
          <t>C10343</t>
        </is>
      </c>
      <c r="D1020" s="10">
        <f>INDEX(Customers!$B:$B,MATCH(C1020,Customers!$A:$A,0))</f>
        <v/>
      </c>
      <c r="E1020" s="10">
        <f>INDEX(Customers!$D:$D,MATCH(C1020,Customers!$A:$A,0))</f>
        <v/>
      </c>
      <c r="F1020" s="10" t="inlineStr">
        <is>
          <t>Own trucks</t>
        </is>
      </c>
      <c r="G1020" s="5" t="n">
        <v>46269</v>
      </c>
      <c r="H1020" s="5" t="n">
        <v>46272</v>
      </c>
      <c r="I1020" s="5" t="n">
        <v>46272</v>
      </c>
      <c r="J1020" s="10" t="inlineStr">
        <is>
          <t>08:50</t>
        </is>
      </c>
      <c r="K1020" s="10" t="inlineStr">
        <is>
          <t>On time</t>
        </is>
      </c>
      <c r="L1020" s="6" t="n">
        <v>0</v>
      </c>
      <c r="M1020" s="10" t="n"/>
      <c r="N1020" s="6" t="n">
        <v>6</v>
      </c>
      <c r="O1020" s="6" t="n">
        <v>468</v>
      </c>
      <c r="P1020" s="6" t="n">
        <v>1</v>
      </c>
      <c r="Q1020" s="6">
        <f>IF(OR(K1020="On time",K1020="Late",K1020="Very late"),1,0)</f>
        <v/>
      </c>
    </row>
    <row r="1021">
      <c r="A1021" s="10" t="inlineStr">
        <is>
          <t>DN319248</t>
        </is>
      </c>
      <c r="B1021" s="10" t="inlineStr">
        <is>
          <t>SO63121</t>
        </is>
      </c>
      <c r="C1021" s="10" t="inlineStr">
        <is>
          <t>C10413</t>
        </is>
      </c>
      <c r="D1021" s="10">
        <f>INDEX(Customers!$B:$B,MATCH(C1021,Customers!$A:$A,0))</f>
        <v/>
      </c>
      <c r="E1021" s="10">
        <f>INDEX(Customers!$D:$D,MATCH(C1021,Customers!$A:$A,0))</f>
        <v/>
      </c>
      <c r="F1021" s="10" t="inlineStr">
        <is>
          <t>Own trucks</t>
        </is>
      </c>
      <c r="G1021" s="5" t="n">
        <v>46269</v>
      </c>
      <c r="H1021" s="5" t="n">
        <v>46272</v>
      </c>
      <c r="I1021" s="5" t="n">
        <v>46272</v>
      </c>
      <c r="J1021" s="10" t="inlineStr">
        <is>
          <t>12:10</t>
        </is>
      </c>
      <c r="K1021" s="10" t="inlineStr">
        <is>
          <t>On time</t>
        </is>
      </c>
      <c r="L1021" s="6" t="n">
        <v>0</v>
      </c>
      <c r="M1021" s="10" t="n"/>
      <c r="N1021" s="6" t="n">
        <v>26</v>
      </c>
      <c r="O1021" s="6" t="n">
        <v>2730</v>
      </c>
      <c r="P1021" s="6" t="n">
        <v>1</v>
      </c>
      <c r="Q1021" s="6">
        <f>IF(OR(K1021="On time",K1021="Late",K1021="Very late"),1,0)</f>
        <v/>
      </c>
    </row>
    <row r="1022">
      <c r="A1022" s="10" t="inlineStr">
        <is>
          <t>DN319249</t>
        </is>
      </c>
      <c r="B1022" s="10" t="inlineStr">
        <is>
          <t>SO63122</t>
        </is>
      </c>
      <c r="C1022" s="10" t="inlineStr">
        <is>
          <t>C10446</t>
        </is>
      </c>
      <c r="D1022" s="10">
        <f>INDEX(Customers!$B:$B,MATCH(C1022,Customers!$A:$A,0))</f>
        <v/>
      </c>
      <c r="E1022" s="10">
        <f>INDEX(Customers!$D:$D,MATCH(C1022,Customers!$A:$A,0))</f>
        <v/>
      </c>
      <c r="F1022" s="10" t="inlineStr">
        <is>
          <t>Own trucks</t>
        </is>
      </c>
      <c r="G1022" s="5" t="n">
        <v>46269</v>
      </c>
      <c r="H1022" s="5" t="n">
        <v>46272</v>
      </c>
      <c r="I1022" s="5" t="n">
        <v>46272</v>
      </c>
      <c r="J1022" s="10" t="inlineStr">
        <is>
          <t>11:00</t>
        </is>
      </c>
      <c r="K1022" s="10" t="inlineStr">
        <is>
          <t>On time</t>
        </is>
      </c>
      <c r="L1022" s="6" t="n">
        <v>0</v>
      </c>
      <c r="M1022" s="10" t="n"/>
      <c r="N1022" s="6" t="n">
        <v>11</v>
      </c>
      <c r="O1022" s="6" t="n">
        <v>671</v>
      </c>
      <c r="P1022" s="6" t="n">
        <v>1</v>
      </c>
      <c r="Q1022" s="6">
        <f>IF(OR(K1022="On time",K1022="Late",K1022="Very late"),1,0)</f>
        <v/>
      </c>
    </row>
    <row r="1023">
      <c r="A1023" s="10" t="inlineStr">
        <is>
          <t>DN319250</t>
        </is>
      </c>
      <c r="B1023" s="10" t="inlineStr">
        <is>
          <t>SO63123</t>
        </is>
      </c>
      <c r="C1023" s="10" t="inlineStr">
        <is>
          <t>C10522</t>
        </is>
      </c>
      <c r="D1023" s="10">
        <f>INDEX(Customers!$B:$B,MATCH(C1023,Customers!$A:$A,0))</f>
        <v/>
      </c>
      <c r="E1023" s="10">
        <f>INDEX(Customers!$D:$D,MATCH(C1023,Customers!$A:$A,0))</f>
        <v/>
      </c>
      <c r="F1023" s="10" t="inlineStr">
        <is>
          <t>Own trucks</t>
        </is>
      </c>
      <c r="G1023" s="5" t="n">
        <v>46269</v>
      </c>
      <c r="H1023" s="5" t="n">
        <v>46272</v>
      </c>
      <c r="I1023" s="5" t="n">
        <v>46272</v>
      </c>
      <c r="J1023" s="10" t="inlineStr">
        <is>
          <t>16:50</t>
        </is>
      </c>
      <c r="K1023" s="10" t="inlineStr">
        <is>
          <t>On time</t>
        </is>
      </c>
      <c r="L1023" s="6" t="n">
        <v>0</v>
      </c>
      <c r="M1023" s="10" t="n"/>
      <c r="N1023" s="6" t="n">
        <v>25</v>
      </c>
      <c r="O1023" s="6" t="n">
        <v>2625</v>
      </c>
      <c r="P1023" s="6" t="n">
        <v>1</v>
      </c>
      <c r="Q1023" s="6">
        <f>IF(OR(K1023="On time",K1023="Late",K1023="Very late"),1,0)</f>
        <v/>
      </c>
    </row>
    <row r="1024">
      <c r="A1024" s="10" t="inlineStr">
        <is>
          <t>DN319251</t>
        </is>
      </c>
      <c r="B1024" s="10" t="inlineStr">
        <is>
          <t>SO63125</t>
        </is>
      </c>
      <c r="C1024" s="10" t="inlineStr">
        <is>
          <t>C10536</t>
        </is>
      </c>
      <c r="D1024" s="10">
        <f>INDEX(Customers!$B:$B,MATCH(C1024,Customers!$A:$A,0))</f>
        <v/>
      </c>
      <c r="E1024" s="10">
        <f>INDEX(Customers!$D:$D,MATCH(C1024,Customers!$A:$A,0))</f>
        <v/>
      </c>
      <c r="F1024" s="10" t="inlineStr">
        <is>
          <t>Own trucks</t>
        </is>
      </c>
      <c r="G1024" s="5" t="n">
        <v>46269</v>
      </c>
      <c r="H1024" s="5" t="n">
        <v>46272</v>
      </c>
      <c r="I1024" s="5" t="n">
        <v>46272</v>
      </c>
      <c r="J1024" s="10" t="inlineStr">
        <is>
          <t>07:30</t>
        </is>
      </c>
      <c r="K1024" s="10" t="inlineStr">
        <is>
          <t>On time</t>
        </is>
      </c>
      <c r="L1024" s="6" t="n">
        <v>0</v>
      </c>
      <c r="M1024" s="10" t="n"/>
      <c r="N1024" s="6" t="n">
        <v>21</v>
      </c>
      <c r="O1024" s="6" t="n">
        <v>2331</v>
      </c>
      <c r="P1024" s="6" t="n">
        <v>1</v>
      </c>
      <c r="Q1024" s="6">
        <f>IF(OR(K1024="On time",K1024="Late",K1024="Very late"),1,0)</f>
        <v/>
      </c>
    </row>
    <row r="1025">
      <c r="A1025" s="10" t="inlineStr">
        <is>
          <t>DN319252</t>
        </is>
      </c>
      <c r="B1025" s="10" t="inlineStr">
        <is>
          <t>SO63127</t>
        </is>
      </c>
      <c r="C1025" s="10" t="inlineStr">
        <is>
          <t>C10589</t>
        </is>
      </c>
      <c r="D1025" s="10">
        <f>INDEX(Customers!$B:$B,MATCH(C1025,Customers!$A:$A,0))</f>
        <v/>
      </c>
      <c r="E1025" s="10">
        <f>INDEX(Customers!$D:$D,MATCH(C1025,Customers!$A:$A,0))</f>
        <v/>
      </c>
      <c r="F1025" s="10" t="inlineStr">
        <is>
          <t>Own trucks</t>
        </is>
      </c>
      <c r="G1025" s="5" t="n">
        <v>46269</v>
      </c>
      <c r="H1025" s="5" t="n">
        <v>46272</v>
      </c>
      <c r="I1025" s="5" t="n">
        <v>46273</v>
      </c>
      <c r="J1025" s="10" t="inlineStr">
        <is>
          <t>09:40</t>
        </is>
      </c>
      <c r="K1025" s="10" t="inlineStr">
        <is>
          <t>Late</t>
        </is>
      </c>
      <c r="L1025" s="6" t="n">
        <v>1</v>
      </c>
      <c r="M1025" s="10" t="inlineStr">
        <is>
          <t>Stock not ready</t>
        </is>
      </c>
      <c r="N1025" s="6" t="n">
        <v>16</v>
      </c>
      <c r="O1025" s="6" t="n">
        <v>1104</v>
      </c>
      <c r="P1025" s="6" t="n">
        <v>1</v>
      </c>
      <c r="Q1025" s="6">
        <f>IF(OR(K1025="On time",K1025="Late",K1025="Very late"),1,0)</f>
        <v/>
      </c>
    </row>
    <row r="1026">
      <c r="A1026" s="10" t="inlineStr">
        <is>
          <t>DN319253</t>
        </is>
      </c>
      <c r="B1026" s="10" t="inlineStr">
        <is>
          <t>SO63129</t>
        </is>
      </c>
      <c r="C1026" s="10" t="inlineStr">
        <is>
          <t>C10622</t>
        </is>
      </c>
      <c r="D1026" s="10">
        <f>INDEX(Customers!$B:$B,MATCH(C1026,Customers!$A:$A,0))</f>
        <v/>
      </c>
      <c r="E1026" s="10">
        <f>INDEX(Customers!$D:$D,MATCH(C1026,Customers!$A:$A,0))</f>
        <v/>
      </c>
      <c r="F1026" s="10" t="inlineStr">
        <is>
          <t>Own trucks</t>
        </is>
      </c>
      <c r="G1026" s="5" t="n">
        <v>46269</v>
      </c>
      <c r="H1026" s="5" t="n">
        <v>46272</v>
      </c>
      <c r="I1026" s="5" t="n">
        <v>46272</v>
      </c>
      <c r="J1026" s="10" t="inlineStr">
        <is>
          <t>10:50</t>
        </is>
      </c>
      <c r="K1026" s="10" t="inlineStr">
        <is>
          <t>On time</t>
        </is>
      </c>
      <c r="L1026" s="6" t="n">
        <v>0</v>
      </c>
      <c r="M1026" s="10" t="n"/>
      <c r="N1026" s="6" t="n">
        <v>40</v>
      </c>
      <c r="O1026" s="6" t="n">
        <v>4320</v>
      </c>
      <c r="P1026" s="6" t="n">
        <v>1</v>
      </c>
      <c r="Q1026" s="6">
        <f>IF(OR(K1026="On time",K1026="Late",K1026="Very late"),1,0)</f>
        <v/>
      </c>
    </row>
    <row r="1027">
      <c r="A1027" s="10" t="inlineStr">
        <is>
          <t>DN319254</t>
        </is>
      </c>
      <c r="B1027" s="10" t="inlineStr">
        <is>
          <t>SO63130</t>
        </is>
      </c>
      <c r="C1027" s="10" t="inlineStr">
        <is>
          <t>C10676</t>
        </is>
      </c>
      <c r="D1027" s="10">
        <f>INDEX(Customers!$B:$B,MATCH(C1027,Customers!$A:$A,0))</f>
        <v/>
      </c>
      <c r="E1027" s="10">
        <f>INDEX(Customers!$D:$D,MATCH(C1027,Customers!$A:$A,0))</f>
        <v/>
      </c>
      <c r="F1027" s="10" t="inlineStr">
        <is>
          <t>Own trucks</t>
        </is>
      </c>
      <c r="G1027" s="5" t="n">
        <v>46269</v>
      </c>
      <c r="H1027" s="5" t="n">
        <v>46272</v>
      </c>
      <c r="I1027" s="5" t="n">
        <v>46272</v>
      </c>
      <c r="J1027" s="10" t="inlineStr">
        <is>
          <t>11:50</t>
        </is>
      </c>
      <c r="K1027" s="10" t="inlineStr">
        <is>
          <t>On time</t>
        </is>
      </c>
      <c r="L1027" s="6" t="n">
        <v>0</v>
      </c>
      <c r="M1027" s="10" t="n"/>
      <c r="N1027" s="6" t="n">
        <v>36</v>
      </c>
      <c r="O1027" s="6" t="n">
        <v>3600</v>
      </c>
      <c r="P1027" s="6" t="n">
        <v>1</v>
      </c>
      <c r="Q1027" s="6">
        <f>IF(OR(K1027="On time",K1027="Late",K1027="Very late"),1,0)</f>
        <v/>
      </c>
    </row>
    <row r="1028">
      <c r="A1028" s="10" t="inlineStr">
        <is>
          <t>DN319255</t>
        </is>
      </c>
      <c r="B1028" s="10" t="inlineStr">
        <is>
          <t>SO63131</t>
        </is>
      </c>
      <c r="C1028" s="10" t="inlineStr">
        <is>
          <t>C10689</t>
        </is>
      </c>
      <c r="D1028" s="10">
        <f>INDEX(Customers!$B:$B,MATCH(C1028,Customers!$A:$A,0))</f>
        <v/>
      </c>
      <c r="E1028" s="10">
        <f>INDEX(Customers!$D:$D,MATCH(C1028,Customers!$A:$A,0))</f>
        <v/>
      </c>
      <c r="F1028" s="10" t="inlineStr">
        <is>
          <t>Own trucks</t>
        </is>
      </c>
      <c r="G1028" s="5" t="n">
        <v>46269</v>
      </c>
      <c r="H1028" s="5" t="n">
        <v>46272</v>
      </c>
      <c r="I1028" s="5" t="n">
        <v>46272</v>
      </c>
      <c r="J1028" s="10" t="inlineStr">
        <is>
          <t>07:20</t>
        </is>
      </c>
      <c r="K1028" s="10" t="inlineStr">
        <is>
          <t>On time</t>
        </is>
      </c>
      <c r="L1028" s="6" t="n">
        <v>0</v>
      </c>
      <c r="M1028" s="10" t="n"/>
      <c r="N1028" s="6" t="n">
        <v>13</v>
      </c>
      <c r="O1028" s="6" t="n">
        <v>1729</v>
      </c>
      <c r="P1028" s="6" t="n">
        <v>1</v>
      </c>
      <c r="Q1028" s="6">
        <f>IF(OR(K1028="On time",K1028="Late",K1028="Very late"),1,0)</f>
        <v/>
      </c>
    </row>
    <row r="1029">
      <c r="A1029" s="10" t="inlineStr">
        <is>
          <t>DN319256</t>
        </is>
      </c>
      <c r="B1029" s="10" t="inlineStr">
        <is>
          <t>SO63133</t>
        </is>
      </c>
      <c r="C1029" s="10" t="inlineStr">
        <is>
          <t>C10796</t>
        </is>
      </c>
      <c r="D1029" s="10">
        <f>INDEX(Customers!$B:$B,MATCH(C1029,Customers!$A:$A,0))</f>
        <v/>
      </c>
      <c r="E1029" s="10">
        <f>INDEX(Customers!$D:$D,MATCH(C1029,Customers!$A:$A,0))</f>
        <v/>
      </c>
      <c r="F1029" s="10" t="inlineStr">
        <is>
          <t>Own trucks</t>
        </is>
      </c>
      <c r="G1029" s="5" t="n">
        <v>46269</v>
      </c>
      <c r="H1029" s="5" t="n">
        <v>46272</v>
      </c>
      <c r="I1029" s="5" t="n">
        <v>46272</v>
      </c>
      <c r="J1029" s="10" t="inlineStr">
        <is>
          <t>12:50</t>
        </is>
      </c>
      <c r="K1029" s="10" t="inlineStr">
        <is>
          <t>On time</t>
        </is>
      </c>
      <c r="L1029" s="6" t="n">
        <v>0</v>
      </c>
      <c r="M1029" s="10" t="n"/>
      <c r="N1029" s="6" t="n">
        <v>13</v>
      </c>
      <c r="O1029" s="6" t="n">
        <v>1547</v>
      </c>
      <c r="P1029" s="6" t="n">
        <v>1</v>
      </c>
      <c r="Q1029" s="6">
        <f>IF(OR(K1029="On time",K1029="Late",K1029="Very late"),1,0)</f>
        <v/>
      </c>
    </row>
    <row r="1030">
      <c r="A1030" s="10" t="inlineStr">
        <is>
          <t>DN319257</t>
        </is>
      </c>
      <c r="B1030" s="10" t="inlineStr">
        <is>
          <t>SO63134</t>
        </is>
      </c>
      <c r="C1030" s="10" t="inlineStr">
        <is>
          <t>C10915</t>
        </is>
      </c>
      <c r="D1030" s="10">
        <f>INDEX(Customers!$B:$B,MATCH(C1030,Customers!$A:$A,0))</f>
        <v/>
      </c>
      <c r="E1030" s="10">
        <f>INDEX(Customers!$D:$D,MATCH(C1030,Customers!$A:$A,0))</f>
        <v/>
      </c>
      <c r="F1030" s="10" t="inlineStr">
        <is>
          <t>Own trucks</t>
        </is>
      </c>
      <c r="G1030" s="5" t="n">
        <v>46269</v>
      </c>
      <c r="H1030" s="5" t="n">
        <v>46272</v>
      </c>
      <c r="I1030" s="5" t="n">
        <v>46272</v>
      </c>
      <c r="J1030" s="10" t="inlineStr">
        <is>
          <t>07:30</t>
        </is>
      </c>
      <c r="K1030" s="10" t="inlineStr">
        <is>
          <t>On time</t>
        </is>
      </c>
      <c r="L1030" s="6" t="n">
        <v>0</v>
      </c>
      <c r="M1030" s="10" t="n"/>
      <c r="N1030" s="6" t="n">
        <v>22</v>
      </c>
      <c r="O1030" s="6" t="n">
        <v>2266</v>
      </c>
      <c r="P1030" s="6" t="n">
        <v>1</v>
      </c>
      <c r="Q1030" s="6">
        <f>IF(OR(K1030="On time",K1030="Late",K1030="Very late"),1,0)</f>
        <v/>
      </c>
    </row>
    <row r="1031">
      <c r="A1031" s="10" t="inlineStr">
        <is>
          <t>DN319258</t>
        </is>
      </c>
      <c r="B1031" s="10" t="inlineStr">
        <is>
          <t>SO63136</t>
        </is>
      </c>
      <c r="C1031" s="10" t="inlineStr">
        <is>
          <t>C10982</t>
        </is>
      </c>
      <c r="D1031" s="10">
        <f>INDEX(Customers!$B:$B,MATCH(C1031,Customers!$A:$A,0))</f>
        <v/>
      </c>
      <c r="E1031" s="10">
        <f>INDEX(Customers!$D:$D,MATCH(C1031,Customers!$A:$A,0))</f>
        <v/>
      </c>
      <c r="F1031" s="10" t="inlineStr">
        <is>
          <t>Own trucks</t>
        </is>
      </c>
      <c r="G1031" s="5" t="n">
        <v>46269</v>
      </c>
      <c r="H1031" s="5" t="n">
        <v>46272</v>
      </c>
      <c r="I1031" s="5" t="n">
        <v>46272</v>
      </c>
      <c r="J1031" s="10" t="inlineStr">
        <is>
          <t>15:00</t>
        </is>
      </c>
      <c r="K1031" s="10" t="inlineStr">
        <is>
          <t>On time</t>
        </is>
      </c>
      <c r="L1031" s="6" t="n">
        <v>0</v>
      </c>
      <c r="M1031" s="10" t="n"/>
      <c r="N1031" s="6" t="n">
        <v>12</v>
      </c>
      <c r="O1031" s="6" t="n">
        <v>1320</v>
      </c>
      <c r="P1031" s="6" t="n">
        <v>1</v>
      </c>
      <c r="Q1031" s="6">
        <f>IF(OR(K1031="On time",K1031="Late",K1031="Very late"),1,0)</f>
        <v/>
      </c>
    </row>
    <row r="1032">
      <c r="A1032" s="10" t="inlineStr">
        <is>
          <t>DN319259</t>
        </is>
      </c>
      <c r="B1032" s="10" t="inlineStr">
        <is>
          <t>SO63137</t>
        </is>
      </c>
      <c r="C1032" s="10" t="inlineStr">
        <is>
          <t>C11049</t>
        </is>
      </c>
      <c r="D1032" s="10">
        <f>INDEX(Customers!$B:$B,MATCH(C1032,Customers!$A:$A,0))</f>
        <v/>
      </c>
      <c r="E1032" s="10">
        <f>INDEX(Customers!$D:$D,MATCH(C1032,Customers!$A:$A,0))</f>
        <v/>
      </c>
      <c r="F1032" s="10" t="inlineStr">
        <is>
          <t>Own trucks</t>
        </is>
      </c>
      <c r="G1032" s="5" t="n">
        <v>46269</v>
      </c>
      <c r="H1032" s="5" t="n">
        <v>46272</v>
      </c>
      <c r="I1032" s="5" t="n">
        <v>46272</v>
      </c>
      <c r="J1032" s="10" t="inlineStr">
        <is>
          <t>10:20</t>
        </is>
      </c>
      <c r="K1032" s="10" t="inlineStr">
        <is>
          <t>On time</t>
        </is>
      </c>
      <c r="L1032" s="6" t="n">
        <v>0</v>
      </c>
      <c r="M1032" s="10" t="n"/>
      <c r="N1032" s="6" t="n">
        <v>19</v>
      </c>
      <c r="O1032" s="6" t="n">
        <v>1558</v>
      </c>
      <c r="P1032" s="6" t="n">
        <v>1</v>
      </c>
      <c r="Q1032" s="6">
        <f>IF(OR(K1032="On time",K1032="Late",K1032="Very late"),1,0)</f>
        <v/>
      </c>
    </row>
    <row r="1033">
      <c r="A1033" s="10" t="inlineStr">
        <is>
          <t>DN319260</t>
        </is>
      </c>
      <c r="B1033" s="10" t="inlineStr">
        <is>
          <t>SO63138</t>
        </is>
      </c>
      <c r="C1033" s="10" t="inlineStr">
        <is>
          <t>C11107</t>
        </is>
      </c>
      <c r="D1033" s="10">
        <f>INDEX(Customers!$B:$B,MATCH(C1033,Customers!$A:$A,0))</f>
        <v/>
      </c>
      <c r="E1033" s="10">
        <f>INDEX(Customers!$D:$D,MATCH(C1033,Customers!$A:$A,0))</f>
        <v/>
      </c>
      <c r="F1033" s="10" t="inlineStr">
        <is>
          <t>Own trucks</t>
        </is>
      </c>
      <c r="G1033" s="5" t="n">
        <v>46269</v>
      </c>
      <c r="H1033" s="5" t="n">
        <v>46272</v>
      </c>
      <c r="I1033" s="5" t="n">
        <v>46272</v>
      </c>
      <c r="J1033" s="10" t="inlineStr">
        <is>
          <t>11:20</t>
        </is>
      </c>
      <c r="K1033" s="10" t="inlineStr">
        <is>
          <t>On time</t>
        </is>
      </c>
      <c r="L1033" s="6" t="n">
        <v>0</v>
      </c>
      <c r="M1033" s="10" t="n"/>
      <c r="N1033" s="6" t="n">
        <v>9</v>
      </c>
      <c r="O1033" s="6" t="n">
        <v>657</v>
      </c>
      <c r="P1033" s="6" t="n">
        <v>1</v>
      </c>
      <c r="Q1033" s="6">
        <f>IF(OR(K1033="On time",K1033="Late",K1033="Very late"),1,0)</f>
        <v/>
      </c>
    </row>
    <row r="1034">
      <c r="A1034" s="10" t="inlineStr">
        <is>
          <t>DN319261</t>
        </is>
      </c>
      <c r="B1034" s="10" t="inlineStr">
        <is>
          <t>SO63140</t>
        </is>
      </c>
      <c r="C1034" s="10" t="inlineStr">
        <is>
          <t>C11247</t>
        </is>
      </c>
      <c r="D1034" s="10">
        <f>INDEX(Customers!$B:$B,MATCH(C1034,Customers!$A:$A,0))</f>
        <v/>
      </c>
      <c r="E1034" s="10">
        <f>INDEX(Customers!$D:$D,MATCH(C1034,Customers!$A:$A,0))</f>
        <v/>
      </c>
      <c r="F1034" s="10" t="inlineStr">
        <is>
          <t>Own trucks</t>
        </is>
      </c>
      <c r="G1034" s="5" t="n">
        <v>46269</v>
      </c>
      <c r="H1034" s="5" t="n">
        <v>46272</v>
      </c>
      <c r="I1034" s="5" t="n">
        <v>46272</v>
      </c>
      <c r="J1034" s="10" t="inlineStr">
        <is>
          <t>15:00</t>
        </is>
      </c>
      <c r="K1034" s="10" t="inlineStr">
        <is>
          <t>On time</t>
        </is>
      </c>
      <c r="L1034" s="6" t="n">
        <v>0</v>
      </c>
      <c r="M1034" s="10" t="n"/>
      <c r="N1034" s="6" t="n">
        <v>17</v>
      </c>
      <c r="O1034" s="6" t="n">
        <v>1972</v>
      </c>
      <c r="P1034" s="6" t="n">
        <v>1</v>
      </c>
      <c r="Q1034" s="6">
        <f>IF(OR(K1034="On time",K1034="Late",K1034="Very late"),1,0)</f>
        <v/>
      </c>
    </row>
    <row r="1035">
      <c r="A1035" s="10" t="inlineStr">
        <is>
          <t>DN319262</t>
        </is>
      </c>
      <c r="B1035" s="10" t="inlineStr">
        <is>
          <t>SO63141</t>
        </is>
      </c>
      <c r="C1035" s="10" t="inlineStr">
        <is>
          <t>C11264</t>
        </is>
      </c>
      <c r="D1035" s="10">
        <f>INDEX(Customers!$B:$B,MATCH(C1035,Customers!$A:$A,0))</f>
        <v/>
      </c>
      <c r="E1035" s="10">
        <f>INDEX(Customers!$D:$D,MATCH(C1035,Customers!$A:$A,0))</f>
        <v/>
      </c>
      <c r="F1035" s="10" t="inlineStr">
        <is>
          <t>Own trucks</t>
        </is>
      </c>
      <c r="G1035" s="5" t="n">
        <v>46269</v>
      </c>
      <c r="H1035" s="5" t="n">
        <v>46272</v>
      </c>
      <c r="I1035" s="5" t="n">
        <v>46272</v>
      </c>
      <c r="J1035" s="10" t="inlineStr">
        <is>
          <t>07:40</t>
        </is>
      </c>
      <c r="K1035" s="10" t="inlineStr">
        <is>
          <t>On time</t>
        </is>
      </c>
      <c r="L1035" s="6" t="n">
        <v>0</v>
      </c>
      <c r="M1035" s="10" t="n"/>
      <c r="N1035" s="6" t="n">
        <v>7</v>
      </c>
      <c r="O1035" s="6" t="n">
        <v>938</v>
      </c>
      <c r="P1035" s="6" t="n">
        <v>1</v>
      </c>
      <c r="Q1035" s="6">
        <f>IF(OR(K1035="On time",K1035="Late",K1035="Very late"),1,0)</f>
        <v/>
      </c>
    </row>
    <row r="1036">
      <c r="A1036" s="10" t="inlineStr">
        <is>
          <t>DN319263</t>
        </is>
      </c>
      <c r="B1036" s="10" t="inlineStr">
        <is>
          <t>SO63142</t>
        </is>
      </c>
      <c r="C1036" s="10" t="inlineStr">
        <is>
          <t>C11314</t>
        </is>
      </c>
      <c r="D1036" s="10">
        <f>INDEX(Customers!$B:$B,MATCH(C1036,Customers!$A:$A,0))</f>
        <v/>
      </c>
      <c r="E1036" s="10">
        <f>INDEX(Customers!$D:$D,MATCH(C1036,Customers!$A:$A,0))</f>
        <v/>
      </c>
      <c r="F1036" s="10" t="inlineStr">
        <is>
          <t>Own trucks</t>
        </is>
      </c>
      <c r="G1036" s="5" t="n">
        <v>46269</v>
      </c>
      <c r="H1036" s="5" t="n">
        <v>46272</v>
      </c>
      <c r="I1036" s="5" t="n">
        <v>46272</v>
      </c>
      <c r="J1036" s="10" t="inlineStr">
        <is>
          <t>12:20</t>
        </is>
      </c>
      <c r="K1036" s="10" t="inlineStr">
        <is>
          <t>On time</t>
        </is>
      </c>
      <c r="L1036" s="6" t="n">
        <v>0</v>
      </c>
      <c r="M1036" s="10" t="n"/>
      <c r="N1036" s="6" t="n">
        <v>22</v>
      </c>
      <c r="O1036" s="6" t="n">
        <v>1804</v>
      </c>
      <c r="P1036" s="6" t="n">
        <v>1</v>
      </c>
      <c r="Q1036" s="6">
        <f>IF(OR(K1036="On time",K1036="Late",K1036="Very late"),1,0)</f>
        <v/>
      </c>
    </row>
    <row r="1037">
      <c r="A1037" s="10" t="inlineStr">
        <is>
          <t>DN319264</t>
        </is>
      </c>
      <c r="B1037" s="10" t="inlineStr">
        <is>
          <t>SO63144</t>
        </is>
      </c>
      <c r="C1037" s="10" t="inlineStr">
        <is>
          <t>C11333</t>
        </is>
      </c>
      <c r="D1037" s="10">
        <f>INDEX(Customers!$B:$B,MATCH(C1037,Customers!$A:$A,0))</f>
        <v/>
      </c>
      <c r="E1037" s="10">
        <f>INDEX(Customers!$D:$D,MATCH(C1037,Customers!$A:$A,0))</f>
        <v/>
      </c>
      <c r="F1037" s="10" t="inlineStr">
        <is>
          <t>Own trucks</t>
        </is>
      </c>
      <c r="G1037" s="5" t="n">
        <v>46269</v>
      </c>
      <c r="H1037" s="5" t="n">
        <v>46272</v>
      </c>
      <c r="I1037" s="5" t="n">
        <v>46272</v>
      </c>
      <c r="J1037" s="10" t="inlineStr">
        <is>
          <t>10:00</t>
        </is>
      </c>
      <c r="K1037" s="10" t="inlineStr">
        <is>
          <t>On time</t>
        </is>
      </c>
      <c r="L1037" s="6" t="n">
        <v>0</v>
      </c>
      <c r="M1037" s="10" t="n"/>
      <c r="N1037" s="6" t="n">
        <v>31</v>
      </c>
      <c r="O1037" s="6" t="n">
        <v>2790</v>
      </c>
      <c r="P1037" s="6" t="n">
        <v>1</v>
      </c>
      <c r="Q1037" s="6">
        <f>IF(OR(K1037="On time",K1037="Late",K1037="Very late"),1,0)</f>
        <v/>
      </c>
    </row>
    <row r="1038">
      <c r="A1038" s="10" t="inlineStr">
        <is>
          <t>DN319265</t>
        </is>
      </c>
      <c r="B1038" s="10" t="inlineStr">
        <is>
          <t>SO63145</t>
        </is>
      </c>
      <c r="C1038" s="10" t="inlineStr">
        <is>
          <t>C11463</t>
        </is>
      </c>
      <c r="D1038" s="10">
        <f>INDEX(Customers!$B:$B,MATCH(C1038,Customers!$A:$A,0))</f>
        <v/>
      </c>
      <c r="E1038" s="10">
        <f>INDEX(Customers!$D:$D,MATCH(C1038,Customers!$A:$A,0))</f>
        <v/>
      </c>
      <c r="F1038" s="10" t="inlineStr">
        <is>
          <t>Own trucks</t>
        </is>
      </c>
      <c r="G1038" s="5" t="n">
        <v>46269</v>
      </c>
      <c r="H1038" s="5" t="n">
        <v>46272</v>
      </c>
      <c r="I1038" s="5" t="n">
        <v>46273</v>
      </c>
      <c r="J1038" s="10" t="inlineStr">
        <is>
          <t>15:20</t>
        </is>
      </c>
      <c r="K1038" s="10" t="inlineStr">
        <is>
          <t>Late</t>
        </is>
      </c>
      <c r="L1038" s="6" t="n">
        <v>1</v>
      </c>
      <c r="M1038" s="10" t="inlineStr">
        <is>
          <t>Carrier delay</t>
        </is>
      </c>
      <c r="N1038" s="6" t="n">
        <v>14</v>
      </c>
      <c r="O1038" s="6" t="n">
        <v>1666</v>
      </c>
      <c r="P1038" s="6" t="n">
        <v>1</v>
      </c>
      <c r="Q1038" s="6">
        <f>IF(OR(K1038="On time",K1038="Late",K1038="Very late"),1,0)</f>
        <v/>
      </c>
    </row>
    <row r="1039">
      <c r="A1039" s="10" t="inlineStr">
        <is>
          <t>DN319266</t>
        </is>
      </c>
      <c r="B1039" s="10" t="inlineStr">
        <is>
          <t>SO63146</t>
        </is>
      </c>
      <c r="C1039" s="10" t="inlineStr">
        <is>
          <t>C11518</t>
        </is>
      </c>
      <c r="D1039" s="10">
        <f>INDEX(Customers!$B:$B,MATCH(C1039,Customers!$A:$A,0))</f>
        <v/>
      </c>
      <c r="E1039" s="10">
        <f>INDEX(Customers!$D:$D,MATCH(C1039,Customers!$A:$A,0))</f>
        <v/>
      </c>
      <c r="F1039" s="10" t="inlineStr">
        <is>
          <t>Own trucks</t>
        </is>
      </c>
      <c r="G1039" s="5" t="n">
        <v>46269</v>
      </c>
      <c r="H1039" s="5" t="n">
        <v>46272</v>
      </c>
      <c r="I1039" s="5" t="n">
        <v>46272</v>
      </c>
      <c r="J1039" s="10" t="inlineStr">
        <is>
          <t>10:40</t>
        </is>
      </c>
      <c r="K1039" s="10" t="inlineStr">
        <is>
          <t>On time</t>
        </is>
      </c>
      <c r="L1039" s="6" t="n">
        <v>0</v>
      </c>
      <c r="M1039" s="10" t="n"/>
      <c r="N1039" s="6" t="n">
        <v>19</v>
      </c>
      <c r="O1039" s="6" t="n">
        <v>2622</v>
      </c>
      <c r="P1039" s="6" t="n">
        <v>1</v>
      </c>
      <c r="Q1039" s="6">
        <f>IF(OR(K1039="On time",K1039="Late",K1039="Very late"),1,0)</f>
        <v/>
      </c>
    </row>
    <row r="1040">
      <c r="A1040" s="10" t="inlineStr">
        <is>
          <t>DN319267</t>
        </is>
      </c>
      <c r="B1040" s="10" t="inlineStr">
        <is>
          <t>SO63147</t>
        </is>
      </c>
      <c r="C1040" s="10" t="inlineStr">
        <is>
          <t>C11579</t>
        </is>
      </c>
      <c r="D1040" s="10">
        <f>INDEX(Customers!$B:$B,MATCH(C1040,Customers!$A:$A,0))</f>
        <v/>
      </c>
      <c r="E1040" s="10">
        <f>INDEX(Customers!$D:$D,MATCH(C1040,Customers!$A:$A,0))</f>
        <v/>
      </c>
      <c r="F1040" s="10" t="inlineStr">
        <is>
          <t>Own trucks</t>
        </is>
      </c>
      <c r="G1040" s="5" t="n">
        <v>46269</v>
      </c>
      <c r="H1040" s="5" t="n">
        <v>46272</v>
      </c>
      <c r="I1040" s="5" t="n">
        <v>46272</v>
      </c>
      <c r="J1040" s="10" t="inlineStr">
        <is>
          <t>14:10</t>
        </is>
      </c>
      <c r="K1040" s="10" t="inlineStr">
        <is>
          <t>On time</t>
        </is>
      </c>
      <c r="L1040" s="6" t="n">
        <v>0</v>
      </c>
      <c r="M1040" s="10" t="n"/>
      <c r="N1040" s="6" t="n">
        <v>27</v>
      </c>
      <c r="O1040" s="6" t="n">
        <v>1647</v>
      </c>
      <c r="P1040" s="6" t="n">
        <v>1</v>
      </c>
      <c r="Q1040" s="6">
        <f>IF(OR(K1040="On time",K1040="Late",K1040="Very late"),1,0)</f>
        <v/>
      </c>
    </row>
    <row r="1041">
      <c r="A1041" s="10" t="inlineStr">
        <is>
          <t>DN319268</t>
        </is>
      </c>
      <c r="B1041" s="10" t="inlineStr">
        <is>
          <t>SO63148</t>
        </is>
      </c>
      <c r="C1041" s="10" t="inlineStr">
        <is>
          <t>C11616</t>
        </is>
      </c>
      <c r="D1041" s="10">
        <f>INDEX(Customers!$B:$B,MATCH(C1041,Customers!$A:$A,0))</f>
        <v/>
      </c>
      <c r="E1041" s="10">
        <f>INDEX(Customers!$D:$D,MATCH(C1041,Customers!$A:$A,0))</f>
        <v/>
      </c>
      <c r="F1041" s="10" t="inlineStr">
        <is>
          <t>Own trucks</t>
        </is>
      </c>
      <c r="G1041" s="5" t="n">
        <v>46269</v>
      </c>
      <c r="H1041" s="5" t="n">
        <v>46272</v>
      </c>
      <c r="I1041" s="5" t="n">
        <v>46272</v>
      </c>
      <c r="J1041" s="10" t="inlineStr">
        <is>
          <t>11:50</t>
        </is>
      </c>
      <c r="K1041" s="10" t="inlineStr">
        <is>
          <t>On time</t>
        </is>
      </c>
      <c r="L1041" s="6" t="n">
        <v>0</v>
      </c>
      <c r="M1041" s="10" t="n"/>
      <c r="N1041" s="6" t="n">
        <v>33</v>
      </c>
      <c r="O1041" s="6" t="n">
        <v>3168</v>
      </c>
      <c r="P1041" s="6" t="n">
        <v>1</v>
      </c>
      <c r="Q1041" s="6">
        <f>IF(OR(K1041="On time",K1041="Late",K1041="Very late"),1,0)</f>
        <v/>
      </c>
    </row>
    <row r="1042">
      <c r="A1042" s="10" t="inlineStr">
        <is>
          <t>DN319269</t>
        </is>
      </c>
      <c r="B1042" s="10" t="inlineStr">
        <is>
          <t>SO63149</t>
        </is>
      </c>
      <c r="C1042" s="10" t="inlineStr">
        <is>
          <t>C11666</t>
        </is>
      </c>
      <c r="D1042" s="10">
        <f>INDEX(Customers!$B:$B,MATCH(C1042,Customers!$A:$A,0))</f>
        <v/>
      </c>
      <c r="E1042" s="10">
        <f>INDEX(Customers!$D:$D,MATCH(C1042,Customers!$A:$A,0))</f>
        <v/>
      </c>
      <c r="F1042" s="10" t="inlineStr">
        <is>
          <t>Own trucks</t>
        </is>
      </c>
      <c r="G1042" s="5" t="n">
        <v>46269</v>
      </c>
      <c r="H1042" s="5" t="n">
        <v>46272</v>
      </c>
      <c r="I1042" s="5" t="n">
        <v>46272</v>
      </c>
      <c r="J1042" s="10" t="inlineStr">
        <is>
          <t>14:50</t>
        </is>
      </c>
      <c r="K1042" s="10" t="inlineStr">
        <is>
          <t>On time</t>
        </is>
      </c>
      <c r="L1042" s="6" t="n">
        <v>0</v>
      </c>
      <c r="M1042" s="10" t="n"/>
      <c r="N1042" s="6" t="n">
        <v>8</v>
      </c>
      <c r="O1042" s="6" t="n">
        <v>864</v>
      </c>
      <c r="P1042" s="6" t="n">
        <v>1</v>
      </c>
      <c r="Q1042" s="6">
        <f>IF(OR(K1042="On time",K1042="Late",K1042="Very late"),1,0)</f>
        <v/>
      </c>
    </row>
    <row r="1043">
      <c r="A1043" s="10" t="inlineStr">
        <is>
          <t>DN319270</t>
        </is>
      </c>
      <c r="B1043" s="10" t="inlineStr">
        <is>
          <t>SO63150</t>
        </is>
      </c>
      <c r="C1043" s="10" t="inlineStr">
        <is>
          <t>C11798</t>
        </is>
      </c>
      <c r="D1043" s="10">
        <f>INDEX(Customers!$B:$B,MATCH(C1043,Customers!$A:$A,0))</f>
        <v/>
      </c>
      <c r="E1043" s="10">
        <f>INDEX(Customers!$D:$D,MATCH(C1043,Customers!$A:$A,0))</f>
        <v/>
      </c>
      <c r="F1043" s="10" t="inlineStr">
        <is>
          <t>Carrier A</t>
        </is>
      </c>
      <c r="G1043" s="5" t="n">
        <v>46269</v>
      </c>
      <c r="H1043" s="5" t="n">
        <v>46272</v>
      </c>
      <c r="I1043" s="5" t="n">
        <v>46272</v>
      </c>
      <c r="J1043" s="10" t="inlineStr">
        <is>
          <t>08:40</t>
        </is>
      </c>
      <c r="K1043" s="10" t="inlineStr">
        <is>
          <t>On time</t>
        </is>
      </c>
      <c r="L1043" s="6" t="n">
        <v>0</v>
      </c>
      <c r="M1043" s="10" t="n"/>
      <c r="N1043" s="6" t="n">
        <v>22</v>
      </c>
      <c r="O1043" s="6" t="n">
        <v>3014</v>
      </c>
      <c r="P1043" s="6" t="n">
        <v>1</v>
      </c>
      <c r="Q1043" s="6">
        <f>IF(OR(K1043="On time",K1043="Late",K1043="Very late"),1,0)</f>
        <v/>
      </c>
    </row>
    <row r="1044">
      <c r="A1044" s="10" t="inlineStr">
        <is>
          <t>DN319271</t>
        </is>
      </c>
      <c r="B1044" s="10" t="inlineStr">
        <is>
          <t>SO63152</t>
        </is>
      </c>
      <c r="C1044" s="10" t="inlineStr">
        <is>
          <t>C11858</t>
        </is>
      </c>
      <c r="D1044" s="10">
        <f>INDEX(Customers!$B:$B,MATCH(C1044,Customers!$A:$A,0))</f>
        <v/>
      </c>
      <c r="E1044" s="10">
        <f>INDEX(Customers!$D:$D,MATCH(C1044,Customers!$A:$A,0))</f>
        <v/>
      </c>
      <c r="F1044" s="10" t="inlineStr">
        <is>
          <t>Carrier A</t>
        </is>
      </c>
      <c r="G1044" s="5" t="n">
        <v>46269</v>
      </c>
      <c r="H1044" s="5" t="n">
        <v>46272</v>
      </c>
      <c r="I1044" s="5" t="n">
        <v>46272</v>
      </c>
      <c r="J1044" s="10" t="inlineStr">
        <is>
          <t>08:30</t>
        </is>
      </c>
      <c r="K1044" s="10" t="inlineStr">
        <is>
          <t>On time</t>
        </is>
      </c>
      <c r="L1044" s="6" t="n">
        <v>0</v>
      </c>
      <c r="M1044" s="10" t="n"/>
      <c r="N1044" s="6" t="n">
        <v>21</v>
      </c>
      <c r="O1044" s="6" t="n">
        <v>1785</v>
      </c>
      <c r="P1044" s="6" t="n">
        <v>1</v>
      </c>
      <c r="Q1044" s="6">
        <f>IF(OR(K1044="On time",K1044="Late",K1044="Very late"),1,0)</f>
        <v/>
      </c>
    </row>
    <row r="1045">
      <c r="A1045" s="10" t="inlineStr">
        <is>
          <t>DN319272</t>
        </is>
      </c>
      <c r="B1045" s="10" t="inlineStr">
        <is>
          <t>SO63153</t>
        </is>
      </c>
      <c r="C1045" s="10" t="inlineStr">
        <is>
          <t>C11950</t>
        </is>
      </c>
      <c r="D1045" s="10">
        <f>INDEX(Customers!$B:$B,MATCH(C1045,Customers!$A:$A,0))</f>
        <v/>
      </c>
      <c r="E1045" s="10">
        <f>INDEX(Customers!$D:$D,MATCH(C1045,Customers!$A:$A,0))</f>
        <v/>
      </c>
      <c r="F1045" s="10" t="inlineStr">
        <is>
          <t>Carrier A</t>
        </is>
      </c>
      <c r="G1045" s="5" t="n">
        <v>46269</v>
      </c>
      <c r="H1045" s="5" t="n">
        <v>46272</v>
      </c>
      <c r="I1045" s="5" t="n">
        <v>46272</v>
      </c>
      <c r="J1045" s="10" t="inlineStr">
        <is>
          <t>08:20</t>
        </is>
      </c>
      <c r="K1045" s="10" t="inlineStr">
        <is>
          <t>On time</t>
        </is>
      </c>
      <c r="L1045" s="6" t="n">
        <v>0</v>
      </c>
      <c r="M1045" s="10" t="n"/>
      <c r="N1045" s="6" t="n">
        <v>23</v>
      </c>
      <c r="O1045" s="6" t="n">
        <v>1610</v>
      </c>
      <c r="P1045" s="6" t="n">
        <v>0</v>
      </c>
      <c r="Q1045" s="6">
        <f>IF(OR(K1045="On time",K1045="Late",K1045="Very late"),1,0)</f>
        <v/>
      </c>
    </row>
    <row r="1046">
      <c r="A1046" s="10" t="inlineStr">
        <is>
          <t>DN319273</t>
        </is>
      </c>
      <c r="B1046" s="10" t="inlineStr">
        <is>
          <t>SO63154</t>
        </is>
      </c>
      <c r="C1046" s="10" t="inlineStr">
        <is>
          <t>C11971</t>
        </is>
      </c>
      <c r="D1046" s="10">
        <f>INDEX(Customers!$B:$B,MATCH(C1046,Customers!$A:$A,0))</f>
        <v/>
      </c>
      <c r="E1046" s="10">
        <f>INDEX(Customers!$D:$D,MATCH(C1046,Customers!$A:$A,0))</f>
        <v/>
      </c>
      <c r="F1046" s="10" t="inlineStr">
        <is>
          <t>Own trucks</t>
        </is>
      </c>
      <c r="G1046" s="5" t="n">
        <v>46269</v>
      </c>
      <c r="H1046" s="5" t="n">
        <v>46272</v>
      </c>
      <c r="I1046" s="5" t="n">
        <v>46272</v>
      </c>
      <c r="J1046" s="10" t="inlineStr">
        <is>
          <t>09:30</t>
        </is>
      </c>
      <c r="K1046" s="10" t="inlineStr">
        <is>
          <t>On time</t>
        </is>
      </c>
      <c r="L1046" s="6" t="n">
        <v>0</v>
      </c>
      <c r="M1046" s="10" t="n"/>
      <c r="N1046" s="6" t="n">
        <v>6</v>
      </c>
      <c r="O1046" s="6" t="n">
        <v>780</v>
      </c>
      <c r="P1046" s="6" t="n">
        <v>1</v>
      </c>
      <c r="Q1046" s="6">
        <f>IF(OR(K1046="On time",K1046="Late",K1046="Very late"),1,0)</f>
        <v/>
      </c>
    </row>
    <row r="1047">
      <c r="A1047" s="10" t="inlineStr">
        <is>
          <t>DN319274</t>
        </is>
      </c>
      <c r="B1047" s="10" t="inlineStr">
        <is>
          <t>SO63155</t>
        </is>
      </c>
      <c r="C1047" s="10" t="inlineStr">
        <is>
          <t>C11982</t>
        </is>
      </c>
      <c r="D1047" s="10">
        <f>INDEX(Customers!$B:$B,MATCH(C1047,Customers!$A:$A,0))</f>
        <v/>
      </c>
      <c r="E1047" s="10">
        <f>INDEX(Customers!$D:$D,MATCH(C1047,Customers!$A:$A,0))</f>
        <v/>
      </c>
      <c r="F1047" s="10" t="inlineStr">
        <is>
          <t>Own trucks</t>
        </is>
      </c>
      <c r="G1047" s="5" t="n">
        <v>46269</v>
      </c>
      <c r="H1047" s="5" t="n">
        <v>46272</v>
      </c>
      <c r="I1047" s="5" t="n">
        <v>46272</v>
      </c>
      <c r="J1047" s="10" t="inlineStr">
        <is>
          <t>13:20</t>
        </is>
      </c>
      <c r="K1047" s="10" t="inlineStr">
        <is>
          <t>On time</t>
        </is>
      </c>
      <c r="L1047" s="6" t="n">
        <v>0</v>
      </c>
      <c r="M1047" s="10" t="n"/>
      <c r="N1047" s="6" t="n">
        <v>22</v>
      </c>
      <c r="O1047" s="6" t="n">
        <v>1276</v>
      </c>
      <c r="P1047" s="6" t="n">
        <v>1</v>
      </c>
      <c r="Q1047" s="6">
        <f>IF(OR(K1047="On time",K1047="Late",K1047="Very late"),1,0)</f>
        <v/>
      </c>
    </row>
    <row r="1048">
      <c r="A1048" s="10" t="inlineStr">
        <is>
          <t>DN319275</t>
        </is>
      </c>
      <c r="B1048" s="10" t="inlineStr">
        <is>
          <t>SO63157</t>
        </is>
      </c>
      <c r="C1048" s="10" t="inlineStr">
        <is>
          <t>C12037</t>
        </is>
      </c>
      <c r="D1048" s="10">
        <f>INDEX(Customers!$B:$B,MATCH(C1048,Customers!$A:$A,0))</f>
        <v/>
      </c>
      <c r="E1048" s="10">
        <f>INDEX(Customers!$D:$D,MATCH(C1048,Customers!$A:$A,0))</f>
        <v/>
      </c>
      <c r="F1048" s="10" t="inlineStr">
        <is>
          <t>Own trucks</t>
        </is>
      </c>
      <c r="G1048" s="5" t="n">
        <v>46269</v>
      </c>
      <c r="H1048" s="5" t="n">
        <v>46272</v>
      </c>
      <c r="I1048" s="5" t="n">
        <v>46272</v>
      </c>
      <c r="J1048" s="10" t="inlineStr">
        <is>
          <t>07:10</t>
        </is>
      </c>
      <c r="K1048" s="10" t="inlineStr">
        <is>
          <t>On time</t>
        </is>
      </c>
      <c r="L1048" s="6" t="n">
        <v>0</v>
      </c>
      <c r="M1048" s="10" t="n"/>
      <c r="N1048" s="6" t="n">
        <v>6</v>
      </c>
      <c r="O1048" s="6" t="n">
        <v>540</v>
      </c>
      <c r="P1048" s="6" t="n">
        <v>1</v>
      </c>
      <c r="Q1048" s="6">
        <f>IF(OR(K1048="On time",K1048="Late",K1048="Very late"),1,0)</f>
        <v/>
      </c>
    </row>
    <row r="1049">
      <c r="A1049" s="10" t="inlineStr">
        <is>
          <t>DN319276</t>
        </is>
      </c>
      <c r="B1049" s="10" t="inlineStr">
        <is>
          <t>SO63158</t>
        </is>
      </c>
      <c r="C1049" s="10" t="inlineStr">
        <is>
          <t>C12103</t>
        </is>
      </c>
      <c r="D1049" s="10">
        <f>INDEX(Customers!$B:$B,MATCH(C1049,Customers!$A:$A,0))</f>
        <v/>
      </c>
      <c r="E1049" s="10">
        <f>INDEX(Customers!$D:$D,MATCH(C1049,Customers!$A:$A,0))</f>
        <v/>
      </c>
      <c r="F1049" s="10" t="inlineStr">
        <is>
          <t>Own trucks</t>
        </is>
      </c>
      <c r="G1049" s="5" t="n">
        <v>46269</v>
      </c>
      <c r="H1049" s="5" t="n">
        <v>46272</v>
      </c>
      <c r="I1049" s="5" t="n">
        <v>46272</v>
      </c>
      <c r="J1049" s="10" t="inlineStr">
        <is>
          <t>10:50</t>
        </is>
      </c>
      <c r="K1049" s="10" t="inlineStr">
        <is>
          <t>On time</t>
        </is>
      </c>
      <c r="L1049" s="6" t="n">
        <v>0</v>
      </c>
      <c r="M1049" s="10" t="n"/>
      <c r="N1049" s="6" t="n">
        <v>17</v>
      </c>
      <c r="O1049" s="6" t="n">
        <v>1037</v>
      </c>
      <c r="P1049" s="6" t="n">
        <v>1</v>
      </c>
      <c r="Q1049" s="6">
        <f>IF(OR(K1049="On time",K1049="Late",K1049="Very late"),1,0)</f>
        <v/>
      </c>
    </row>
    <row r="1050">
      <c r="A1050" s="10" t="inlineStr">
        <is>
          <t>DN319277</t>
        </is>
      </c>
      <c r="B1050" s="10" t="inlineStr">
        <is>
          <t>SO63160</t>
        </is>
      </c>
      <c r="C1050" s="10" t="inlineStr">
        <is>
          <t>C12239</t>
        </is>
      </c>
      <c r="D1050" s="10">
        <f>INDEX(Customers!$B:$B,MATCH(C1050,Customers!$A:$A,0))</f>
        <v/>
      </c>
      <c r="E1050" s="10">
        <f>INDEX(Customers!$D:$D,MATCH(C1050,Customers!$A:$A,0))</f>
        <v/>
      </c>
      <c r="F1050" s="10" t="inlineStr">
        <is>
          <t>Carrier B</t>
        </is>
      </c>
      <c r="G1050" s="5" t="n">
        <v>46269</v>
      </c>
      <c r="H1050" s="5" t="n">
        <v>46272</v>
      </c>
      <c r="I1050" s="5" t="n">
        <v>46272</v>
      </c>
      <c r="J1050" s="10" t="inlineStr">
        <is>
          <t>14:20</t>
        </is>
      </c>
      <c r="K1050" s="10" t="inlineStr">
        <is>
          <t>On time</t>
        </is>
      </c>
      <c r="L1050" s="6" t="n">
        <v>0</v>
      </c>
      <c r="M1050" s="10" t="n"/>
      <c r="N1050" s="6" t="n">
        <v>38</v>
      </c>
      <c r="O1050" s="6" t="n">
        <v>2926</v>
      </c>
      <c r="P1050" s="6" t="n">
        <v>1</v>
      </c>
      <c r="Q1050" s="6">
        <f>IF(OR(K1050="On time",K1050="Late",K1050="Very late"),1,0)</f>
        <v/>
      </c>
    </row>
    <row r="1051">
      <c r="A1051" s="10" t="inlineStr">
        <is>
          <t>DN319278</t>
        </is>
      </c>
      <c r="B1051" s="10" t="inlineStr">
        <is>
          <t>SO63161</t>
        </is>
      </c>
      <c r="C1051" s="10" t="inlineStr">
        <is>
          <t>C12262</t>
        </is>
      </c>
      <c r="D1051" s="10">
        <f>INDEX(Customers!$B:$B,MATCH(C1051,Customers!$A:$A,0))</f>
        <v/>
      </c>
      <c r="E1051" s="10">
        <f>INDEX(Customers!$D:$D,MATCH(C1051,Customers!$A:$A,0))</f>
        <v/>
      </c>
      <c r="F1051" s="10" t="inlineStr">
        <is>
          <t>Carrier B</t>
        </is>
      </c>
      <c r="G1051" s="5" t="n">
        <v>46269</v>
      </c>
      <c r="H1051" s="5" t="n">
        <v>46272</v>
      </c>
      <c r="I1051" s="5" t="n">
        <v>46272</v>
      </c>
      <c r="J1051" s="10" t="inlineStr">
        <is>
          <t>15:20</t>
        </is>
      </c>
      <c r="K1051" s="10" t="inlineStr">
        <is>
          <t>On time</t>
        </is>
      </c>
      <c r="L1051" s="6" t="n">
        <v>0</v>
      </c>
      <c r="M1051" s="10" t="n"/>
      <c r="N1051" s="6" t="n">
        <v>16</v>
      </c>
      <c r="O1051" s="6" t="n">
        <v>1776</v>
      </c>
      <c r="P1051" s="6" t="n">
        <v>1</v>
      </c>
      <c r="Q1051" s="6">
        <f>IF(OR(K1051="On time",K1051="Late",K1051="Very late"),1,0)</f>
        <v/>
      </c>
    </row>
    <row r="1052">
      <c r="A1052" s="10" t="inlineStr">
        <is>
          <t>DN319279</t>
        </is>
      </c>
      <c r="B1052" s="10" t="inlineStr">
        <is>
          <t>SO63162</t>
        </is>
      </c>
      <c r="C1052" s="10" t="inlineStr">
        <is>
          <t>C12305</t>
        </is>
      </c>
      <c r="D1052" s="10">
        <f>INDEX(Customers!$B:$B,MATCH(C1052,Customers!$A:$A,0))</f>
        <v/>
      </c>
      <c r="E1052" s="10">
        <f>INDEX(Customers!$D:$D,MATCH(C1052,Customers!$A:$A,0))</f>
        <v/>
      </c>
      <c r="F1052" s="10" t="inlineStr">
        <is>
          <t>Carrier B</t>
        </is>
      </c>
      <c r="G1052" s="5" t="n">
        <v>46269</v>
      </c>
      <c r="H1052" s="5" t="n">
        <v>46272</v>
      </c>
      <c r="I1052" s="5" t="n">
        <v>46274</v>
      </c>
      <c r="J1052" s="10" t="inlineStr">
        <is>
          <t>07:30</t>
        </is>
      </c>
      <c r="K1052" s="10" t="inlineStr">
        <is>
          <t>Very late</t>
        </is>
      </c>
      <c r="L1052" s="6" t="n">
        <v>2</v>
      </c>
      <c r="M1052" s="10" t="inlineStr">
        <is>
          <t>Run overloaded</t>
        </is>
      </c>
      <c r="N1052" s="6" t="n">
        <v>6</v>
      </c>
      <c r="O1052" s="6" t="n">
        <v>786</v>
      </c>
      <c r="P1052" s="6" t="n">
        <v>0</v>
      </c>
      <c r="Q1052" s="6">
        <f>IF(OR(K1052="On time",K1052="Late",K1052="Very late"),1,0)</f>
        <v/>
      </c>
    </row>
    <row r="1053">
      <c r="A1053" s="10" t="inlineStr">
        <is>
          <t>DN319280</t>
        </is>
      </c>
      <c r="B1053" s="10" t="inlineStr">
        <is>
          <t>SO63163</t>
        </is>
      </c>
      <c r="C1053" s="10" t="inlineStr">
        <is>
          <t>C12393</t>
        </is>
      </c>
      <c r="D1053" s="10">
        <f>INDEX(Customers!$B:$B,MATCH(C1053,Customers!$A:$A,0))</f>
        <v/>
      </c>
      <c r="E1053" s="10">
        <f>INDEX(Customers!$D:$D,MATCH(C1053,Customers!$A:$A,0))</f>
        <v/>
      </c>
      <c r="F1053" s="10" t="inlineStr">
        <is>
          <t>Carrier A</t>
        </is>
      </c>
      <c r="G1053" s="5" t="n">
        <v>46269</v>
      </c>
      <c r="H1053" s="5" t="n">
        <v>46272</v>
      </c>
      <c r="I1053" s="5" t="n">
        <v>46272</v>
      </c>
      <c r="J1053" s="10" t="inlineStr">
        <is>
          <t>10:50</t>
        </is>
      </c>
      <c r="K1053" s="10" t="inlineStr">
        <is>
          <t>On time</t>
        </is>
      </c>
      <c r="L1053" s="6" t="n">
        <v>0</v>
      </c>
      <c r="M1053" s="10" t="n"/>
      <c r="N1053" s="6" t="n">
        <v>16</v>
      </c>
      <c r="O1053" s="6" t="n">
        <v>1200</v>
      </c>
      <c r="P1053" s="6" t="n">
        <v>1</v>
      </c>
      <c r="Q1053" s="6">
        <f>IF(OR(K1053="On time",K1053="Late",K1053="Very late"),1,0)</f>
        <v/>
      </c>
    </row>
    <row r="1054">
      <c r="A1054" s="10" t="inlineStr">
        <is>
          <t>DN319281</t>
        </is>
      </c>
      <c r="B1054" s="10" t="inlineStr">
        <is>
          <t>SO63164</t>
        </is>
      </c>
      <c r="C1054" s="10" t="inlineStr">
        <is>
          <t>C12420</t>
        </is>
      </c>
      <c r="D1054" s="10">
        <f>INDEX(Customers!$B:$B,MATCH(C1054,Customers!$A:$A,0))</f>
        <v/>
      </c>
      <c r="E1054" s="10">
        <f>INDEX(Customers!$D:$D,MATCH(C1054,Customers!$A:$A,0))</f>
        <v/>
      </c>
      <c r="F1054" s="10" t="inlineStr">
        <is>
          <t>Carrier A</t>
        </is>
      </c>
      <c r="G1054" s="5" t="n">
        <v>46269</v>
      </c>
      <c r="H1054" s="5" t="n">
        <v>46272</v>
      </c>
      <c r="I1054" s="5" t="n">
        <v>46272</v>
      </c>
      <c r="J1054" s="10" t="inlineStr">
        <is>
          <t>07:40</t>
        </is>
      </c>
      <c r="K1054" s="10" t="inlineStr">
        <is>
          <t>On time</t>
        </is>
      </c>
      <c r="L1054" s="6" t="n">
        <v>0</v>
      </c>
      <c r="M1054" s="10" t="n"/>
      <c r="N1054" s="6" t="n">
        <v>26</v>
      </c>
      <c r="O1054" s="6" t="n">
        <v>2860</v>
      </c>
      <c r="P1054" s="6" t="n">
        <v>1</v>
      </c>
      <c r="Q1054" s="6">
        <f>IF(OR(K1054="On time",K1054="Late",K1054="Very late"),1,0)</f>
        <v/>
      </c>
    </row>
    <row r="1055">
      <c r="A1055" s="10" t="inlineStr">
        <is>
          <t>DN319282</t>
        </is>
      </c>
      <c r="B1055" s="10" t="inlineStr">
        <is>
          <t>SO63166</t>
        </is>
      </c>
      <c r="C1055" s="10" t="inlineStr">
        <is>
          <t>C12543</t>
        </is>
      </c>
      <c r="D1055" s="10">
        <f>INDEX(Customers!$B:$B,MATCH(C1055,Customers!$A:$A,0))</f>
        <v/>
      </c>
      <c r="E1055" s="10">
        <f>INDEX(Customers!$D:$D,MATCH(C1055,Customers!$A:$A,0))</f>
        <v/>
      </c>
      <c r="F1055" s="10" t="inlineStr">
        <is>
          <t>Carrier B</t>
        </is>
      </c>
      <c r="G1055" s="5" t="n">
        <v>46268</v>
      </c>
      <c r="H1055" s="5" t="n">
        <v>46272</v>
      </c>
      <c r="I1055" s="5" t="n">
        <v>46272</v>
      </c>
      <c r="J1055" s="10" t="inlineStr">
        <is>
          <t>08:40</t>
        </is>
      </c>
      <c r="K1055" s="10" t="inlineStr">
        <is>
          <t>On time</t>
        </is>
      </c>
      <c r="L1055" s="6" t="n">
        <v>0</v>
      </c>
      <c r="M1055" s="10" t="n"/>
      <c r="N1055" s="6" t="n">
        <v>18</v>
      </c>
      <c r="O1055" s="6" t="n">
        <v>1242</v>
      </c>
      <c r="P1055" s="6" t="n">
        <v>1</v>
      </c>
      <c r="Q1055" s="6">
        <f>IF(OR(K1055="On time",K1055="Late",K1055="Very late"),1,0)</f>
        <v/>
      </c>
    </row>
    <row r="1056">
      <c r="A1056" s="10" t="inlineStr">
        <is>
          <t>DN319283</t>
        </is>
      </c>
      <c r="B1056" s="10" t="inlineStr">
        <is>
          <t>SO63167</t>
        </is>
      </c>
      <c r="C1056" s="10" t="inlineStr">
        <is>
          <t>C12557</t>
        </is>
      </c>
      <c r="D1056" s="10">
        <f>INDEX(Customers!$B:$B,MATCH(C1056,Customers!$A:$A,0))</f>
        <v/>
      </c>
      <c r="E1056" s="10">
        <f>INDEX(Customers!$D:$D,MATCH(C1056,Customers!$A:$A,0))</f>
        <v/>
      </c>
      <c r="F1056" s="10" t="inlineStr">
        <is>
          <t>Carrier B</t>
        </is>
      </c>
      <c r="G1056" s="5" t="n">
        <v>46268</v>
      </c>
      <c r="H1056" s="5" t="n">
        <v>46272</v>
      </c>
      <c r="I1056" s="5" t="n">
        <v>46272</v>
      </c>
      <c r="J1056" s="10" t="inlineStr">
        <is>
          <t>14:00</t>
        </is>
      </c>
      <c r="K1056" s="10" t="inlineStr">
        <is>
          <t>On time</t>
        </is>
      </c>
      <c r="L1056" s="6" t="n">
        <v>0</v>
      </c>
      <c r="M1056" s="10" t="n"/>
      <c r="N1056" s="6" t="n">
        <v>4</v>
      </c>
      <c r="O1056" s="6" t="n">
        <v>556</v>
      </c>
      <c r="P1056" s="6" t="n">
        <v>1</v>
      </c>
      <c r="Q1056" s="6">
        <f>IF(OR(K1056="On time",K1056="Late",K1056="Very late"),1,0)</f>
        <v/>
      </c>
    </row>
    <row r="1057">
      <c r="A1057" s="10" t="inlineStr">
        <is>
          <t>DN319284</t>
        </is>
      </c>
      <c r="B1057" s="10" t="inlineStr">
        <is>
          <t>SO63168</t>
        </is>
      </c>
      <c r="C1057" s="10" t="inlineStr">
        <is>
          <t>C12617</t>
        </is>
      </c>
      <c r="D1057" s="10">
        <f>INDEX(Customers!$B:$B,MATCH(C1057,Customers!$A:$A,0))</f>
        <v/>
      </c>
      <c r="E1057" s="10">
        <f>INDEX(Customers!$D:$D,MATCH(C1057,Customers!$A:$A,0))</f>
        <v/>
      </c>
      <c r="F1057" s="10" t="inlineStr">
        <is>
          <t>Carrier B</t>
        </is>
      </c>
      <c r="G1057" s="5" t="n">
        <v>46268</v>
      </c>
      <c r="H1057" s="5" t="n">
        <v>46272</v>
      </c>
      <c r="I1057" s="5" t="n">
        <v>46272</v>
      </c>
      <c r="J1057" s="10" t="inlineStr">
        <is>
          <t>12:40</t>
        </is>
      </c>
      <c r="K1057" s="10" t="inlineStr">
        <is>
          <t>On time</t>
        </is>
      </c>
      <c r="L1057" s="6" t="n">
        <v>0</v>
      </c>
      <c r="M1057" s="10" t="n"/>
      <c r="N1057" s="6" t="n">
        <v>8</v>
      </c>
      <c r="O1057" s="6" t="n">
        <v>696</v>
      </c>
      <c r="P1057" s="6" t="n">
        <v>1</v>
      </c>
      <c r="Q1057" s="6">
        <f>IF(OR(K1057="On time",K1057="Late",K1057="Very late"),1,0)</f>
        <v/>
      </c>
    </row>
    <row r="1058">
      <c r="A1058" s="10" t="inlineStr">
        <is>
          <t>DN319285</t>
        </is>
      </c>
      <c r="B1058" s="10" t="inlineStr">
        <is>
          <t>SO63169</t>
        </is>
      </c>
      <c r="C1058" s="10" t="inlineStr">
        <is>
          <t>C12639</t>
        </is>
      </c>
      <c r="D1058" s="10">
        <f>INDEX(Customers!$B:$B,MATCH(C1058,Customers!$A:$A,0))</f>
        <v/>
      </c>
      <c r="E1058" s="10">
        <f>INDEX(Customers!$D:$D,MATCH(C1058,Customers!$A:$A,0))</f>
        <v/>
      </c>
      <c r="F1058" s="10" t="inlineStr">
        <is>
          <t>Carrier B</t>
        </is>
      </c>
      <c r="G1058" s="5" t="n">
        <v>46268</v>
      </c>
      <c r="H1058" s="5" t="n">
        <v>46272</v>
      </c>
      <c r="I1058" s="5" t="n">
        <v>46273</v>
      </c>
      <c r="J1058" s="10" t="inlineStr">
        <is>
          <t>09:10</t>
        </is>
      </c>
      <c r="K1058" s="10" t="inlineStr">
        <is>
          <t>Late</t>
        </is>
      </c>
      <c r="L1058" s="6" t="n">
        <v>1</v>
      </c>
      <c r="M1058" s="10" t="inlineStr">
        <is>
          <t>Run overloaded</t>
        </is>
      </c>
      <c r="N1058" s="6" t="n">
        <v>16</v>
      </c>
      <c r="O1058" s="6" t="n">
        <v>1856</v>
      </c>
      <c r="P1058" s="6" t="n">
        <v>1</v>
      </c>
      <c r="Q1058" s="6">
        <f>IF(OR(K1058="On time",K1058="Late",K1058="Very late"),1,0)</f>
        <v/>
      </c>
    </row>
    <row r="1059">
      <c r="A1059" s="10" t="inlineStr">
        <is>
          <t>DN319286</t>
        </is>
      </c>
      <c r="B1059" s="10" t="inlineStr">
        <is>
          <t>SO63170</t>
        </is>
      </c>
      <c r="C1059" s="10" t="inlineStr">
        <is>
          <t>C12675</t>
        </is>
      </c>
      <c r="D1059" s="10">
        <f>INDEX(Customers!$B:$B,MATCH(C1059,Customers!$A:$A,0))</f>
        <v/>
      </c>
      <c r="E1059" s="10">
        <f>INDEX(Customers!$D:$D,MATCH(C1059,Customers!$A:$A,0))</f>
        <v/>
      </c>
      <c r="F1059" s="10" t="inlineStr">
        <is>
          <t>Carrier B</t>
        </is>
      </c>
      <c r="G1059" s="5" t="n">
        <v>46268</v>
      </c>
      <c r="H1059" s="5" t="n">
        <v>46272</v>
      </c>
      <c r="I1059" s="5" t="n">
        <v>46272</v>
      </c>
      <c r="J1059" s="10" t="inlineStr">
        <is>
          <t>13:00</t>
        </is>
      </c>
      <c r="K1059" s="10" t="inlineStr">
        <is>
          <t>On time</t>
        </is>
      </c>
      <c r="L1059" s="6" t="n">
        <v>0</v>
      </c>
      <c r="M1059" s="10" t="n"/>
      <c r="N1059" s="6" t="n">
        <v>27</v>
      </c>
      <c r="O1059" s="6" t="n">
        <v>2565</v>
      </c>
      <c r="P1059" s="6" t="n">
        <v>1</v>
      </c>
      <c r="Q1059" s="6">
        <f>IF(OR(K1059="On time",K1059="Late",K1059="Very late"),1,0)</f>
        <v/>
      </c>
    </row>
    <row r="1060">
      <c r="A1060" s="10" t="inlineStr">
        <is>
          <t>DN319287</t>
        </is>
      </c>
      <c r="B1060" s="10" t="inlineStr">
        <is>
          <t>SO63171</t>
        </is>
      </c>
      <c r="C1060" s="10" t="inlineStr">
        <is>
          <t>C10322</t>
        </is>
      </c>
      <c r="D1060" s="10">
        <f>INDEX(Customers!$B:$B,MATCH(C1060,Customers!$A:$A,0))</f>
        <v/>
      </c>
      <c r="E1060" s="10">
        <f>INDEX(Customers!$D:$D,MATCH(C1060,Customers!$A:$A,0))</f>
        <v/>
      </c>
      <c r="F1060" s="10" t="inlineStr">
        <is>
          <t>Own trucks</t>
        </is>
      </c>
      <c r="G1060" s="5" t="n">
        <v>46272</v>
      </c>
      <c r="H1060" s="5" t="n">
        <v>46273</v>
      </c>
      <c r="I1060" s="5" t="n">
        <v>46273</v>
      </c>
      <c r="J1060" s="10" t="inlineStr">
        <is>
          <t>08:20</t>
        </is>
      </c>
      <c r="K1060" s="10" t="inlineStr">
        <is>
          <t>On time</t>
        </is>
      </c>
      <c r="L1060" s="6" t="n">
        <v>0</v>
      </c>
      <c r="M1060" s="10" t="n"/>
      <c r="N1060" s="6" t="n">
        <v>25</v>
      </c>
      <c r="O1060" s="6" t="n">
        <v>2350</v>
      </c>
      <c r="P1060" s="6" t="n">
        <v>1</v>
      </c>
      <c r="Q1060" s="6">
        <f>IF(OR(K1060="On time",K1060="Late",K1060="Very late"),1,0)</f>
        <v/>
      </c>
    </row>
    <row r="1061">
      <c r="A1061" s="10" t="inlineStr">
        <is>
          <t>DN319288</t>
        </is>
      </c>
      <c r="B1061" s="10" t="inlineStr">
        <is>
          <t>SO63172</t>
        </is>
      </c>
      <c r="C1061" s="10" t="inlineStr">
        <is>
          <t>C10343</t>
        </is>
      </c>
      <c r="D1061" s="10">
        <f>INDEX(Customers!$B:$B,MATCH(C1061,Customers!$A:$A,0))</f>
        <v/>
      </c>
      <c r="E1061" s="10">
        <f>INDEX(Customers!$D:$D,MATCH(C1061,Customers!$A:$A,0))</f>
        <v/>
      </c>
      <c r="F1061" s="10" t="inlineStr">
        <is>
          <t>Own trucks</t>
        </is>
      </c>
      <c r="G1061" s="5" t="n">
        <v>46272</v>
      </c>
      <c r="H1061" s="5" t="n">
        <v>46273</v>
      </c>
      <c r="I1061" s="5" t="n">
        <v>46273</v>
      </c>
      <c r="J1061" s="10" t="inlineStr">
        <is>
          <t>14:00</t>
        </is>
      </c>
      <c r="K1061" s="10" t="inlineStr">
        <is>
          <t>On time</t>
        </is>
      </c>
      <c r="L1061" s="6" t="n">
        <v>0</v>
      </c>
      <c r="M1061" s="10" t="n"/>
      <c r="N1061" s="6" t="n">
        <v>28</v>
      </c>
      <c r="O1061" s="6" t="n">
        <v>1764</v>
      </c>
      <c r="P1061" s="6" t="n">
        <v>1</v>
      </c>
      <c r="Q1061" s="6">
        <f>IF(OR(K1061="On time",K1061="Late",K1061="Very late"),1,0)</f>
        <v/>
      </c>
    </row>
    <row r="1062">
      <c r="A1062" s="10" t="inlineStr">
        <is>
          <t>DN319289</t>
        </is>
      </c>
      <c r="B1062" s="10" t="inlineStr">
        <is>
          <t>SO63173</t>
        </is>
      </c>
      <c r="C1062" s="10" t="inlineStr">
        <is>
          <t>C10413</t>
        </is>
      </c>
      <c r="D1062" s="10">
        <f>INDEX(Customers!$B:$B,MATCH(C1062,Customers!$A:$A,0))</f>
        <v/>
      </c>
      <c r="E1062" s="10">
        <f>INDEX(Customers!$D:$D,MATCH(C1062,Customers!$A:$A,0))</f>
        <v/>
      </c>
      <c r="F1062" s="10" t="inlineStr">
        <is>
          <t>Own trucks</t>
        </is>
      </c>
      <c r="G1062" s="5" t="n">
        <v>46272</v>
      </c>
      <c r="H1062" s="5" t="n">
        <v>46273</v>
      </c>
      <c r="I1062" s="5" t="n">
        <v>46273</v>
      </c>
      <c r="J1062" s="10" t="inlineStr">
        <is>
          <t>10:00</t>
        </is>
      </c>
      <c r="K1062" s="10" t="inlineStr">
        <is>
          <t>On time</t>
        </is>
      </c>
      <c r="L1062" s="6" t="n">
        <v>0</v>
      </c>
      <c r="M1062" s="10" t="n"/>
      <c r="N1062" s="6" t="n">
        <v>34</v>
      </c>
      <c r="O1062" s="6" t="n">
        <v>3366</v>
      </c>
      <c r="P1062" s="6" t="n">
        <v>1</v>
      </c>
      <c r="Q1062" s="6">
        <f>IF(OR(K1062="On time",K1062="Late",K1062="Very late"),1,0)</f>
        <v/>
      </c>
    </row>
    <row r="1063">
      <c r="A1063" s="10" t="inlineStr">
        <is>
          <t>DN319290</t>
        </is>
      </c>
      <c r="B1063" s="10" t="inlineStr">
        <is>
          <t>SO63174</t>
        </is>
      </c>
      <c r="C1063" s="10" t="inlineStr">
        <is>
          <t>C10446</t>
        </is>
      </c>
      <c r="D1063" s="10">
        <f>INDEX(Customers!$B:$B,MATCH(C1063,Customers!$A:$A,0))</f>
        <v/>
      </c>
      <c r="E1063" s="10">
        <f>INDEX(Customers!$D:$D,MATCH(C1063,Customers!$A:$A,0))</f>
        <v/>
      </c>
      <c r="F1063" s="10" t="inlineStr">
        <is>
          <t>Own trucks</t>
        </is>
      </c>
      <c r="G1063" s="5" t="n">
        <v>46272</v>
      </c>
      <c r="H1063" s="5" t="n">
        <v>46273</v>
      </c>
      <c r="I1063" s="5" t="n">
        <v>46273</v>
      </c>
      <c r="J1063" s="10" t="inlineStr">
        <is>
          <t>14:40</t>
        </is>
      </c>
      <c r="K1063" s="10" t="inlineStr">
        <is>
          <t>On time</t>
        </is>
      </c>
      <c r="L1063" s="6" t="n">
        <v>0</v>
      </c>
      <c r="M1063" s="10" t="n"/>
      <c r="N1063" s="6" t="n">
        <v>8</v>
      </c>
      <c r="O1063" s="6" t="n">
        <v>544</v>
      </c>
      <c r="P1063" s="6" t="n">
        <v>1</v>
      </c>
      <c r="Q1063" s="6">
        <f>IF(OR(K1063="On time",K1063="Late",K1063="Very late"),1,0)</f>
        <v/>
      </c>
    </row>
    <row r="1064">
      <c r="A1064" s="10" t="inlineStr">
        <is>
          <t>DN319291</t>
        </is>
      </c>
      <c r="B1064" s="10" t="inlineStr">
        <is>
          <t>SO63175</t>
        </is>
      </c>
      <c r="C1064" s="10" t="inlineStr">
        <is>
          <t>C10515</t>
        </is>
      </c>
      <c r="D1064" s="10">
        <f>INDEX(Customers!$B:$B,MATCH(C1064,Customers!$A:$A,0))</f>
        <v/>
      </c>
      <c r="E1064" s="10">
        <f>INDEX(Customers!$D:$D,MATCH(C1064,Customers!$A:$A,0))</f>
        <v/>
      </c>
      <c r="F1064" s="10" t="inlineStr">
        <is>
          <t>Own trucks</t>
        </is>
      </c>
      <c r="G1064" s="5" t="n">
        <v>46272</v>
      </c>
      <c r="H1064" s="5" t="n">
        <v>46273</v>
      </c>
      <c r="I1064" s="5" t="n">
        <v>46273</v>
      </c>
      <c r="J1064" s="10" t="inlineStr">
        <is>
          <t>08:00</t>
        </is>
      </c>
      <c r="K1064" s="10" t="inlineStr">
        <is>
          <t>On time</t>
        </is>
      </c>
      <c r="L1064" s="6" t="n">
        <v>0</v>
      </c>
      <c r="M1064" s="10" t="n"/>
      <c r="N1064" s="6" t="n">
        <v>38</v>
      </c>
      <c r="O1064" s="6" t="n">
        <v>2166</v>
      </c>
      <c r="P1064" s="6" t="n">
        <v>1</v>
      </c>
      <c r="Q1064" s="6">
        <f>IF(OR(K1064="On time",K1064="Late",K1064="Very late"),1,0)</f>
        <v/>
      </c>
    </row>
    <row r="1065">
      <c r="A1065" s="10" t="inlineStr">
        <is>
          <t>DN319292</t>
        </is>
      </c>
      <c r="B1065" s="10" t="inlineStr">
        <is>
          <t>SO63176</t>
        </is>
      </c>
      <c r="C1065" s="10" t="inlineStr">
        <is>
          <t>C10522</t>
        </is>
      </c>
      <c r="D1065" s="10">
        <f>INDEX(Customers!$B:$B,MATCH(C1065,Customers!$A:$A,0))</f>
        <v/>
      </c>
      <c r="E1065" s="10">
        <f>INDEX(Customers!$D:$D,MATCH(C1065,Customers!$A:$A,0))</f>
        <v/>
      </c>
      <c r="F1065" s="10" t="inlineStr">
        <is>
          <t>Same-day courier</t>
        </is>
      </c>
      <c r="G1065" s="5" t="n">
        <v>46272</v>
      </c>
      <c r="H1065" s="5" t="n">
        <v>46273</v>
      </c>
      <c r="I1065" s="5" t="n">
        <v>46273</v>
      </c>
      <c r="J1065" s="10" t="inlineStr">
        <is>
          <t>15:00</t>
        </is>
      </c>
      <c r="K1065" s="10" t="inlineStr">
        <is>
          <t>On time</t>
        </is>
      </c>
      <c r="L1065" s="6" t="n">
        <v>0</v>
      </c>
      <c r="M1065" s="10" t="n"/>
      <c r="N1065" s="6" t="n">
        <v>25</v>
      </c>
      <c r="O1065" s="6" t="n">
        <v>3400</v>
      </c>
      <c r="P1065" s="6" t="n">
        <v>1</v>
      </c>
      <c r="Q1065" s="6">
        <f>IF(OR(K1065="On time",K1065="Late",K1065="Very late"),1,0)</f>
        <v/>
      </c>
    </row>
    <row r="1066">
      <c r="A1066" s="10" t="inlineStr">
        <is>
          <t>DN319293</t>
        </is>
      </c>
      <c r="B1066" s="10" t="inlineStr">
        <is>
          <t>SO63178</t>
        </is>
      </c>
      <c r="C1066" s="10" t="inlineStr">
        <is>
          <t>C10536</t>
        </is>
      </c>
      <c r="D1066" s="10">
        <f>INDEX(Customers!$B:$B,MATCH(C1066,Customers!$A:$A,0))</f>
        <v/>
      </c>
      <c r="E1066" s="10">
        <f>INDEX(Customers!$D:$D,MATCH(C1066,Customers!$A:$A,0))</f>
        <v/>
      </c>
      <c r="F1066" s="10" t="inlineStr">
        <is>
          <t>Own trucks</t>
        </is>
      </c>
      <c r="G1066" s="5" t="n">
        <v>46272</v>
      </c>
      <c r="H1066" s="5" t="n">
        <v>46273</v>
      </c>
      <c r="I1066" s="5" t="n">
        <v>46273</v>
      </c>
      <c r="J1066" s="10" t="inlineStr">
        <is>
          <t>12:10</t>
        </is>
      </c>
      <c r="K1066" s="10" t="inlineStr">
        <is>
          <t>On time</t>
        </is>
      </c>
      <c r="L1066" s="6" t="n">
        <v>0</v>
      </c>
      <c r="M1066" s="10" t="n"/>
      <c r="N1066" s="6" t="n">
        <v>23</v>
      </c>
      <c r="O1066" s="6" t="n">
        <v>2507</v>
      </c>
      <c r="P1066" s="6" t="n">
        <v>1</v>
      </c>
      <c r="Q1066" s="6">
        <f>IF(OR(K1066="On time",K1066="Late",K1066="Very late"),1,0)</f>
        <v/>
      </c>
    </row>
    <row r="1067">
      <c r="A1067" s="10" t="inlineStr">
        <is>
          <t>DN319294</t>
        </is>
      </c>
      <c r="B1067" s="10" t="inlineStr">
        <is>
          <t>SO63179</t>
        </is>
      </c>
      <c r="C1067" s="10" t="inlineStr">
        <is>
          <t>C10589</t>
        </is>
      </c>
      <c r="D1067" s="10">
        <f>INDEX(Customers!$B:$B,MATCH(C1067,Customers!$A:$A,0))</f>
        <v/>
      </c>
      <c r="E1067" s="10">
        <f>INDEX(Customers!$D:$D,MATCH(C1067,Customers!$A:$A,0))</f>
        <v/>
      </c>
      <c r="F1067" s="10" t="inlineStr">
        <is>
          <t>Own trucks</t>
        </is>
      </c>
      <c r="G1067" s="5" t="n">
        <v>46272</v>
      </c>
      <c r="H1067" s="5" t="n">
        <v>46273</v>
      </c>
      <c r="I1067" s="5" t="n">
        <v>46273</v>
      </c>
      <c r="J1067" s="10" t="inlineStr">
        <is>
          <t>09:10</t>
        </is>
      </c>
      <c r="K1067" s="10" t="inlineStr">
        <is>
          <t>On time</t>
        </is>
      </c>
      <c r="L1067" s="6" t="n">
        <v>0</v>
      </c>
      <c r="M1067" s="10" t="n"/>
      <c r="N1067" s="6" t="n">
        <v>16</v>
      </c>
      <c r="O1067" s="6" t="n">
        <v>1488</v>
      </c>
      <c r="P1067" s="6" t="n">
        <v>1</v>
      </c>
      <c r="Q1067" s="6">
        <f>IF(OR(K1067="On time",K1067="Late",K1067="Very late"),1,0)</f>
        <v/>
      </c>
    </row>
    <row r="1068">
      <c r="A1068" s="10" t="inlineStr">
        <is>
          <t>DN319295</t>
        </is>
      </c>
      <c r="B1068" s="10" t="inlineStr">
        <is>
          <t>SO63181</t>
        </is>
      </c>
      <c r="C1068" s="10" t="inlineStr">
        <is>
          <t>C10622</t>
        </is>
      </c>
      <c r="D1068" s="10">
        <f>INDEX(Customers!$B:$B,MATCH(C1068,Customers!$A:$A,0))</f>
        <v/>
      </c>
      <c r="E1068" s="10">
        <f>INDEX(Customers!$D:$D,MATCH(C1068,Customers!$A:$A,0))</f>
        <v/>
      </c>
      <c r="F1068" s="10" t="inlineStr">
        <is>
          <t>Own trucks</t>
        </is>
      </c>
      <c r="G1068" s="5" t="n">
        <v>46272</v>
      </c>
      <c r="H1068" s="5" t="n">
        <v>46273</v>
      </c>
      <c r="I1068" s="5" t="n">
        <v>46273</v>
      </c>
      <c r="J1068" s="10" t="inlineStr">
        <is>
          <t>15:50</t>
        </is>
      </c>
      <c r="K1068" s="10" t="inlineStr">
        <is>
          <t>On time</t>
        </is>
      </c>
      <c r="L1068" s="6" t="n">
        <v>0</v>
      </c>
      <c r="M1068" s="10" t="n"/>
      <c r="N1068" s="6" t="n">
        <v>14</v>
      </c>
      <c r="O1068" s="6" t="n">
        <v>1288</v>
      </c>
      <c r="P1068" s="6" t="n">
        <v>1</v>
      </c>
      <c r="Q1068" s="6">
        <f>IF(OR(K1068="On time",K1068="Late",K1068="Very late"),1,0)</f>
        <v/>
      </c>
    </row>
    <row r="1069">
      <c r="A1069" s="10" t="inlineStr">
        <is>
          <t>DN319296</t>
        </is>
      </c>
      <c r="B1069" s="10" t="inlineStr">
        <is>
          <t>SO63182</t>
        </is>
      </c>
      <c r="C1069" s="10" t="inlineStr">
        <is>
          <t>C10648</t>
        </is>
      </c>
      <c r="D1069" s="10">
        <f>INDEX(Customers!$B:$B,MATCH(C1069,Customers!$A:$A,0))</f>
        <v/>
      </c>
      <c r="E1069" s="10">
        <f>INDEX(Customers!$D:$D,MATCH(C1069,Customers!$A:$A,0))</f>
        <v/>
      </c>
      <c r="F1069" s="10" t="inlineStr">
        <is>
          <t>Own trucks</t>
        </is>
      </c>
      <c r="G1069" s="5" t="n">
        <v>46272</v>
      </c>
      <c r="H1069" s="5" t="n">
        <v>46273</v>
      </c>
      <c r="I1069" s="5" t="n">
        <v>46273</v>
      </c>
      <c r="J1069" s="10" t="inlineStr">
        <is>
          <t>14:30</t>
        </is>
      </c>
      <c r="K1069" s="10" t="inlineStr">
        <is>
          <t>On time</t>
        </is>
      </c>
      <c r="L1069" s="6" t="n">
        <v>0</v>
      </c>
      <c r="M1069" s="10" t="n"/>
      <c r="N1069" s="6" t="n">
        <v>40</v>
      </c>
      <c r="O1069" s="6" t="n">
        <v>3240</v>
      </c>
      <c r="P1069" s="6" t="n">
        <v>1</v>
      </c>
      <c r="Q1069" s="6">
        <f>IF(OR(K1069="On time",K1069="Late",K1069="Very late"),1,0)</f>
        <v/>
      </c>
    </row>
    <row r="1070">
      <c r="A1070" s="10" t="inlineStr">
        <is>
          <t>DN319297</t>
        </is>
      </c>
      <c r="B1070" s="10" t="inlineStr">
        <is>
          <t>SO63183</t>
        </is>
      </c>
      <c r="C1070" s="10" t="inlineStr">
        <is>
          <t>C10676</t>
        </is>
      </c>
      <c r="D1070" s="10">
        <f>INDEX(Customers!$B:$B,MATCH(C1070,Customers!$A:$A,0))</f>
        <v/>
      </c>
      <c r="E1070" s="10">
        <f>INDEX(Customers!$D:$D,MATCH(C1070,Customers!$A:$A,0))</f>
        <v/>
      </c>
      <c r="F1070" s="10" t="inlineStr">
        <is>
          <t>Own trucks</t>
        </is>
      </c>
      <c r="G1070" s="5" t="n">
        <v>46272</v>
      </c>
      <c r="H1070" s="5" t="n">
        <v>46273</v>
      </c>
      <c r="I1070" s="5" t="n">
        <v>46273</v>
      </c>
      <c r="J1070" s="10" t="inlineStr">
        <is>
          <t>14:10</t>
        </is>
      </c>
      <c r="K1070" s="10" t="inlineStr">
        <is>
          <t>On time</t>
        </is>
      </c>
      <c r="L1070" s="6" t="n">
        <v>0</v>
      </c>
      <c r="M1070" s="10" t="n"/>
      <c r="N1070" s="6" t="n">
        <v>36</v>
      </c>
      <c r="O1070" s="6" t="n">
        <v>3168</v>
      </c>
      <c r="P1070" s="6" t="n">
        <v>1</v>
      </c>
      <c r="Q1070" s="6">
        <f>IF(OR(K1070="On time",K1070="Late",K1070="Very late"),1,0)</f>
        <v/>
      </c>
    </row>
    <row r="1071">
      <c r="A1071" s="10" t="inlineStr">
        <is>
          <t>DN319298</t>
        </is>
      </c>
      <c r="B1071" s="10" t="inlineStr">
        <is>
          <t>SO63184</t>
        </is>
      </c>
      <c r="C1071" s="10" t="inlineStr">
        <is>
          <t>C10684</t>
        </is>
      </c>
      <c r="D1071" s="10">
        <f>INDEX(Customers!$B:$B,MATCH(C1071,Customers!$A:$A,0))</f>
        <v/>
      </c>
      <c r="E1071" s="10">
        <f>INDEX(Customers!$D:$D,MATCH(C1071,Customers!$A:$A,0))</f>
        <v/>
      </c>
      <c r="F1071" s="10" t="inlineStr">
        <is>
          <t>Own trucks</t>
        </is>
      </c>
      <c r="G1071" s="5" t="n">
        <v>46272</v>
      </c>
      <c r="H1071" s="5" t="n">
        <v>46273</v>
      </c>
      <c r="I1071" s="5" t="n">
        <v>46273</v>
      </c>
      <c r="J1071" s="10" t="inlineStr">
        <is>
          <t>14:30</t>
        </is>
      </c>
      <c r="K1071" s="10" t="inlineStr">
        <is>
          <t>On time</t>
        </is>
      </c>
      <c r="L1071" s="6" t="n">
        <v>0</v>
      </c>
      <c r="M1071" s="10" t="n"/>
      <c r="N1071" s="6" t="n">
        <v>40</v>
      </c>
      <c r="O1071" s="6" t="n">
        <v>5440</v>
      </c>
      <c r="P1071" s="6" t="n">
        <v>1</v>
      </c>
      <c r="Q1071" s="6">
        <f>IF(OR(K1071="On time",K1071="Late",K1071="Very late"),1,0)</f>
        <v/>
      </c>
    </row>
    <row r="1072">
      <c r="A1072" s="10" t="inlineStr">
        <is>
          <t>DN319299</t>
        </is>
      </c>
      <c r="B1072" s="10" t="inlineStr">
        <is>
          <t>SO63186</t>
        </is>
      </c>
      <c r="C1072" s="10" t="inlineStr">
        <is>
          <t>C10796</t>
        </is>
      </c>
      <c r="D1072" s="10">
        <f>INDEX(Customers!$B:$B,MATCH(C1072,Customers!$A:$A,0))</f>
        <v/>
      </c>
      <c r="E1072" s="10">
        <f>INDEX(Customers!$D:$D,MATCH(C1072,Customers!$A:$A,0))</f>
        <v/>
      </c>
      <c r="F1072" s="10" t="inlineStr">
        <is>
          <t>Own trucks</t>
        </is>
      </c>
      <c r="G1072" s="5" t="n">
        <v>46272</v>
      </c>
      <c r="H1072" s="5" t="n">
        <v>46273</v>
      </c>
      <c r="I1072" s="5" t="n">
        <v>46273</v>
      </c>
      <c r="J1072" s="10" t="inlineStr">
        <is>
          <t>11:10</t>
        </is>
      </c>
      <c r="K1072" s="10" t="inlineStr">
        <is>
          <t>On time</t>
        </is>
      </c>
      <c r="L1072" s="6" t="n">
        <v>0</v>
      </c>
      <c r="M1072" s="10" t="n"/>
      <c r="N1072" s="6" t="n">
        <v>6</v>
      </c>
      <c r="O1072" s="6" t="n">
        <v>696</v>
      </c>
      <c r="P1072" s="6" t="n">
        <v>1</v>
      </c>
      <c r="Q1072" s="6">
        <f>IF(OR(K1072="On time",K1072="Late",K1072="Very late"),1,0)</f>
        <v/>
      </c>
    </row>
    <row r="1073">
      <c r="A1073" s="10" t="inlineStr">
        <is>
          <t>DN319300</t>
        </is>
      </c>
      <c r="B1073" s="10" t="inlineStr">
        <is>
          <t>SO63188</t>
        </is>
      </c>
      <c r="C1073" s="10" t="inlineStr">
        <is>
          <t>C10847</t>
        </is>
      </c>
      <c r="D1073" s="10">
        <f>INDEX(Customers!$B:$B,MATCH(C1073,Customers!$A:$A,0))</f>
        <v/>
      </c>
      <c r="E1073" s="10">
        <f>INDEX(Customers!$D:$D,MATCH(C1073,Customers!$A:$A,0))</f>
        <v/>
      </c>
      <c r="F1073" s="10" t="inlineStr">
        <is>
          <t>Own trucks</t>
        </is>
      </c>
      <c r="G1073" s="5" t="n">
        <v>46272</v>
      </c>
      <c r="H1073" s="5" t="n">
        <v>46273</v>
      </c>
      <c r="I1073" s="5" t="n">
        <v>46273</v>
      </c>
      <c r="J1073" s="10" t="inlineStr">
        <is>
          <t>15:20</t>
        </is>
      </c>
      <c r="K1073" s="10" t="inlineStr">
        <is>
          <t>On time</t>
        </is>
      </c>
      <c r="L1073" s="6" t="n">
        <v>0</v>
      </c>
      <c r="M1073" s="10" t="n"/>
      <c r="N1073" s="6" t="n">
        <v>18</v>
      </c>
      <c r="O1073" s="6" t="n">
        <v>2286</v>
      </c>
      <c r="P1073" s="6" t="n">
        <v>1</v>
      </c>
      <c r="Q1073" s="6">
        <f>IF(OR(K1073="On time",K1073="Late",K1073="Very late"),1,0)</f>
        <v/>
      </c>
    </row>
    <row r="1074">
      <c r="A1074" s="10" t="inlineStr">
        <is>
          <t>DN319301</t>
        </is>
      </c>
      <c r="B1074" s="10" t="inlineStr">
        <is>
          <t>SO63189</t>
        </is>
      </c>
      <c r="C1074" s="10" t="inlineStr">
        <is>
          <t>C10915</t>
        </is>
      </c>
      <c r="D1074" s="10">
        <f>INDEX(Customers!$B:$B,MATCH(C1074,Customers!$A:$A,0))</f>
        <v/>
      </c>
      <c r="E1074" s="10">
        <f>INDEX(Customers!$D:$D,MATCH(C1074,Customers!$A:$A,0))</f>
        <v/>
      </c>
      <c r="F1074" s="10" t="inlineStr">
        <is>
          <t>Own trucks</t>
        </is>
      </c>
      <c r="G1074" s="5" t="n">
        <v>46272</v>
      </c>
      <c r="H1074" s="5" t="n">
        <v>46273</v>
      </c>
      <c r="I1074" s="5" t="n">
        <v>46273</v>
      </c>
      <c r="J1074" s="10" t="inlineStr">
        <is>
          <t>16:00</t>
        </is>
      </c>
      <c r="K1074" s="10" t="inlineStr">
        <is>
          <t>On time</t>
        </is>
      </c>
      <c r="L1074" s="6" t="n">
        <v>0</v>
      </c>
      <c r="M1074" s="10" t="n"/>
      <c r="N1074" s="6" t="n">
        <v>10</v>
      </c>
      <c r="O1074" s="6" t="n">
        <v>1240</v>
      </c>
      <c r="P1074" s="6" t="n">
        <v>1</v>
      </c>
      <c r="Q1074" s="6">
        <f>IF(OR(K1074="On time",K1074="Late",K1074="Very late"),1,0)</f>
        <v/>
      </c>
    </row>
    <row r="1075">
      <c r="A1075" s="10" t="inlineStr">
        <is>
          <t>DN319302</t>
        </is>
      </c>
      <c r="B1075" s="10" t="inlineStr">
        <is>
          <t>SO63190</t>
        </is>
      </c>
      <c r="C1075" s="10" t="inlineStr">
        <is>
          <t>C10982</t>
        </is>
      </c>
      <c r="D1075" s="10">
        <f>INDEX(Customers!$B:$B,MATCH(C1075,Customers!$A:$A,0))</f>
        <v/>
      </c>
      <c r="E1075" s="10">
        <f>INDEX(Customers!$D:$D,MATCH(C1075,Customers!$A:$A,0))</f>
        <v/>
      </c>
      <c r="F1075" s="10" t="inlineStr">
        <is>
          <t>Own trucks</t>
        </is>
      </c>
      <c r="G1075" s="5" t="n">
        <v>46272</v>
      </c>
      <c r="H1075" s="5" t="n">
        <v>46273</v>
      </c>
      <c r="I1075" s="5" t="n">
        <v>46273</v>
      </c>
      <c r="J1075" s="10" t="inlineStr">
        <is>
          <t>11:30</t>
        </is>
      </c>
      <c r="K1075" s="10" t="inlineStr">
        <is>
          <t>On time</t>
        </is>
      </c>
      <c r="L1075" s="6" t="n">
        <v>0</v>
      </c>
      <c r="M1075" s="10" t="n"/>
      <c r="N1075" s="6" t="n">
        <v>35</v>
      </c>
      <c r="O1075" s="6" t="n">
        <v>4620</v>
      </c>
      <c r="P1075" s="6" t="n">
        <v>1</v>
      </c>
      <c r="Q1075" s="6">
        <f>IF(OR(K1075="On time",K1075="Late",K1075="Very late"),1,0)</f>
        <v/>
      </c>
    </row>
    <row r="1076">
      <c r="A1076" s="10" t="inlineStr">
        <is>
          <t>DN319303</t>
        </is>
      </c>
      <c r="B1076" s="10" t="inlineStr">
        <is>
          <t>SO63192</t>
        </is>
      </c>
      <c r="C1076" s="10" t="inlineStr">
        <is>
          <t>C11107</t>
        </is>
      </c>
      <c r="D1076" s="10">
        <f>INDEX(Customers!$B:$B,MATCH(C1076,Customers!$A:$A,0))</f>
        <v/>
      </c>
      <c r="E1076" s="10">
        <f>INDEX(Customers!$D:$D,MATCH(C1076,Customers!$A:$A,0))</f>
        <v/>
      </c>
      <c r="F1076" s="10" t="inlineStr">
        <is>
          <t>Own trucks</t>
        </is>
      </c>
      <c r="G1076" s="5" t="n">
        <v>46272</v>
      </c>
      <c r="H1076" s="5" t="n">
        <v>46273</v>
      </c>
      <c r="I1076" s="5" t="n">
        <v>46273</v>
      </c>
      <c r="J1076" s="10" t="inlineStr">
        <is>
          <t>13:40</t>
        </is>
      </c>
      <c r="K1076" s="10" t="inlineStr">
        <is>
          <t>On time</t>
        </is>
      </c>
      <c r="L1076" s="6" t="n">
        <v>0</v>
      </c>
      <c r="M1076" s="10" t="n"/>
      <c r="N1076" s="6" t="n">
        <v>39</v>
      </c>
      <c r="O1076" s="6" t="n">
        <v>2418</v>
      </c>
      <c r="P1076" s="6" t="n">
        <v>1</v>
      </c>
      <c r="Q1076" s="6">
        <f>IF(OR(K1076="On time",K1076="Late",K1076="Very late"),1,0)</f>
        <v/>
      </c>
    </row>
    <row r="1077">
      <c r="A1077" s="10" t="inlineStr">
        <is>
          <t>DN319304</t>
        </is>
      </c>
      <c r="B1077" s="10" t="inlineStr">
        <is>
          <t>SO63194</t>
        </is>
      </c>
      <c r="C1077" s="10" t="inlineStr">
        <is>
          <t>C11264</t>
        </is>
      </c>
      <c r="D1077" s="10">
        <f>INDEX(Customers!$B:$B,MATCH(C1077,Customers!$A:$A,0))</f>
        <v/>
      </c>
      <c r="E1077" s="10">
        <f>INDEX(Customers!$D:$D,MATCH(C1077,Customers!$A:$A,0))</f>
        <v/>
      </c>
      <c r="F1077" s="10" t="inlineStr">
        <is>
          <t>Own trucks</t>
        </is>
      </c>
      <c r="G1077" s="5" t="n">
        <v>46272</v>
      </c>
      <c r="H1077" s="5" t="n">
        <v>46273</v>
      </c>
      <c r="I1077" s="5" t="n">
        <v>46273</v>
      </c>
      <c r="J1077" s="10" t="inlineStr">
        <is>
          <t>11:20</t>
        </is>
      </c>
      <c r="K1077" s="10" t="inlineStr">
        <is>
          <t>On time</t>
        </is>
      </c>
      <c r="L1077" s="6" t="n">
        <v>0</v>
      </c>
      <c r="M1077" s="10" t="n"/>
      <c r="N1077" s="6" t="n">
        <v>18</v>
      </c>
      <c r="O1077" s="6" t="n">
        <v>2484</v>
      </c>
      <c r="P1077" s="6" t="n">
        <v>0</v>
      </c>
      <c r="Q1077" s="6">
        <f>IF(OR(K1077="On time",K1077="Late",K1077="Very late"),1,0)</f>
        <v/>
      </c>
    </row>
    <row r="1078">
      <c r="A1078" s="10" t="inlineStr">
        <is>
          <t>DN319305</t>
        </is>
      </c>
      <c r="B1078" s="10" t="inlineStr">
        <is>
          <t>SO63195</t>
        </is>
      </c>
      <c r="C1078" s="10" t="inlineStr">
        <is>
          <t>C11314</t>
        </is>
      </c>
      <c r="D1078" s="10">
        <f>INDEX(Customers!$B:$B,MATCH(C1078,Customers!$A:$A,0))</f>
        <v/>
      </c>
      <c r="E1078" s="10">
        <f>INDEX(Customers!$D:$D,MATCH(C1078,Customers!$A:$A,0))</f>
        <v/>
      </c>
      <c r="F1078" s="10" t="inlineStr">
        <is>
          <t>Own trucks</t>
        </is>
      </c>
      <c r="G1078" s="5" t="n">
        <v>46272</v>
      </c>
      <c r="H1078" s="5" t="n">
        <v>46273</v>
      </c>
      <c r="I1078" s="5" t="n">
        <v>46273</v>
      </c>
      <c r="J1078" s="10" t="inlineStr">
        <is>
          <t>08:10</t>
        </is>
      </c>
      <c r="K1078" s="10" t="inlineStr">
        <is>
          <t>On time</t>
        </is>
      </c>
      <c r="L1078" s="6" t="n">
        <v>0</v>
      </c>
      <c r="M1078" s="10" t="n"/>
      <c r="N1078" s="6" t="n">
        <v>23</v>
      </c>
      <c r="O1078" s="6" t="n">
        <v>1633</v>
      </c>
      <c r="P1078" s="6" t="n">
        <v>1</v>
      </c>
      <c r="Q1078" s="6">
        <f>IF(OR(K1078="On time",K1078="Late",K1078="Very late"),1,0)</f>
        <v/>
      </c>
    </row>
    <row r="1079">
      <c r="A1079" s="10" t="inlineStr">
        <is>
          <t>DN319306</t>
        </is>
      </c>
      <c r="B1079" s="10" t="inlineStr">
        <is>
          <t>SO63196</t>
        </is>
      </c>
      <c r="C1079" s="10" t="inlineStr">
        <is>
          <t>C11333</t>
        </is>
      </c>
      <c r="D1079" s="10">
        <f>INDEX(Customers!$B:$B,MATCH(C1079,Customers!$A:$A,0))</f>
        <v/>
      </c>
      <c r="E1079" s="10">
        <f>INDEX(Customers!$D:$D,MATCH(C1079,Customers!$A:$A,0))</f>
        <v/>
      </c>
      <c r="F1079" s="10" t="inlineStr">
        <is>
          <t>Own trucks</t>
        </is>
      </c>
      <c r="G1079" s="5" t="n">
        <v>46272</v>
      </c>
      <c r="H1079" s="5" t="n">
        <v>46273</v>
      </c>
      <c r="I1079" s="5" t="n">
        <v>46273</v>
      </c>
      <c r="J1079" s="10" t="inlineStr">
        <is>
          <t>11:10</t>
        </is>
      </c>
      <c r="K1079" s="10" t="inlineStr">
        <is>
          <t>On time</t>
        </is>
      </c>
      <c r="L1079" s="6" t="n">
        <v>0</v>
      </c>
      <c r="M1079" s="10" t="n"/>
      <c r="N1079" s="6" t="n">
        <v>12</v>
      </c>
      <c r="O1079" s="6" t="n">
        <v>1476</v>
      </c>
      <c r="P1079" s="6" t="n">
        <v>1</v>
      </c>
      <c r="Q1079" s="6">
        <f>IF(OR(K1079="On time",K1079="Late",K1079="Very late"),1,0)</f>
        <v/>
      </c>
    </row>
    <row r="1080">
      <c r="A1080" s="10" t="inlineStr">
        <is>
          <t>DN319307</t>
        </is>
      </c>
      <c r="B1080" s="10" t="inlineStr">
        <is>
          <t>SO63197</t>
        </is>
      </c>
      <c r="C1080" s="10" t="inlineStr">
        <is>
          <t>C11518</t>
        </is>
      </c>
      <c r="D1080" s="10">
        <f>INDEX(Customers!$B:$B,MATCH(C1080,Customers!$A:$A,0))</f>
        <v/>
      </c>
      <c r="E1080" s="10">
        <f>INDEX(Customers!$D:$D,MATCH(C1080,Customers!$A:$A,0))</f>
        <v/>
      </c>
      <c r="F1080" s="10" t="inlineStr">
        <is>
          <t>Own trucks</t>
        </is>
      </c>
      <c r="G1080" s="5" t="n">
        <v>46272</v>
      </c>
      <c r="H1080" s="5" t="n">
        <v>46273</v>
      </c>
      <c r="I1080" s="5" t="n">
        <v>46273</v>
      </c>
      <c r="J1080" s="10" t="inlineStr">
        <is>
          <t>15:40</t>
        </is>
      </c>
      <c r="K1080" s="10" t="inlineStr">
        <is>
          <t>On time</t>
        </is>
      </c>
      <c r="L1080" s="6" t="n">
        <v>0</v>
      </c>
      <c r="M1080" s="10" t="n"/>
      <c r="N1080" s="6" t="n">
        <v>34</v>
      </c>
      <c r="O1080" s="6" t="n">
        <v>3366</v>
      </c>
      <c r="P1080" s="6" t="n">
        <v>1</v>
      </c>
      <c r="Q1080" s="6">
        <f>IF(OR(K1080="On time",K1080="Late",K1080="Very late"),1,0)</f>
        <v/>
      </c>
    </row>
    <row r="1081">
      <c r="A1081" s="10" t="inlineStr">
        <is>
          <t>DN319308</t>
        </is>
      </c>
      <c r="B1081" s="10" t="inlineStr">
        <is>
          <t>SO63198</t>
        </is>
      </c>
      <c r="C1081" s="10" t="inlineStr">
        <is>
          <t>C11579</t>
        </is>
      </c>
      <c r="D1081" s="10">
        <f>INDEX(Customers!$B:$B,MATCH(C1081,Customers!$A:$A,0))</f>
        <v/>
      </c>
      <c r="E1081" s="10">
        <f>INDEX(Customers!$D:$D,MATCH(C1081,Customers!$A:$A,0))</f>
        <v/>
      </c>
      <c r="F1081" s="10" t="inlineStr">
        <is>
          <t>Own trucks</t>
        </is>
      </c>
      <c r="G1081" s="5" t="n">
        <v>46272</v>
      </c>
      <c r="H1081" s="5" t="n">
        <v>46273</v>
      </c>
      <c r="I1081" s="5" t="n">
        <v>46273</v>
      </c>
      <c r="J1081" s="10" t="inlineStr">
        <is>
          <t>08:00</t>
        </is>
      </c>
      <c r="K1081" s="10" t="inlineStr">
        <is>
          <t>On time</t>
        </is>
      </c>
      <c r="L1081" s="6" t="n">
        <v>0</v>
      </c>
      <c r="M1081" s="10" t="n"/>
      <c r="N1081" s="6" t="n">
        <v>36</v>
      </c>
      <c r="O1081" s="6" t="n">
        <v>3888</v>
      </c>
      <c r="P1081" s="6" t="n">
        <v>1</v>
      </c>
      <c r="Q1081" s="6">
        <f>IF(OR(K1081="On time",K1081="Late",K1081="Very late"),1,0)</f>
        <v/>
      </c>
    </row>
    <row r="1082">
      <c r="A1082" s="10" t="inlineStr">
        <is>
          <t>DN319309</t>
        </is>
      </c>
      <c r="B1082" s="10" t="inlineStr">
        <is>
          <t>SO63200</t>
        </is>
      </c>
      <c r="C1082" s="10" t="inlineStr">
        <is>
          <t>C11616</t>
        </is>
      </c>
      <c r="D1082" s="10">
        <f>INDEX(Customers!$B:$B,MATCH(C1082,Customers!$A:$A,0))</f>
        <v/>
      </c>
      <c r="E1082" s="10">
        <f>INDEX(Customers!$D:$D,MATCH(C1082,Customers!$A:$A,0))</f>
        <v/>
      </c>
      <c r="F1082" s="10" t="inlineStr">
        <is>
          <t>Own trucks</t>
        </is>
      </c>
      <c r="G1082" s="5" t="n">
        <v>46272</v>
      </c>
      <c r="H1082" s="5" t="n">
        <v>46273</v>
      </c>
      <c r="I1082" s="5" t="n">
        <v>46273</v>
      </c>
      <c r="J1082" s="10" t="inlineStr">
        <is>
          <t>16:50</t>
        </is>
      </c>
      <c r="K1082" s="10" t="inlineStr">
        <is>
          <t>On time</t>
        </is>
      </c>
      <c r="L1082" s="6" t="n">
        <v>0</v>
      </c>
      <c r="M1082" s="10" t="n"/>
      <c r="N1082" s="6" t="n">
        <v>11</v>
      </c>
      <c r="O1082" s="6" t="n">
        <v>1518</v>
      </c>
      <c r="P1082" s="6" t="n">
        <v>1</v>
      </c>
      <c r="Q1082" s="6">
        <f>IF(OR(K1082="On time",K1082="Late",K1082="Very late"),1,0)</f>
        <v/>
      </c>
    </row>
    <row r="1083">
      <c r="A1083" s="10" t="inlineStr">
        <is>
          <t>DN319310</t>
        </is>
      </c>
      <c r="B1083" s="10" t="inlineStr">
        <is>
          <t>SO63201</t>
        </is>
      </c>
      <c r="C1083" s="10" t="inlineStr">
        <is>
          <t>C11666</t>
        </is>
      </c>
      <c r="D1083" s="10">
        <f>INDEX(Customers!$B:$B,MATCH(C1083,Customers!$A:$A,0))</f>
        <v/>
      </c>
      <c r="E1083" s="10">
        <f>INDEX(Customers!$D:$D,MATCH(C1083,Customers!$A:$A,0))</f>
        <v/>
      </c>
      <c r="F1083" s="10" t="inlineStr">
        <is>
          <t>Own trucks</t>
        </is>
      </c>
      <c r="G1083" s="5" t="n">
        <v>46272</v>
      </c>
      <c r="H1083" s="5" t="n">
        <v>46273</v>
      </c>
      <c r="I1083" s="5" t="n">
        <v>46273</v>
      </c>
      <c r="J1083" s="10" t="inlineStr">
        <is>
          <t>10:30</t>
        </is>
      </c>
      <c r="K1083" s="10" t="inlineStr">
        <is>
          <t>On time</t>
        </is>
      </c>
      <c r="L1083" s="6" t="n">
        <v>0</v>
      </c>
      <c r="M1083" s="10" t="n"/>
      <c r="N1083" s="6" t="n">
        <v>31</v>
      </c>
      <c r="O1083" s="6" t="n">
        <v>3038</v>
      </c>
      <c r="P1083" s="6" t="n">
        <v>1</v>
      </c>
      <c r="Q1083" s="6">
        <f>IF(OR(K1083="On time",K1083="Late",K1083="Very late"),1,0)</f>
        <v/>
      </c>
    </row>
    <row r="1084">
      <c r="A1084" s="10" t="inlineStr">
        <is>
          <t>DN319311</t>
        </is>
      </c>
      <c r="B1084" s="10" t="inlineStr">
        <is>
          <t>SO63203</t>
        </is>
      </c>
      <c r="C1084" s="10" t="inlineStr">
        <is>
          <t>C11745</t>
        </is>
      </c>
      <c r="D1084" s="10">
        <f>INDEX(Customers!$B:$B,MATCH(C1084,Customers!$A:$A,0))</f>
        <v/>
      </c>
      <c r="E1084" s="10">
        <f>INDEX(Customers!$D:$D,MATCH(C1084,Customers!$A:$A,0))</f>
        <v/>
      </c>
      <c r="F1084" s="10" t="inlineStr">
        <is>
          <t>Own trucks</t>
        </is>
      </c>
      <c r="G1084" s="5" t="n">
        <v>46272</v>
      </c>
      <c r="H1084" s="5" t="n">
        <v>46273</v>
      </c>
      <c r="I1084" s="5" t="n">
        <v>46273</v>
      </c>
      <c r="J1084" s="10" t="inlineStr">
        <is>
          <t>08:20</t>
        </is>
      </c>
      <c r="K1084" s="10" t="inlineStr">
        <is>
          <t>On time</t>
        </is>
      </c>
      <c r="L1084" s="6" t="n">
        <v>0</v>
      </c>
      <c r="M1084" s="10" t="n"/>
      <c r="N1084" s="6" t="n">
        <v>33</v>
      </c>
      <c r="O1084" s="6" t="n">
        <v>2838</v>
      </c>
      <c r="P1084" s="6" t="n">
        <v>1</v>
      </c>
      <c r="Q1084" s="6">
        <f>IF(OR(K1084="On time",K1084="Late",K1084="Very late"),1,0)</f>
        <v/>
      </c>
    </row>
    <row r="1085">
      <c r="A1085" s="10" t="inlineStr">
        <is>
          <t>DN319312</t>
        </is>
      </c>
      <c r="B1085" s="10" t="inlineStr">
        <is>
          <t>SO63204</t>
        </is>
      </c>
      <c r="C1085" s="10" t="inlineStr">
        <is>
          <t>C11798</t>
        </is>
      </c>
      <c r="D1085" s="10">
        <f>INDEX(Customers!$B:$B,MATCH(C1085,Customers!$A:$A,0))</f>
        <v/>
      </c>
      <c r="E1085" s="10">
        <f>INDEX(Customers!$D:$D,MATCH(C1085,Customers!$A:$A,0))</f>
        <v/>
      </c>
      <c r="F1085" s="10" t="inlineStr">
        <is>
          <t>Carrier A</t>
        </is>
      </c>
      <c r="G1085" s="5" t="n">
        <v>46272</v>
      </c>
      <c r="H1085" s="5" t="n">
        <v>46273</v>
      </c>
      <c r="I1085" s="5" t="n">
        <v>46274</v>
      </c>
      <c r="J1085" s="10" t="inlineStr">
        <is>
          <t>12:20</t>
        </is>
      </c>
      <c r="K1085" s="10" t="inlineStr">
        <is>
          <t>Late</t>
        </is>
      </c>
      <c r="L1085" s="6" t="n">
        <v>1</v>
      </c>
      <c r="M1085" s="10" t="inlineStr">
        <is>
          <t>Wrong address</t>
        </is>
      </c>
      <c r="N1085" s="6" t="n">
        <v>4</v>
      </c>
      <c r="O1085" s="6" t="n">
        <v>340</v>
      </c>
      <c r="P1085" s="6" t="n">
        <v>1</v>
      </c>
      <c r="Q1085" s="6">
        <f>IF(OR(K1085="On time",K1085="Late",K1085="Very late"),1,0)</f>
        <v/>
      </c>
    </row>
    <row r="1086">
      <c r="A1086" s="10" t="inlineStr">
        <is>
          <t>DN319313</t>
        </is>
      </c>
      <c r="B1086" s="10" t="inlineStr">
        <is>
          <t>SO63205</t>
        </is>
      </c>
      <c r="C1086" s="10" t="inlineStr">
        <is>
          <t>C11858</t>
        </is>
      </c>
      <c r="D1086" s="10">
        <f>INDEX(Customers!$B:$B,MATCH(C1086,Customers!$A:$A,0))</f>
        <v/>
      </c>
      <c r="E1086" s="10">
        <f>INDEX(Customers!$D:$D,MATCH(C1086,Customers!$A:$A,0))</f>
        <v/>
      </c>
      <c r="F1086" s="10" t="inlineStr">
        <is>
          <t>Carrier A</t>
        </is>
      </c>
      <c r="G1086" s="5" t="n">
        <v>46272</v>
      </c>
      <c r="H1086" s="5" t="n">
        <v>46273</v>
      </c>
      <c r="I1086" s="5" t="n">
        <v>46273</v>
      </c>
      <c r="J1086" s="10" t="inlineStr">
        <is>
          <t>13:40</t>
        </is>
      </c>
      <c r="K1086" s="10" t="inlineStr">
        <is>
          <t>On time</t>
        </is>
      </c>
      <c r="L1086" s="6" t="n">
        <v>0</v>
      </c>
      <c r="M1086" s="10" t="n"/>
      <c r="N1086" s="6" t="n">
        <v>39</v>
      </c>
      <c r="O1086" s="6" t="n">
        <v>5148</v>
      </c>
      <c r="P1086" s="6" t="n">
        <v>1</v>
      </c>
      <c r="Q1086" s="6">
        <f>IF(OR(K1086="On time",K1086="Late",K1086="Very late"),1,0)</f>
        <v/>
      </c>
    </row>
    <row r="1087">
      <c r="A1087" s="10" t="inlineStr">
        <is>
          <t>DN319314</t>
        </is>
      </c>
      <c r="B1087" s="10" t="inlineStr">
        <is>
          <t>SO63206</t>
        </is>
      </c>
      <c r="C1087" s="10" t="inlineStr">
        <is>
          <t>C11866</t>
        </is>
      </c>
      <c r="D1087" s="10">
        <f>INDEX(Customers!$B:$B,MATCH(C1087,Customers!$A:$A,0))</f>
        <v/>
      </c>
      <c r="E1087" s="10">
        <f>INDEX(Customers!$D:$D,MATCH(C1087,Customers!$A:$A,0))</f>
        <v/>
      </c>
      <c r="F1087" s="10" t="inlineStr">
        <is>
          <t>Carrier A</t>
        </is>
      </c>
      <c r="G1087" s="5" t="n">
        <v>46272</v>
      </c>
      <c r="H1087" s="5" t="n">
        <v>46273</v>
      </c>
      <c r="I1087" s="5" t="n">
        <v>46273</v>
      </c>
      <c r="J1087" s="10" t="inlineStr">
        <is>
          <t>14:10</t>
        </is>
      </c>
      <c r="K1087" s="10" t="inlineStr">
        <is>
          <t>On time</t>
        </is>
      </c>
      <c r="L1087" s="6" t="n">
        <v>0</v>
      </c>
      <c r="M1087" s="10" t="n"/>
      <c r="N1087" s="6" t="n">
        <v>34</v>
      </c>
      <c r="O1087" s="6" t="n">
        <v>3808</v>
      </c>
      <c r="P1087" s="6" t="n">
        <v>1</v>
      </c>
      <c r="Q1087" s="6">
        <f>IF(OR(K1087="On time",K1087="Late",K1087="Very late"),1,0)</f>
        <v/>
      </c>
    </row>
    <row r="1088">
      <c r="A1088" s="10" t="inlineStr">
        <is>
          <t>DN319315</t>
        </is>
      </c>
      <c r="B1088" s="10" t="inlineStr">
        <is>
          <t>SO63207</t>
        </is>
      </c>
      <c r="C1088" s="10" t="inlineStr">
        <is>
          <t>C11910</t>
        </is>
      </c>
      <c r="D1088" s="10">
        <f>INDEX(Customers!$B:$B,MATCH(C1088,Customers!$A:$A,0))</f>
        <v/>
      </c>
      <c r="E1088" s="10">
        <f>INDEX(Customers!$D:$D,MATCH(C1088,Customers!$A:$A,0))</f>
        <v/>
      </c>
      <c r="F1088" s="10" t="inlineStr">
        <is>
          <t>Carrier A</t>
        </is>
      </c>
      <c r="G1088" s="5" t="n">
        <v>46272</v>
      </c>
      <c r="H1088" s="5" t="n">
        <v>46273</v>
      </c>
      <c r="I1088" s="5" t="n">
        <v>46273</v>
      </c>
      <c r="J1088" s="10" t="inlineStr">
        <is>
          <t>13:00</t>
        </is>
      </c>
      <c r="K1088" s="10" t="inlineStr">
        <is>
          <t>On time</t>
        </is>
      </c>
      <c r="L1088" s="6" t="n">
        <v>0</v>
      </c>
      <c r="M1088" s="10" t="n"/>
      <c r="N1088" s="6" t="n">
        <v>40</v>
      </c>
      <c r="O1088" s="6" t="n">
        <v>5360</v>
      </c>
      <c r="P1088" s="6" t="n">
        <v>1</v>
      </c>
      <c r="Q1088" s="6">
        <f>IF(OR(K1088="On time",K1088="Late",K1088="Very late"),1,0)</f>
        <v/>
      </c>
    </row>
    <row r="1089">
      <c r="A1089" s="10" t="inlineStr">
        <is>
          <t>DN319317</t>
        </is>
      </c>
      <c r="B1089" s="10" t="inlineStr">
        <is>
          <t>SO63208</t>
        </is>
      </c>
      <c r="C1089" s="10" t="inlineStr">
        <is>
          <t>C11971</t>
        </is>
      </c>
      <c r="D1089" s="10">
        <f>INDEX(Customers!$B:$B,MATCH(C1089,Customers!$A:$A,0))</f>
        <v/>
      </c>
      <c r="E1089" s="10">
        <f>INDEX(Customers!$D:$D,MATCH(C1089,Customers!$A:$A,0))</f>
        <v/>
      </c>
      <c r="F1089" s="10" t="inlineStr">
        <is>
          <t>Own trucks</t>
        </is>
      </c>
      <c r="G1089" s="5" t="n">
        <v>46272</v>
      </c>
      <c r="H1089" s="5" t="n">
        <v>46273</v>
      </c>
      <c r="I1089" s="5" t="n">
        <v>46273</v>
      </c>
      <c r="J1089" s="10" t="inlineStr">
        <is>
          <t>10:30</t>
        </is>
      </c>
      <c r="K1089" s="10" t="inlineStr">
        <is>
          <t>On time</t>
        </is>
      </c>
      <c r="L1089" s="6" t="n">
        <v>0</v>
      </c>
      <c r="M1089" s="10" t="n"/>
      <c r="N1089" s="6" t="n">
        <v>38</v>
      </c>
      <c r="O1089" s="6" t="n">
        <v>3230</v>
      </c>
      <c r="P1089" s="6" t="n">
        <v>1</v>
      </c>
      <c r="Q1089" s="6">
        <f>IF(OR(K1089="On time",K1089="Late",K1089="Very late"),1,0)</f>
        <v/>
      </c>
    </row>
    <row r="1090">
      <c r="A1090" s="10" t="inlineStr">
        <is>
          <t>DN319318</t>
        </is>
      </c>
      <c r="B1090" s="10" t="inlineStr">
        <is>
          <t>SO63210</t>
        </is>
      </c>
      <c r="C1090" s="10" t="inlineStr">
        <is>
          <t>C11982</t>
        </is>
      </c>
      <c r="D1090" s="10">
        <f>INDEX(Customers!$B:$B,MATCH(C1090,Customers!$A:$A,0))</f>
        <v/>
      </c>
      <c r="E1090" s="10">
        <f>INDEX(Customers!$D:$D,MATCH(C1090,Customers!$A:$A,0))</f>
        <v/>
      </c>
      <c r="F1090" s="10" t="inlineStr">
        <is>
          <t>Own trucks</t>
        </is>
      </c>
      <c r="G1090" s="5" t="n">
        <v>46272</v>
      </c>
      <c r="H1090" s="5" t="n">
        <v>46273</v>
      </c>
      <c r="I1090" s="5" t="n">
        <v>46273</v>
      </c>
      <c r="J1090" s="10" t="inlineStr">
        <is>
          <t>11:10</t>
        </is>
      </c>
      <c r="K1090" s="10" t="inlineStr">
        <is>
          <t>On time</t>
        </is>
      </c>
      <c r="L1090" s="6" t="n">
        <v>0</v>
      </c>
      <c r="M1090" s="10" t="n"/>
      <c r="N1090" s="6" t="n">
        <v>12</v>
      </c>
      <c r="O1090" s="6" t="n">
        <v>972</v>
      </c>
      <c r="P1090" s="6" t="n">
        <v>1</v>
      </c>
      <c r="Q1090" s="6">
        <f>IF(OR(K1090="On time",K1090="Late",K1090="Very late"),1,0)</f>
        <v/>
      </c>
    </row>
    <row r="1091">
      <c r="A1091" s="10" t="inlineStr">
        <is>
          <t>DN319319</t>
        </is>
      </c>
      <c r="B1091" s="10" t="inlineStr">
        <is>
          <t>SO63211</t>
        </is>
      </c>
      <c r="C1091" s="10" t="inlineStr">
        <is>
          <t>C12037</t>
        </is>
      </c>
      <c r="D1091" s="10">
        <f>INDEX(Customers!$B:$B,MATCH(C1091,Customers!$A:$A,0))</f>
        <v/>
      </c>
      <c r="E1091" s="10">
        <f>INDEX(Customers!$D:$D,MATCH(C1091,Customers!$A:$A,0))</f>
        <v/>
      </c>
      <c r="F1091" s="10" t="inlineStr">
        <is>
          <t>Own trucks</t>
        </is>
      </c>
      <c r="G1091" s="5" t="n">
        <v>46272</v>
      </c>
      <c r="H1091" s="5" t="n">
        <v>46273</v>
      </c>
      <c r="I1091" s="5" t="n">
        <v>46273</v>
      </c>
      <c r="J1091" s="10" t="inlineStr">
        <is>
          <t>09:00</t>
        </is>
      </c>
      <c r="K1091" s="10" t="inlineStr">
        <is>
          <t>On time</t>
        </is>
      </c>
      <c r="L1091" s="6" t="n">
        <v>0</v>
      </c>
      <c r="M1091" s="10" t="n"/>
      <c r="N1091" s="6" t="n">
        <v>33</v>
      </c>
      <c r="O1091" s="6" t="n">
        <v>3201</v>
      </c>
      <c r="P1091" s="6" t="n">
        <v>1</v>
      </c>
      <c r="Q1091" s="6">
        <f>IF(OR(K1091="On time",K1091="Late",K1091="Very late"),1,0)</f>
        <v/>
      </c>
    </row>
    <row r="1092">
      <c r="A1092" s="10" t="inlineStr">
        <is>
          <t>DN319320</t>
        </is>
      </c>
      <c r="B1092" s="10" t="inlineStr">
        <is>
          <t>SO63212</t>
        </is>
      </c>
      <c r="C1092" s="10" t="inlineStr">
        <is>
          <t>C12103</t>
        </is>
      </c>
      <c r="D1092" s="10">
        <f>INDEX(Customers!$B:$B,MATCH(C1092,Customers!$A:$A,0))</f>
        <v/>
      </c>
      <c r="E1092" s="10">
        <f>INDEX(Customers!$D:$D,MATCH(C1092,Customers!$A:$A,0))</f>
        <v/>
      </c>
      <c r="F1092" s="10" t="inlineStr">
        <is>
          <t>Own trucks</t>
        </is>
      </c>
      <c r="G1092" s="5" t="n">
        <v>46272</v>
      </c>
      <c r="H1092" s="5" t="n">
        <v>46273</v>
      </c>
      <c r="I1092" s="5" t="n">
        <v>46273</v>
      </c>
      <c r="J1092" s="10" t="inlineStr">
        <is>
          <t>10:00</t>
        </is>
      </c>
      <c r="K1092" s="10" t="inlineStr">
        <is>
          <t>On time</t>
        </is>
      </c>
      <c r="L1092" s="6" t="n">
        <v>0</v>
      </c>
      <c r="M1092" s="10" t="n"/>
      <c r="N1092" s="6" t="n">
        <v>9</v>
      </c>
      <c r="O1092" s="6" t="n">
        <v>738</v>
      </c>
      <c r="P1092" s="6" t="n">
        <v>1</v>
      </c>
      <c r="Q1092" s="6">
        <f>IF(OR(K1092="On time",K1092="Late",K1092="Very late"),1,0)</f>
        <v/>
      </c>
    </row>
    <row r="1093">
      <c r="A1093" s="10" t="inlineStr">
        <is>
          <t>DN319321</t>
        </is>
      </c>
      <c r="B1093" s="10" t="inlineStr">
        <is>
          <t>SO63213</t>
        </is>
      </c>
      <c r="C1093" s="10" t="inlineStr">
        <is>
          <t>C12183</t>
        </is>
      </c>
      <c r="D1093" s="10">
        <f>INDEX(Customers!$B:$B,MATCH(C1093,Customers!$A:$A,0))</f>
        <v/>
      </c>
      <c r="E1093" s="10">
        <f>INDEX(Customers!$D:$D,MATCH(C1093,Customers!$A:$A,0))</f>
        <v/>
      </c>
      <c r="F1093" s="10" t="inlineStr">
        <is>
          <t>Carrier B</t>
        </is>
      </c>
      <c r="G1093" s="5" t="n">
        <v>46272</v>
      </c>
      <c r="H1093" s="5" t="n">
        <v>46273</v>
      </c>
      <c r="I1093" s="5" t="n">
        <v>46273</v>
      </c>
      <c r="J1093" s="10" t="inlineStr">
        <is>
          <t>09:40</t>
        </is>
      </c>
      <c r="K1093" s="10" t="inlineStr">
        <is>
          <t>On time</t>
        </is>
      </c>
      <c r="L1093" s="6" t="n">
        <v>0</v>
      </c>
      <c r="M1093" s="10" t="n"/>
      <c r="N1093" s="6" t="n">
        <v>21</v>
      </c>
      <c r="O1093" s="6" t="n">
        <v>2184</v>
      </c>
      <c r="P1093" s="6" t="n">
        <v>1</v>
      </c>
      <c r="Q1093" s="6">
        <f>IF(OR(K1093="On time",K1093="Late",K1093="Very late"),1,0)</f>
        <v/>
      </c>
    </row>
    <row r="1094">
      <c r="A1094" s="10" t="inlineStr">
        <is>
          <t>DN319322</t>
        </is>
      </c>
      <c r="B1094" s="10" t="inlineStr">
        <is>
          <t>SO63214</t>
        </is>
      </c>
      <c r="C1094" s="10" t="inlineStr">
        <is>
          <t>C12239</t>
        </is>
      </c>
      <c r="D1094" s="10">
        <f>INDEX(Customers!$B:$B,MATCH(C1094,Customers!$A:$A,0))</f>
        <v/>
      </c>
      <c r="E1094" s="10">
        <f>INDEX(Customers!$D:$D,MATCH(C1094,Customers!$A:$A,0))</f>
        <v/>
      </c>
      <c r="F1094" s="10" t="inlineStr">
        <is>
          <t>Carrier B</t>
        </is>
      </c>
      <c r="G1094" s="5" t="n">
        <v>46272</v>
      </c>
      <c r="H1094" s="5" t="n">
        <v>46273</v>
      </c>
      <c r="I1094" s="5" t="n">
        <v>46274</v>
      </c>
      <c r="J1094" s="10" t="inlineStr">
        <is>
          <t>07:10</t>
        </is>
      </c>
      <c r="K1094" s="10" t="inlineStr">
        <is>
          <t>Late</t>
        </is>
      </c>
      <c r="L1094" s="6" t="n">
        <v>1</v>
      </c>
      <c r="M1094" s="10" t="inlineStr">
        <is>
          <t>Run overloaded</t>
        </is>
      </c>
      <c r="N1094" s="6" t="n">
        <v>32</v>
      </c>
      <c r="O1094" s="6" t="n">
        <v>1952</v>
      </c>
      <c r="P1094" s="6" t="n">
        <v>1</v>
      </c>
      <c r="Q1094" s="6">
        <f>IF(OR(K1094="On time",K1094="Late",K1094="Very late"),1,0)</f>
        <v/>
      </c>
    </row>
    <row r="1095">
      <c r="A1095" s="10" t="inlineStr">
        <is>
          <t>DN319323</t>
        </is>
      </c>
      <c r="B1095" s="10" t="inlineStr">
        <is>
          <t>SO63216</t>
        </is>
      </c>
      <c r="C1095" s="10" t="inlineStr">
        <is>
          <t>C12262</t>
        </is>
      </c>
      <c r="D1095" s="10">
        <f>INDEX(Customers!$B:$B,MATCH(C1095,Customers!$A:$A,0))</f>
        <v/>
      </c>
      <c r="E1095" s="10">
        <f>INDEX(Customers!$D:$D,MATCH(C1095,Customers!$A:$A,0))</f>
        <v/>
      </c>
      <c r="F1095" s="10" t="inlineStr">
        <is>
          <t>Carrier B</t>
        </is>
      </c>
      <c r="G1095" s="5" t="n">
        <v>46272</v>
      </c>
      <c r="H1095" s="5" t="n">
        <v>46273</v>
      </c>
      <c r="I1095" s="5" t="n">
        <v>46273</v>
      </c>
      <c r="J1095" s="10" t="inlineStr">
        <is>
          <t>14:30</t>
        </is>
      </c>
      <c r="K1095" s="10" t="inlineStr">
        <is>
          <t>On time</t>
        </is>
      </c>
      <c r="L1095" s="6" t="n">
        <v>0</v>
      </c>
      <c r="M1095" s="10" t="n"/>
      <c r="N1095" s="6" t="n">
        <v>11</v>
      </c>
      <c r="O1095" s="6" t="n">
        <v>1540</v>
      </c>
      <c r="P1095" s="6" t="n">
        <v>1</v>
      </c>
      <c r="Q1095" s="6">
        <f>IF(OR(K1095="On time",K1095="Late",K1095="Very late"),1,0)</f>
        <v/>
      </c>
    </row>
    <row r="1096">
      <c r="A1096" s="10" t="inlineStr">
        <is>
          <t>DN319324</t>
        </is>
      </c>
      <c r="B1096" s="10" t="inlineStr">
        <is>
          <t>SO63217</t>
        </is>
      </c>
      <c r="C1096" s="10" t="inlineStr">
        <is>
          <t>C12365</t>
        </is>
      </c>
      <c r="D1096" s="10">
        <f>INDEX(Customers!$B:$B,MATCH(C1096,Customers!$A:$A,0))</f>
        <v/>
      </c>
      <c r="E1096" s="10">
        <f>INDEX(Customers!$D:$D,MATCH(C1096,Customers!$A:$A,0))</f>
        <v/>
      </c>
      <c r="F1096" s="10" t="inlineStr">
        <is>
          <t>Carrier B</t>
        </is>
      </c>
      <c r="G1096" s="5" t="n">
        <v>46272</v>
      </c>
      <c r="H1096" s="5" t="n">
        <v>46273</v>
      </c>
      <c r="I1096" s="5" t="n">
        <v>46274</v>
      </c>
      <c r="J1096" s="10" t="inlineStr">
        <is>
          <t>08:40</t>
        </is>
      </c>
      <c r="K1096" s="10" t="inlineStr">
        <is>
          <t>Late</t>
        </is>
      </c>
      <c r="L1096" s="6" t="n">
        <v>1</v>
      </c>
      <c r="M1096" s="10" t="inlineStr">
        <is>
          <t>Carrier delay</t>
        </is>
      </c>
      <c r="N1096" s="6" t="n">
        <v>7</v>
      </c>
      <c r="O1096" s="6" t="n">
        <v>854</v>
      </c>
      <c r="P1096" s="6" t="n">
        <v>1</v>
      </c>
      <c r="Q1096" s="6">
        <f>IF(OR(K1096="On time",K1096="Late",K1096="Very late"),1,0)</f>
        <v/>
      </c>
    </row>
    <row r="1097">
      <c r="A1097" s="10" t="inlineStr">
        <is>
          <t>DN319325</t>
        </is>
      </c>
      <c r="B1097" s="10" t="inlineStr">
        <is>
          <t>SO63218</t>
        </is>
      </c>
      <c r="C1097" s="10" t="inlineStr">
        <is>
          <t>C12389</t>
        </is>
      </c>
      <c r="D1097" s="10">
        <f>INDEX(Customers!$B:$B,MATCH(C1097,Customers!$A:$A,0))</f>
        <v/>
      </c>
      <c r="E1097" s="10">
        <f>INDEX(Customers!$D:$D,MATCH(C1097,Customers!$A:$A,0))</f>
        <v/>
      </c>
      <c r="F1097" s="10" t="inlineStr">
        <is>
          <t>Carrier A</t>
        </is>
      </c>
      <c r="G1097" s="5" t="n">
        <v>46272</v>
      </c>
      <c r="H1097" s="5" t="n">
        <v>46273</v>
      </c>
      <c r="I1097" s="5" t="n">
        <v>46274</v>
      </c>
      <c r="J1097" s="10" t="inlineStr">
        <is>
          <t>09:50</t>
        </is>
      </c>
      <c r="K1097" s="10" t="inlineStr">
        <is>
          <t>Late</t>
        </is>
      </c>
      <c r="L1097" s="6" t="n">
        <v>1</v>
      </c>
      <c r="M1097" s="10" t="inlineStr">
        <is>
          <t>Wrong address</t>
        </is>
      </c>
      <c r="N1097" s="6" t="n">
        <v>9</v>
      </c>
      <c r="O1097" s="6" t="n">
        <v>774</v>
      </c>
      <c r="P1097" s="6" t="n">
        <v>1</v>
      </c>
      <c r="Q1097" s="6">
        <f>IF(OR(K1097="On time",K1097="Late",K1097="Very late"),1,0)</f>
        <v/>
      </c>
    </row>
    <row r="1098">
      <c r="A1098" s="10" t="inlineStr">
        <is>
          <t>DN319327</t>
        </is>
      </c>
      <c r="B1098" s="10" t="inlineStr">
        <is>
          <t>SO63220</t>
        </is>
      </c>
      <c r="C1098" s="10" t="inlineStr">
        <is>
          <t>C12420</t>
        </is>
      </c>
      <c r="D1098" s="10">
        <f>INDEX(Customers!$B:$B,MATCH(C1098,Customers!$A:$A,0))</f>
        <v/>
      </c>
      <c r="E1098" s="10">
        <f>INDEX(Customers!$D:$D,MATCH(C1098,Customers!$A:$A,0))</f>
        <v/>
      </c>
      <c r="F1098" s="10" t="inlineStr">
        <is>
          <t>Carrier A</t>
        </is>
      </c>
      <c r="G1098" s="5" t="n">
        <v>46272</v>
      </c>
      <c r="H1098" s="5" t="n">
        <v>46273</v>
      </c>
      <c r="I1098" s="5" t="n">
        <v>46273</v>
      </c>
      <c r="J1098" s="10" t="inlineStr">
        <is>
          <t>10:20</t>
        </is>
      </c>
      <c r="K1098" s="10" t="inlineStr">
        <is>
          <t>On time</t>
        </is>
      </c>
      <c r="L1098" s="6" t="n">
        <v>0</v>
      </c>
      <c r="M1098" s="10" t="n"/>
      <c r="N1098" s="6" t="n">
        <v>19</v>
      </c>
      <c r="O1098" s="6" t="n">
        <v>1710</v>
      </c>
      <c r="P1098" s="6" t="n">
        <v>1</v>
      </c>
      <c r="Q1098" s="6">
        <f>IF(OR(K1098="On time",K1098="Late",K1098="Very late"),1,0)</f>
        <v/>
      </c>
    </row>
    <row r="1099">
      <c r="A1099" s="10" t="inlineStr">
        <is>
          <t>DN319328</t>
        </is>
      </c>
      <c r="B1099" s="10" t="inlineStr">
        <is>
          <t>SO63222</t>
        </is>
      </c>
      <c r="C1099" s="10" t="inlineStr">
        <is>
          <t>C12490</t>
        </is>
      </c>
      <c r="D1099" s="10">
        <f>INDEX(Customers!$B:$B,MATCH(C1099,Customers!$A:$A,0))</f>
        <v/>
      </c>
      <c r="E1099" s="10">
        <f>INDEX(Customers!$D:$D,MATCH(C1099,Customers!$A:$A,0))</f>
        <v/>
      </c>
      <c r="F1099" s="10" t="inlineStr">
        <is>
          <t>Carrier A</t>
        </is>
      </c>
      <c r="G1099" s="5" t="n">
        <v>46272</v>
      </c>
      <c r="H1099" s="5" t="n">
        <v>46273</v>
      </c>
      <c r="I1099" s="5" t="n">
        <v>46276</v>
      </c>
      <c r="J1099" s="10" t="inlineStr">
        <is>
          <t>14:00</t>
        </is>
      </c>
      <c r="K1099" s="10" t="inlineStr">
        <is>
          <t>Very late</t>
        </is>
      </c>
      <c r="L1099" s="6" t="n">
        <v>3</v>
      </c>
      <c r="M1099" s="10" t="inlineStr">
        <is>
          <t>Carrier delay</t>
        </is>
      </c>
      <c r="N1099" s="6" t="n">
        <v>18</v>
      </c>
      <c r="O1099" s="6" t="n">
        <v>1062</v>
      </c>
      <c r="P1099" s="6" t="n">
        <v>1</v>
      </c>
      <c r="Q1099" s="6">
        <f>IF(OR(K1099="On time",K1099="Late",K1099="Very late"),1,0)</f>
        <v/>
      </c>
    </row>
    <row r="1100">
      <c r="A1100" s="10" t="inlineStr">
        <is>
          <t>DN319329</t>
        </is>
      </c>
      <c r="B1100" s="10" t="inlineStr">
        <is>
          <t>SO63223</t>
        </is>
      </c>
      <c r="C1100" s="10" t="inlineStr">
        <is>
          <t>C12543</t>
        </is>
      </c>
      <c r="D1100" s="10">
        <f>INDEX(Customers!$B:$B,MATCH(C1100,Customers!$A:$A,0))</f>
        <v/>
      </c>
      <c r="E1100" s="10">
        <f>INDEX(Customers!$D:$D,MATCH(C1100,Customers!$A:$A,0))</f>
        <v/>
      </c>
      <c r="F1100" s="10" t="inlineStr">
        <is>
          <t>Carrier B</t>
        </is>
      </c>
      <c r="G1100" s="5" t="n">
        <v>46269</v>
      </c>
      <c r="H1100" s="5" t="n">
        <v>46273</v>
      </c>
      <c r="I1100" s="5" t="n">
        <v>46273</v>
      </c>
      <c r="J1100" s="10" t="inlineStr">
        <is>
          <t>08:50</t>
        </is>
      </c>
      <c r="K1100" s="10" t="inlineStr">
        <is>
          <t>On time</t>
        </is>
      </c>
      <c r="L1100" s="6" t="n">
        <v>0</v>
      </c>
      <c r="M1100" s="10" t="n"/>
      <c r="N1100" s="6" t="n">
        <v>36</v>
      </c>
      <c r="O1100" s="6" t="n">
        <v>4104</v>
      </c>
      <c r="P1100" s="6" t="n">
        <v>1</v>
      </c>
      <c r="Q1100" s="6">
        <f>IF(OR(K1100="On time",K1100="Late",K1100="Very late"),1,0)</f>
        <v/>
      </c>
    </row>
    <row r="1101">
      <c r="A1101" s="10" t="inlineStr">
        <is>
          <t>DN319330</t>
        </is>
      </c>
      <c r="B1101" s="10" t="inlineStr">
        <is>
          <t>SO63225</t>
        </is>
      </c>
      <c r="C1101" s="10" t="inlineStr">
        <is>
          <t>C12617</t>
        </is>
      </c>
      <c r="D1101" s="10">
        <f>INDEX(Customers!$B:$B,MATCH(C1101,Customers!$A:$A,0))</f>
        <v/>
      </c>
      <c r="E1101" s="10">
        <f>INDEX(Customers!$D:$D,MATCH(C1101,Customers!$A:$A,0))</f>
        <v/>
      </c>
      <c r="F1101" s="10" t="inlineStr">
        <is>
          <t>Carrier B</t>
        </is>
      </c>
      <c r="G1101" s="5" t="n">
        <v>46269</v>
      </c>
      <c r="H1101" s="5" t="n">
        <v>46273</v>
      </c>
      <c r="I1101" s="5" t="n">
        <v>46273</v>
      </c>
      <c r="J1101" s="10" t="inlineStr">
        <is>
          <t>11:00</t>
        </is>
      </c>
      <c r="K1101" s="10" t="inlineStr">
        <is>
          <t>On time</t>
        </is>
      </c>
      <c r="L1101" s="6" t="n">
        <v>0</v>
      </c>
      <c r="M1101" s="10" t="n"/>
      <c r="N1101" s="6" t="n">
        <v>23</v>
      </c>
      <c r="O1101" s="6" t="n">
        <v>2323</v>
      </c>
      <c r="P1101" s="6" t="n">
        <v>1</v>
      </c>
      <c r="Q1101" s="6">
        <f>IF(OR(K1101="On time",K1101="Late",K1101="Very late"),1,0)</f>
        <v/>
      </c>
    </row>
    <row r="1102">
      <c r="A1102" s="10" t="inlineStr">
        <is>
          <t>DN319331</t>
        </is>
      </c>
      <c r="B1102" s="10" t="inlineStr">
        <is>
          <t>SO63226</t>
        </is>
      </c>
      <c r="C1102" s="10" t="inlineStr">
        <is>
          <t>C12639</t>
        </is>
      </c>
      <c r="D1102" s="10">
        <f>INDEX(Customers!$B:$B,MATCH(C1102,Customers!$A:$A,0))</f>
        <v/>
      </c>
      <c r="E1102" s="10">
        <f>INDEX(Customers!$D:$D,MATCH(C1102,Customers!$A:$A,0))</f>
        <v/>
      </c>
      <c r="F1102" s="10" t="inlineStr">
        <is>
          <t>Carrier B</t>
        </is>
      </c>
      <c r="G1102" s="5" t="n">
        <v>46269</v>
      </c>
      <c r="H1102" s="5" t="n">
        <v>46273</v>
      </c>
      <c r="I1102" s="5" t="n">
        <v>46273</v>
      </c>
      <c r="J1102" s="10" t="inlineStr">
        <is>
          <t>09:20</t>
        </is>
      </c>
      <c r="K1102" s="10" t="inlineStr">
        <is>
          <t>On time</t>
        </is>
      </c>
      <c r="L1102" s="6" t="n">
        <v>0</v>
      </c>
      <c r="M1102" s="10" t="n"/>
      <c r="N1102" s="6" t="n">
        <v>16</v>
      </c>
      <c r="O1102" s="6" t="n">
        <v>1904</v>
      </c>
      <c r="P1102" s="6" t="n">
        <v>1</v>
      </c>
      <c r="Q1102" s="6">
        <f>IF(OR(K1102="On time",K1102="Late",K1102="Very late"),1,0)</f>
        <v/>
      </c>
    </row>
    <row r="1103">
      <c r="A1103" s="10" t="inlineStr">
        <is>
          <t>DN319332</t>
        </is>
      </c>
      <c r="B1103" s="10" t="inlineStr">
        <is>
          <t>SO63228</t>
        </is>
      </c>
      <c r="C1103" s="10" t="inlineStr">
        <is>
          <t>C10322</t>
        </is>
      </c>
      <c r="D1103" s="10">
        <f>INDEX(Customers!$B:$B,MATCH(C1103,Customers!$A:$A,0))</f>
        <v/>
      </c>
      <c r="E1103" s="10">
        <f>INDEX(Customers!$D:$D,MATCH(C1103,Customers!$A:$A,0))</f>
        <v/>
      </c>
      <c r="F1103" s="10" t="inlineStr">
        <is>
          <t>Own trucks</t>
        </is>
      </c>
      <c r="G1103" s="5" t="n">
        <v>46273</v>
      </c>
      <c r="H1103" s="5" t="n">
        <v>46274</v>
      </c>
      <c r="I1103" s="5" t="n">
        <v>46274</v>
      </c>
      <c r="J1103" s="10" t="inlineStr">
        <is>
          <t>16:00</t>
        </is>
      </c>
      <c r="K1103" s="10" t="inlineStr">
        <is>
          <t>On time</t>
        </is>
      </c>
      <c r="L1103" s="6" t="n">
        <v>0</v>
      </c>
      <c r="M1103" s="10" t="n"/>
      <c r="N1103" s="6" t="n">
        <v>23</v>
      </c>
      <c r="O1103" s="6" t="n">
        <v>2875</v>
      </c>
      <c r="P1103" s="6" t="n">
        <v>1</v>
      </c>
      <c r="Q1103" s="6">
        <f>IF(OR(K1103="On time",K1103="Late",K1103="Very late"),1,0)</f>
        <v/>
      </c>
    </row>
    <row r="1104">
      <c r="A1104" s="10" t="inlineStr">
        <is>
          <t>DN319333</t>
        </is>
      </c>
      <c r="B1104" s="10" t="inlineStr">
        <is>
          <t>SO63229</t>
        </is>
      </c>
      <c r="C1104" s="10" t="inlineStr">
        <is>
          <t>C10343</t>
        </is>
      </c>
      <c r="D1104" s="10">
        <f>INDEX(Customers!$B:$B,MATCH(C1104,Customers!$A:$A,0))</f>
        <v/>
      </c>
      <c r="E1104" s="10">
        <f>INDEX(Customers!$D:$D,MATCH(C1104,Customers!$A:$A,0))</f>
        <v/>
      </c>
      <c r="F1104" s="10" t="inlineStr">
        <is>
          <t>Own trucks</t>
        </is>
      </c>
      <c r="G1104" s="5" t="n">
        <v>46273</v>
      </c>
      <c r="H1104" s="5" t="n">
        <v>46274</v>
      </c>
      <c r="I1104" s="5" t="n">
        <v>46274</v>
      </c>
      <c r="J1104" s="10" t="inlineStr">
        <is>
          <t>11:50</t>
        </is>
      </c>
      <c r="K1104" s="10" t="inlineStr">
        <is>
          <t>On time</t>
        </is>
      </c>
      <c r="L1104" s="6" t="n">
        <v>0</v>
      </c>
      <c r="M1104" s="10" t="n"/>
      <c r="N1104" s="6" t="n">
        <v>35</v>
      </c>
      <c r="O1104" s="6" t="n">
        <v>3640</v>
      </c>
      <c r="P1104" s="6" t="n">
        <v>1</v>
      </c>
      <c r="Q1104" s="6">
        <f>IF(OR(K1104="On time",K1104="Late",K1104="Very late"),1,0)</f>
        <v/>
      </c>
    </row>
    <row r="1105">
      <c r="A1105" s="10" t="inlineStr">
        <is>
          <t>DN319334</t>
        </is>
      </c>
      <c r="B1105" s="10" t="inlineStr">
        <is>
          <t>SO63231</t>
        </is>
      </c>
      <c r="C1105" s="10" t="inlineStr">
        <is>
          <t>C10413</t>
        </is>
      </c>
      <c r="D1105" s="10">
        <f>INDEX(Customers!$B:$B,MATCH(C1105,Customers!$A:$A,0))</f>
        <v/>
      </c>
      <c r="E1105" s="10">
        <f>INDEX(Customers!$D:$D,MATCH(C1105,Customers!$A:$A,0))</f>
        <v/>
      </c>
      <c r="F1105" s="10" t="inlineStr">
        <is>
          <t>Own trucks</t>
        </is>
      </c>
      <c r="G1105" s="5" t="n">
        <v>46273</v>
      </c>
      <c r="H1105" s="5" t="n">
        <v>46274</v>
      </c>
      <c r="I1105" s="5" t="n">
        <v>46274</v>
      </c>
      <c r="J1105" s="10" t="inlineStr">
        <is>
          <t>07:40</t>
        </is>
      </c>
      <c r="K1105" s="10" t="inlineStr">
        <is>
          <t>On time</t>
        </is>
      </c>
      <c r="L1105" s="6" t="n">
        <v>0</v>
      </c>
      <c r="M1105" s="10" t="n"/>
      <c r="N1105" s="6" t="n">
        <v>32</v>
      </c>
      <c r="O1105" s="6" t="n">
        <v>3488</v>
      </c>
      <c r="P1105" s="6" t="n">
        <v>1</v>
      </c>
      <c r="Q1105" s="6">
        <f>IF(OR(K1105="On time",K1105="Late",K1105="Very late"),1,0)</f>
        <v/>
      </c>
    </row>
    <row r="1106">
      <c r="A1106" s="10" t="inlineStr">
        <is>
          <t>DN319335</t>
        </is>
      </c>
      <c r="B1106" s="10" t="inlineStr">
        <is>
          <t>SO63232</t>
        </is>
      </c>
      <c r="C1106" s="10" t="inlineStr">
        <is>
          <t>C10515</t>
        </is>
      </c>
      <c r="D1106" s="10">
        <f>INDEX(Customers!$B:$B,MATCH(C1106,Customers!$A:$A,0))</f>
        <v/>
      </c>
      <c r="E1106" s="10">
        <f>INDEX(Customers!$D:$D,MATCH(C1106,Customers!$A:$A,0))</f>
        <v/>
      </c>
      <c r="F1106" s="10" t="inlineStr">
        <is>
          <t>Same-day courier</t>
        </is>
      </c>
      <c r="G1106" s="5" t="n">
        <v>46273</v>
      </c>
      <c r="H1106" s="5" t="n">
        <v>46274</v>
      </c>
      <c r="I1106" s="5" t="n">
        <v>46274</v>
      </c>
      <c r="J1106" s="10" t="inlineStr">
        <is>
          <t>13:50</t>
        </is>
      </c>
      <c r="K1106" s="10" t="inlineStr">
        <is>
          <t>On time</t>
        </is>
      </c>
      <c r="L1106" s="6" t="n">
        <v>0</v>
      </c>
      <c r="M1106" s="10" t="n"/>
      <c r="N1106" s="6" t="n">
        <v>4</v>
      </c>
      <c r="O1106" s="6" t="n">
        <v>236</v>
      </c>
      <c r="P1106" s="6" t="n">
        <v>1</v>
      </c>
      <c r="Q1106" s="6">
        <f>IF(OR(K1106="On time",K1106="Late",K1106="Very late"),1,0)</f>
        <v/>
      </c>
    </row>
    <row r="1107">
      <c r="A1107" s="10" t="inlineStr">
        <is>
          <t>DN319336</t>
        </is>
      </c>
      <c r="B1107" s="10" t="inlineStr">
        <is>
          <t>SO63233</t>
        </is>
      </c>
      <c r="C1107" s="10" t="inlineStr">
        <is>
          <t>C10522</t>
        </is>
      </c>
      <c r="D1107" s="10">
        <f>INDEX(Customers!$B:$B,MATCH(C1107,Customers!$A:$A,0))</f>
        <v/>
      </c>
      <c r="E1107" s="10">
        <f>INDEX(Customers!$D:$D,MATCH(C1107,Customers!$A:$A,0))</f>
        <v/>
      </c>
      <c r="F1107" s="10" t="inlineStr">
        <is>
          <t>Own trucks</t>
        </is>
      </c>
      <c r="G1107" s="5" t="n">
        <v>46273</v>
      </c>
      <c r="H1107" s="5" t="n">
        <v>46274</v>
      </c>
      <c r="I1107" s="5" t="n">
        <v>46274</v>
      </c>
      <c r="J1107" s="10" t="inlineStr">
        <is>
          <t>08:10</t>
        </is>
      </c>
      <c r="K1107" s="10" t="inlineStr">
        <is>
          <t>On time</t>
        </is>
      </c>
      <c r="L1107" s="6" t="n">
        <v>0</v>
      </c>
      <c r="M1107" s="10" t="n"/>
      <c r="N1107" s="6" t="n">
        <v>20</v>
      </c>
      <c r="O1107" s="6" t="n">
        <v>1640</v>
      </c>
      <c r="P1107" s="6" t="n">
        <v>1</v>
      </c>
      <c r="Q1107" s="6">
        <f>IF(OR(K1107="On time",K1107="Late",K1107="Very late"),1,0)</f>
        <v/>
      </c>
    </row>
    <row r="1108">
      <c r="A1108" s="10" t="inlineStr">
        <is>
          <t>DN319337</t>
        </is>
      </c>
      <c r="B1108" s="10" t="inlineStr">
        <is>
          <t>SO63234</t>
        </is>
      </c>
      <c r="C1108" s="10" t="inlineStr">
        <is>
          <t>C10536</t>
        </is>
      </c>
      <c r="D1108" s="10">
        <f>INDEX(Customers!$B:$B,MATCH(C1108,Customers!$A:$A,0))</f>
        <v/>
      </c>
      <c r="E1108" s="10">
        <f>INDEX(Customers!$D:$D,MATCH(C1108,Customers!$A:$A,0))</f>
        <v/>
      </c>
      <c r="F1108" s="10" t="inlineStr">
        <is>
          <t>Own trucks</t>
        </is>
      </c>
      <c r="G1108" s="5" t="n">
        <v>46273</v>
      </c>
      <c r="H1108" s="5" t="n">
        <v>46274</v>
      </c>
      <c r="I1108" s="5" t="n">
        <v>46274</v>
      </c>
      <c r="J1108" s="10" t="inlineStr">
        <is>
          <t>11:20</t>
        </is>
      </c>
      <c r="K1108" s="10" t="inlineStr">
        <is>
          <t>On time</t>
        </is>
      </c>
      <c r="L1108" s="6" t="n">
        <v>0</v>
      </c>
      <c r="M1108" s="10" t="n"/>
      <c r="N1108" s="6" t="n">
        <v>29</v>
      </c>
      <c r="O1108" s="6" t="n">
        <v>3973</v>
      </c>
      <c r="P1108" s="6" t="n">
        <v>1</v>
      </c>
      <c r="Q1108" s="6">
        <f>IF(OR(K1108="On time",K1108="Late",K1108="Very late"),1,0)</f>
        <v/>
      </c>
    </row>
    <row r="1109">
      <c r="A1109" s="10" t="inlineStr">
        <is>
          <t>DN319338</t>
        </is>
      </c>
      <c r="B1109" s="10" t="inlineStr">
        <is>
          <t>SO63236</t>
        </is>
      </c>
      <c r="C1109" s="10" t="inlineStr">
        <is>
          <t>C10551</t>
        </is>
      </c>
      <c r="D1109" s="10">
        <f>INDEX(Customers!$B:$B,MATCH(C1109,Customers!$A:$A,0))</f>
        <v/>
      </c>
      <c r="E1109" s="10">
        <f>INDEX(Customers!$D:$D,MATCH(C1109,Customers!$A:$A,0))</f>
        <v/>
      </c>
      <c r="F1109" s="10" t="inlineStr">
        <is>
          <t>Own trucks</t>
        </is>
      </c>
      <c r="G1109" s="5" t="n">
        <v>46273</v>
      </c>
      <c r="H1109" s="5" t="n">
        <v>46274</v>
      </c>
      <c r="I1109" s="5" t="n">
        <v>46274</v>
      </c>
      <c r="J1109" s="10" t="inlineStr">
        <is>
          <t>15:50</t>
        </is>
      </c>
      <c r="K1109" s="10" t="inlineStr">
        <is>
          <t>On time</t>
        </is>
      </c>
      <c r="L1109" s="6" t="n">
        <v>0</v>
      </c>
      <c r="M1109" s="10" t="n"/>
      <c r="N1109" s="6" t="n">
        <v>37</v>
      </c>
      <c r="O1109" s="6" t="n">
        <v>5069</v>
      </c>
      <c r="P1109" s="6" t="n">
        <v>1</v>
      </c>
      <c r="Q1109" s="6">
        <f>IF(OR(K1109="On time",K1109="Late",K1109="Very late"),1,0)</f>
        <v/>
      </c>
    </row>
    <row r="1110">
      <c r="A1110" s="10" t="inlineStr">
        <is>
          <t>DN319339</t>
        </is>
      </c>
      <c r="B1110" s="10" t="inlineStr">
        <is>
          <t>SO63237</t>
        </is>
      </c>
      <c r="C1110" s="10" t="inlineStr">
        <is>
          <t>C10622</t>
        </is>
      </c>
      <c r="D1110" s="10">
        <f>INDEX(Customers!$B:$B,MATCH(C1110,Customers!$A:$A,0))</f>
        <v/>
      </c>
      <c r="E1110" s="10">
        <f>INDEX(Customers!$D:$D,MATCH(C1110,Customers!$A:$A,0))</f>
        <v/>
      </c>
      <c r="F1110" s="10" t="inlineStr">
        <is>
          <t>Own trucks</t>
        </is>
      </c>
      <c r="G1110" s="5" t="n">
        <v>46273</v>
      </c>
      <c r="H1110" s="5" t="n">
        <v>46274</v>
      </c>
      <c r="I1110" s="5" t="n">
        <v>46274</v>
      </c>
      <c r="J1110" s="10" t="inlineStr">
        <is>
          <t>08:10</t>
        </is>
      </c>
      <c r="K1110" s="10" t="inlineStr">
        <is>
          <t>On time</t>
        </is>
      </c>
      <c r="L1110" s="6" t="n">
        <v>0</v>
      </c>
      <c r="M1110" s="10" t="n"/>
      <c r="N1110" s="6" t="n">
        <v>16</v>
      </c>
      <c r="O1110" s="6" t="n">
        <v>2000</v>
      </c>
      <c r="P1110" s="6" t="n">
        <v>1</v>
      </c>
      <c r="Q1110" s="6">
        <f>IF(OR(K1110="On time",K1110="Late",K1110="Very late"),1,0)</f>
        <v/>
      </c>
    </row>
    <row r="1111">
      <c r="A1111" s="10" t="inlineStr">
        <is>
          <t>DN319340</t>
        </is>
      </c>
      <c r="B1111" s="10" t="inlineStr">
        <is>
          <t>SO63238</t>
        </is>
      </c>
      <c r="C1111" s="10" t="inlineStr">
        <is>
          <t>C10676</t>
        </is>
      </c>
      <c r="D1111" s="10">
        <f>INDEX(Customers!$B:$B,MATCH(C1111,Customers!$A:$A,0))</f>
        <v/>
      </c>
      <c r="E1111" s="10">
        <f>INDEX(Customers!$D:$D,MATCH(C1111,Customers!$A:$A,0))</f>
        <v/>
      </c>
      <c r="F1111" s="10" t="inlineStr">
        <is>
          <t>Own trucks</t>
        </is>
      </c>
      <c r="G1111" s="5" t="n">
        <v>46273</v>
      </c>
      <c r="H1111" s="5" t="n">
        <v>46274</v>
      </c>
      <c r="I1111" s="5" t="n">
        <v>46274</v>
      </c>
      <c r="J1111" s="10" t="inlineStr">
        <is>
          <t>07:30</t>
        </is>
      </c>
      <c r="K1111" s="10" t="inlineStr">
        <is>
          <t>On time</t>
        </is>
      </c>
      <c r="L1111" s="6" t="n">
        <v>0</v>
      </c>
      <c r="M1111" s="10" t="n"/>
      <c r="N1111" s="6" t="n">
        <v>18</v>
      </c>
      <c r="O1111" s="6" t="n">
        <v>1512</v>
      </c>
      <c r="P1111" s="6" t="n">
        <v>1</v>
      </c>
      <c r="Q1111" s="6">
        <f>IF(OR(K1111="On time",K1111="Late",K1111="Very late"),1,0)</f>
        <v/>
      </c>
    </row>
    <row r="1112">
      <c r="A1112" s="10" t="inlineStr">
        <is>
          <t>DN319341</t>
        </is>
      </c>
      <c r="B1112" s="10" t="inlineStr">
        <is>
          <t>SO63240</t>
        </is>
      </c>
      <c r="C1112" s="10" t="inlineStr">
        <is>
          <t>C10746</t>
        </is>
      </c>
      <c r="D1112" s="10">
        <f>INDEX(Customers!$B:$B,MATCH(C1112,Customers!$A:$A,0))</f>
        <v/>
      </c>
      <c r="E1112" s="10">
        <f>INDEX(Customers!$D:$D,MATCH(C1112,Customers!$A:$A,0))</f>
        <v/>
      </c>
      <c r="F1112" s="10" t="inlineStr">
        <is>
          <t>Own trucks</t>
        </is>
      </c>
      <c r="G1112" s="5" t="n">
        <v>46273</v>
      </c>
      <c r="H1112" s="5" t="n">
        <v>46274</v>
      </c>
      <c r="I1112" s="5" t="n">
        <v>46274</v>
      </c>
      <c r="J1112" s="10" t="inlineStr">
        <is>
          <t>11:50</t>
        </is>
      </c>
      <c r="K1112" s="10" t="inlineStr">
        <is>
          <t>On time</t>
        </is>
      </c>
      <c r="L1112" s="6" t="n">
        <v>0</v>
      </c>
      <c r="M1112" s="10" t="n"/>
      <c r="N1112" s="6" t="n">
        <v>37</v>
      </c>
      <c r="O1112" s="6" t="n">
        <v>2923</v>
      </c>
      <c r="P1112" s="6" t="n">
        <v>1</v>
      </c>
      <c r="Q1112" s="6">
        <f>IF(OR(K1112="On time",K1112="Late",K1112="Very late"),1,0)</f>
        <v/>
      </c>
    </row>
    <row r="1113">
      <c r="A1113" s="10" t="inlineStr">
        <is>
          <t>DN319342</t>
        </is>
      </c>
      <c r="B1113" s="10" t="inlineStr">
        <is>
          <t>SO63242</t>
        </is>
      </c>
      <c r="C1113" s="10" t="inlineStr">
        <is>
          <t>C10796</t>
        </is>
      </c>
      <c r="D1113" s="10">
        <f>INDEX(Customers!$B:$B,MATCH(C1113,Customers!$A:$A,0))</f>
        <v/>
      </c>
      <c r="E1113" s="10">
        <f>INDEX(Customers!$D:$D,MATCH(C1113,Customers!$A:$A,0))</f>
        <v/>
      </c>
      <c r="F1113" s="10" t="inlineStr">
        <is>
          <t>Own trucks</t>
        </is>
      </c>
      <c r="G1113" s="5" t="n">
        <v>46273</v>
      </c>
      <c r="H1113" s="5" t="n">
        <v>46274</v>
      </c>
      <c r="I1113" s="5" t="n">
        <v>46274</v>
      </c>
      <c r="J1113" s="10" t="inlineStr">
        <is>
          <t>14:20</t>
        </is>
      </c>
      <c r="K1113" s="10" t="inlineStr">
        <is>
          <t>On time</t>
        </is>
      </c>
      <c r="L1113" s="6" t="n">
        <v>0</v>
      </c>
      <c r="M1113" s="10" t="n"/>
      <c r="N1113" s="6" t="n">
        <v>40</v>
      </c>
      <c r="O1113" s="6" t="n">
        <v>4360</v>
      </c>
      <c r="P1113" s="6" t="n">
        <v>1</v>
      </c>
      <c r="Q1113" s="6">
        <f>IF(OR(K1113="On time",K1113="Late",K1113="Very late"),1,0)</f>
        <v/>
      </c>
    </row>
    <row r="1114">
      <c r="A1114" s="10" t="inlineStr">
        <is>
          <t>DN319343</t>
        </is>
      </c>
      <c r="B1114" s="10" t="inlineStr">
        <is>
          <t>SO63243</t>
        </is>
      </c>
      <c r="C1114" s="10" t="inlineStr">
        <is>
          <t>C10847</t>
        </is>
      </c>
      <c r="D1114" s="10">
        <f>INDEX(Customers!$B:$B,MATCH(C1114,Customers!$A:$A,0))</f>
        <v/>
      </c>
      <c r="E1114" s="10">
        <f>INDEX(Customers!$D:$D,MATCH(C1114,Customers!$A:$A,0))</f>
        <v/>
      </c>
      <c r="F1114" s="10" t="inlineStr">
        <is>
          <t>Own trucks</t>
        </is>
      </c>
      <c r="G1114" s="5" t="n">
        <v>46273</v>
      </c>
      <c r="H1114" s="5" t="n">
        <v>46274</v>
      </c>
      <c r="I1114" s="5" t="n">
        <v>46274</v>
      </c>
      <c r="J1114" s="10" t="inlineStr">
        <is>
          <t>16:10</t>
        </is>
      </c>
      <c r="K1114" s="10" t="inlineStr">
        <is>
          <t>On time</t>
        </is>
      </c>
      <c r="L1114" s="6" t="n">
        <v>0</v>
      </c>
      <c r="M1114" s="10" t="n"/>
      <c r="N1114" s="6" t="n">
        <v>7</v>
      </c>
      <c r="O1114" s="6" t="n">
        <v>399</v>
      </c>
      <c r="P1114" s="6" t="n">
        <v>1</v>
      </c>
      <c r="Q1114" s="6">
        <f>IF(OR(K1114="On time",K1114="Late",K1114="Very late"),1,0)</f>
        <v/>
      </c>
    </row>
    <row r="1115">
      <c r="A1115" s="10" t="inlineStr">
        <is>
          <t>DN319344</t>
        </is>
      </c>
      <c r="B1115" s="10" t="inlineStr">
        <is>
          <t>SO63244</t>
        </is>
      </c>
      <c r="C1115" s="10" t="inlineStr">
        <is>
          <t>C10915</t>
        </is>
      </c>
      <c r="D1115" s="10">
        <f>INDEX(Customers!$B:$B,MATCH(C1115,Customers!$A:$A,0))</f>
        <v/>
      </c>
      <c r="E1115" s="10">
        <f>INDEX(Customers!$D:$D,MATCH(C1115,Customers!$A:$A,0))</f>
        <v/>
      </c>
      <c r="F1115" s="10" t="inlineStr">
        <is>
          <t>Own trucks</t>
        </is>
      </c>
      <c r="G1115" s="5" t="n">
        <v>46273</v>
      </c>
      <c r="H1115" s="5" t="n">
        <v>46274</v>
      </c>
      <c r="I1115" s="5" t="n">
        <v>46274</v>
      </c>
      <c r="J1115" s="10" t="inlineStr">
        <is>
          <t>12:00</t>
        </is>
      </c>
      <c r="K1115" s="10" t="inlineStr">
        <is>
          <t>On time</t>
        </is>
      </c>
      <c r="L1115" s="6" t="n">
        <v>0</v>
      </c>
      <c r="M1115" s="10" t="n"/>
      <c r="N1115" s="6" t="n">
        <v>29</v>
      </c>
      <c r="O1115" s="6" t="n">
        <v>2059</v>
      </c>
      <c r="P1115" s="6" t="n">
        <v>1</v>
      </c>
      <c r="Q1115" s="6">
        <f>IF(OR(K1115="On time",K1115="Late",K1115="Very late"),1,0)</f>
        <v/>
      </c>
    </row>
    <row r="1116">
      <c r="A1116" s="10" t="inlineStr">
        <is>
          <t>DN319345</t>
        </is>
      </c>
      <c r="B1116" s="10" t="inlineStr">
        <is>
          <t>SO63245</t>
        </is>
      </c>
      <c r="C1116" s="10" t="inlineStr">
        <is>
          <t>C10982</t>
        </is>
      </c>
      <c r="D1116" s="10">
        <f>INDEX(Customers!$B:$B,MATCH(C1116,Customers!$A:$A,0))</f>
        <v/>
      </c>
      <c r="E1116" s="10">
        <f>INDEX(Customers!$D:$D,MATCH(C1116,Customers!$A:$A,0))</f>
        <v/>
      </c>
      <c r="F1116" s="10" t="inlineStr">
        <is>
          <t>Own trucks</t>
        </is>
      </c>
      <c r="G1116" s="5" t="n">
        <v>46273</v>
      </c>
      <c r="H1116" s="5" t="n">
        <v>46274</v>
      </c>
      <c r="I1116" s="5" t="n">
        <v>46274</v>
      </c>
      <c r="J1116" s="10" t="inlineStr">
        <is>
          <t>09:00</t>
        </is>
      </c>
      <c r="K1116" s="10" t="inlineStr">
        <is>
          <t>On time</t>
        </is>
      </c>
      <c r="L1116" s="6" t="n">
        <v>0</v>
      </c>
      <c r="M1116" s="10" t="n"/>
      <c r="N1116" s="6" t="n">
        <v>40</v>
      </c>
      <c r="O1116" s="6" t="n">
        <v>3360</v>
      </c>
      <c r="P1116" s="6" t="n">
        <v>1</v>
      </c>
      <c r="Q1116" s="6">
        <f>IF(OR(K1116="On time",K1116="Late",K1116="Very late"),1,0)</f>
        <v/>
      </c>
    </row>
    <row r="1117">
      <c r="A1117" s="10" t="inlineStr">
        <is>
          <t>DN319347</t>
        </is>
      </c>
      <c r="B1117" s="10" t="inlineStr">
        <is>
          <t>SO63246</t>
        </is>
      </c>
      <c r="C1117" s="10" t="inlineStr">
        <is>
          <t>C11107</t>
        </is>
      </c>
      <c r="D1117" s="10">
        <f>INDEX(Customers!$B:$B,MATCH(C1117,Customers!$A:$A,0))</f>
        <v/>
      </c>
      <c r="E1117" s="10">
        <f>INDEX(Customers!$D:$D,MATCH(C1117,Customers!$A:$A,0))</f>
        <v/>
      </c>
      <c r="F1117" s="10" t="inlineStr">
        <is>
          <t>Own trucks</t>
        </is>
      </c>
      <c r="G1117" s="5" t="n">
        <v>46273</v>
      </c>
      <c r="H1117" s="5" t="n">
        <v>46274</v>
      </c>
      <c r="I1117" s="5" t="n">
        <v>46274</v>
      </c>
      <c r="J1117" s="10" t="inlineStr">
        <is>
          <t>13:30</t>
        </is>
      </c>
      <c r="K1117" s="10" t="inlineStr">
        <is>
          <t>On time</t>
        </is>
      </c>
      <c r="L1117" s="6" t="n">
        <v>0</v>
      </c>
      <c r="M1117" s="10" t="n"/>
      <c r="N1117" s="6" t="n">
        <v>36</v>
      </c>
      <c r="O1117" s="6" t="n">
        <v>4104</v>
      </c>
      <c r="P1117" s="6" t="n">
        <v>1</v>
      </c>
      <c r="Q1117" s="6">
        <f>IF(OR(K1117="On time",K1117="Late",K1117="Very late"),1,0)</f>
        <v/>
      </c>
    </row>
    <row r="1118">
      <c r="A1118" s="10" t="inlineStr">
        <is>
          <t>DN319348</t>
        </is>
      </c>
      <c r="B1118" s="10" t="inlineStr">
        <is>
          <t>SO63247</t>
        </is>
      </c>
      <c r="C1118" s="10" t="inlineStr">
        <is>
          <t>C11143</t>
        </is>
      </c>
      <c r="D1118" s="10">
        <f>INDEX(Customers!$B:$B,MATCH(C1118,Customers!$A:$A,0))</f>
        <v/>
      </c>
      <c r="E1118" s="10">
        <f>INDEX(Customers!$D:$D,MATCH(C1118,Customers!$A:$A,0))</f>
        <v/>
      </c>
      <c r="F1118" s="10" t="inlineStr">
        <is>
          <t>Own trucks</t>
        </is>
      </c>
      <c r="G1118" s="5" t="n">
        <v>46273</v>
      </c>
      <c r="H1118" s="5" t="n">
        <v>46274</v>
      </c>
      <c r="I1118" s="5" t="n">
        <v>46274</v>
      </c>
      <c r="J1118" s="10" t="inlineStr">
        <is>
          <t>13:40</t>
        </is>
      </c>
      <c r="K1118" s="10" t="inlineStr">
        <is>
          <t>On time</t>
        </is>
      </c>
      <c r="L1118" s="6" t="n">
        <v>0</v>
      </c>
      <c r="M1118" s="10" t="n"/>
      <c r="N1118" s="6" t="n">
        <v>6</v>
      </c>
      <c r="O1118" s="6" t="n">
        <v>342</v>
      </c>
      <c r="P1118" s="6" t="n">
        <v>1</v>
      </c>
      <c r="Q1118" s="6">
        <f>IF(OR(K1118="On time",K1118="Late",K1118="Very late"),1,0)</f>
        <v/>
      </c>
    </row>
    <row r="1119">
      <c r="A1119" s="10" t="inlineStr">
        <is>
          <t>DN319349</t>
        </is>
      </c>
      <c r="B1119" s="10" t="inlineStr">
        <is>
          <t>SO63248</t>
        </is>
      </c>
      <c r="C1119" s="10" t="inlineStr">
        <is>
          <t>C11247</t>
        </is>
      </c>
      <c r="D1119" s="10">
        <f>INDEX(Customers!$B:$B,MATCH(C1119,Customers!$A:$A,0))</f>
        <v/>
      </c>
      <c r="E1119" s="10">
        <f>INDEX(Customers!$D:$D,MATCH(C1119,Customers!$A:$A,0))</f>
        <v/>
      </c>
      <c r="F1119" s="10" t="inlineStr">
        <is>
          <t>Own trucks</t>
        </is>
      </c>
      <c r="G1119" s="5" t="n">
        <v>46273</v>
      </c>
      <c r="H1119" s="5" t="n">
        <v>46274</v>
      </c>
      <c r="I1119" s="5" t="n">
        <v>46274</v>
      </c>
      <c r="J1119" s="10" t="inlineStr">
        <is>
          <t>10:10</t>
        </is>
      </c>
      <c r="K1119" s="10" t="inlineStr">
        <is>
          <t>On time</t>
        </is>
      </c>
      <c r="L1119" s="6" t="n">
        <v>0</v>
      </c>
      <c r="M1119" s="10" t="n"/>
      <c r="N1119" s="6" t="n">
        <v>14</v>
      </c>
      <c r="O1119" s="6" t="n">
        <v>896</v>
      </c>
      <c r="P1119" s="6" t="n">
        <v>1</v>
      </c>
      <c r="Q1119" s="6">
        <f>IF(OR(K1119="On time",K1119="Late",K1119="Very late"),1,0)</f>
        <v/>
      </c>
    </row>
    <row r="1120">
      <c r="A1120" s="10" t="inlineStr">
        <is>
          <t>DN319350</t>
        </is>
      </c>
      <c r="B1120" s="10" t="inlineStr">
        <is>
          <t>SO63249</t>
        </is>
      </c>
      <c r="C1120" s="10" t="inlineStr">
        <is>
          <t>C11264</t>
        </is>
      </c>
      <c r="D1120" s="10">
        <f>INDEX(Customers!$B:$B,MATCH(C1120,Customers!$A:$A,0))</f>
        <v/>
      </c>
      <c r="E1120" s="10">
        <f>INDEX(Customers!$D:$D,MATCH(C1120,Customers!$A:$A,0))</f>
        <v/>
      </c>
      <c r="F1120" s="10" t="inlineStr">
        <is>
          <t>Own trucks</t>
        </is>
      </c>
      <c r="G1120" s="5" t="n">
        <v>46273</v>
      </c>
      <c r="H1120" s="5" t="n">
        <v>46274</v>
      </c>
      <c r="I1120" s="5" t="n">
        <v>46274</v>
      </c>
      <c r="J1120" s="10" t="inlineStr">
        <is>
          <t>09:20</t>
        </is>
      </c>
      <c r="K1120" s="10" t="inlineStr">
        <is>
          <t>On time</t>
        </is>
      </c>
      <c r="L1120" s="6" t="n">
        <v>0</v>
      </c>
      <c r="M1120" s="10" t="n"/>
      <c r="N1120" s="6" t="n">
        <v>2</v>
      </c>
      <c r="O1120" s="6" t="n">
        <v>120</v>
      </c>
      <c r="P1120" s="6" t="n">
        <v>1</v>
      </c>
      <c r="Q1120" s="6">
        <f>IF(OR(K1120="On time",K1120="Late",K1120="Very late"),1,0)</f>
        <v/>
      </c>
    </row>
    <row r="1121">
      <c r="A1121" s="10" t="inlineStr">
        <is>
          <t>DN319351</t>
        </is>
      </c>
      <c r="B1121" s="10" t="inlineStr">
        <is>
          <t>SO63250</t>
        </is>
      </c>
      <c r="C1121" s="10" t="inlineStr">
        <is>
          <t>C11314</t>
        </is>
      </c>
      <c r="D1121" s="10">
        <f>INDEX(Customers!$B:$B,MATCH(C1121,Customers!$A:$A,0))</f>
        <v/>
      </c>
      <c r="E1121" s="10">
        <f>INDEX(Customers!$D:$D,MATCH(C1121,Customers!$A:$A,0))</f>
        <v/>
      </c>
      <c r="F1121" s="10" t="inlineStr">
        <is>
          <t>Own trucks</t>
        </is>
      </c>
      <c r="G1121" s="5" t="n">
        <v>46273</v>
      </c>
      <c r="H1121" s="5" t="n">
        <v>46274</v>
      </c>
      <c r="I1121" s="5" t="n">
        <v>46274</v>
      </c>
      <c r="J1121" s="10" t="inlineStr">
        <is>
          <t>08:40</t>
        </is>
      </c>
      <c r="K1121" s="10" t="inlineStr">
        <is>
          <t>On time</t>
        </is>
      </c>
      <c r="L1121" s="6" t="n">
        <v>0</v>
      </c>
      <c r="M1121" s="10" t="n"/>
      <c r="N1121" s="6" t="n">
        <v>17</v>
      </c>
      <c r="O1121" s="6" t="n">
        <v>1547</v>
      </c>
      <c r="P1121" s="6" t="n">
        <v>1</v>
      </c>
      <c r="Q1121" s="6">
        <f>IF(OR(K1121="On time",K1121="Late",K1121="Very late"),1,0)</f>
        <v/>
      </c>
    </row>
    <row r="1122">
      <c r="A1122" s="10" t="inlineStr">
        <is>
          <t>DN319352</t>
        </is>
      </c>
      <c r="B1122" s="10" t="inlineStr">
        <is>
          <t>SO63252</t>
        </is>
      </c>
      <c r="C1122" s="10" t="inlineStr">
        <is>
          <t>C11333</t>
        </is>
      </c>
      <c r="D1122" s="10">
        <f>INDEX(Customers!$B:$B,MATCH(C1122,Customers!$A:$A,0))</f>
        <v/>
      </c>
      <c r="E1122" s="10">
        <f>INDEX(Customers!$D:$D,MATCH(C1122,Customers!$A:$A,0))</f>
        <v/>
      </c>
      <c r="F1122" s="10" t="inlineStr">
        <is>
          <t>Own trucks</t>
        </is>
      </c>
      <c r="G1122" s="5" t="n">
        <v>46273</v>
      </c>
      <c r="H1122" s="5" t="n">
        <v>46274</v>
      </c>
      <c r="I1122" s="5" t="n">
        <v>46274</v>
      </c>
      <c r="J1122" s="10" t="inlineStr">
        <is>
          <t>11:50</t>
        </is>
      </c>
      <c r="K1122" s="10" t="inlineStr">
        <is>
          <t>On time</t>
        </is>
      </c>
      <c r="L1122" s="6" t="n">
        <v>0</v>
      </c>
      <c r="M1122" s="10" t="n"/>
      <c r="N1122" s="6" t="n">
        <v>8</v>
      </c>
      <c r="O1122" s="6" t="n">
        <v>1000</v>
      </c>
      <c r="P1122" s="6" t="n">
        <v>1</v>
      </c>
      <c r="Q1122" s="6">
        <f>IF(OR(K1122="On time",K1122="Late",K1122="Very late"),1,0)</f>
        <v/>
      </c>
    </row>
    <row r="1123">
      <c r="A1123" s="10" t="inlineStr">
        <is>
          <t>DN319353</t>
        </is>
      </c>
      <c r="B1123" s="10" t="inlineStr">
        <is>
          <t>SO63254</t>
        </is>
      </c>
      <c r="C1123" s="10" t="inlineStr">
        <is>
          <t>C11400</t>
        </is>
      </c>
      <c r="D1123" s="10">
        <f>INDEX(Customers!$B:$B,MATCH(C1123,Customers!$A:$A,0))</f>
        <v/>
      </c>
      <c r="E1123" s="10">
        <f>INDEX(Customers!$D:$D,MATCH(C1123,Customers!$A:$A,0))</f>
        <v/>
      </c>
      <c r="F1123" s="10" t="inlineStr">
        <is>
          <t>Own trucks</t>
        </is>
      </c>
      <c r="G1123" s="5" t="n">
        <v>46273</v>
      </c>
      <c r="H1123" s="5" t="n">
        <v>46274</v>
      </c>
      <c r="I1123" s="5" t="n">
        <v>46274</v>
      </c>
      <c r="J1123" s="10" t="inlineStr">
        <is>
          <t>13:20</t>
        </is>
      </c>
      <c r="K1123" s="10" t="inlineStr">
        <is>
          <t>On time</t>
        </is>
      </c>
      <c r="L1123" s="6" t="n">
        <v>0</v>
      </c>
      <c r="M1123" s="10" t="n"/>
      <c r="N1123" s="6" t="n">
        <v>13</v>
      </c>
      <c r="O1123" s="6" t="n">
        <v>1664</v>
      </c>
      <c r="P1123" s="6" t="n">
        <v>1</v>
      </c>
      <c r="Q1123" s="6">
        <f>IF(OR(K1123="On time",K1123="Late",K1123="Very late"),1,0)</f>
        <v/>
      </c>
    </row>
    <row r="1124">
      <c r="A1124" s="10" t="inlineStr">
        <is>
          <t>DN319354</t>
        </is>
      </c>
      <c r="B1124" s="10" t="inlineStr">
        <is>
          <t>SO63255</t>
        </is>
      </c>
      <c r="C1124" s="10" t="inlineStr">
        <is>
          <t>C11518</t>
        </is>
      </c>
      <c r="D1124" s="10">
        <f>INDEX(Customers!$B:$B,MATCH(C1124,Customers!$A:$A,0))</f>
        <v/>
      </c>
      <c r="E1124" s="10">
        <f>INDEX(Customers!$D:$D,MATCH(C1124,Customers!$A:$A,0))</f>
        <v/>
      </c>
      <c r="F1124" s="10" t="inlineStr">
        <is>
          <t>Own trucks</t>
        </is>
      </c>
      <c r="G1124" s="5" t="n">
        <v>46273</v>
      </c>
      <c r="H1124" s="5" t="n">
        <v>46274</v>
      </c>
      <c r="I1124" s="5" t="n">
        <v>46274</v>
      </c>
      <c r="J1124" s="10" t="inlineStr">
        <is>
          <t>11:00</t>
        </is>
      </c>
      <c r="K1124" s="10" t="inlineStr">
        <is>
          <t>On time</t>
        </is>
      </c>
      <c r="L1124" s="6" t="n">
        <v>0</v>
      </c>
      <c r="M1124" s="10" t="n"/>
      <c r="N1124" s="6" t="n">
        <v>17</v>
      </c>
      <c r="O1124" s="6" t="n">
        <v>1904</v>
      </c>
      <c r="P1124" s="6" t="n">
        <v>1</v>
      </c>
      <c r="Q1124" s="6">
        <f>IF(OR(K1124="On time",K1124="Late",K1124="Very late"),1,0)</f>
        <v/>
      </c>
    </row>
    <row r="1125">
      <c r="A1125" s="10" t="inlineStr">
        <is>
          <t>DN319355</t>
        </is>
      </c>
      <c r="B1125" s="10" t="inlineStr">
        <is>
          <t>SO63256</t>
        </is>
      </c>
      <c r="C1125" s="10" t="inlineStr">
        <is>
          <t>C11579</t>
        </is>
      </c>
      <c r="D1125" s="10">
        <f>INDEX(Customers!$B:$B,MATCH(C1125,Customers!$A:$A,0))</f>
        <v/>
      </c>
      <c r="E1125" s="10">
        <f>INDEX(Customers!$D:$D,MATCH(C1125,Customers!$A:$A,0))</f>
        <v/>
      </c>
      <c r="F1125" s="10" t="inlineStr">
        <is>
          <t>Own trucks</t>
        </is>
      </c>
      <c r="G1125" s="5" t="n">
        <v>46273</v>
      </c>
      <c r="H1125" s="5" t="n">
        <v>46274</v>
      </c>
      <c r="I1125" s="5" t="n">
        <v>46274</v>
      </c>
      <c r="J1125" s="10" t="inlineStr">
        <is>
          <t>15:30</t>
        </is>
      </c>
      <c r="K1125" s="10" t="inlineStr">
        <is>
          <t>On time</t>
        </is>
      </c>
      <c r="L1125" s="6" t="n">
        <v>0</v>
      </c>
      <c r="M1125" s="10" t="n"/>
      <c r="N1125" s="6" t="n">
        <v>21</v>
      </c>
      <c r="O1125" s="6" t="n">
        <v>1386</v>
      </c>
      <c r="P1125" s="6" t="n">
        <v>1</v>
      </c>
      <c r="Q1125" s="6">
        <f>IF(OR(K1125="On time",K1125="Late",K1125="Very late"),1,0)</f>
        <v/>
      </c>
    </row>
    <row r="1126">
      <c r="A1126" s="10" t="inlineStr">
        <is>
          <t>DN319356</t>
        </is>
      </c>
      <c r="B1126" s="10" t="inlineStr">
        <is>
          <t>SO63257</t>
        </is>
      </c>
      <c r="C1126" s="10" t="inlineStr">
        <is>
          <t>C11666</t>
        </is>
      </c>
      <c r="D1126" s="10">
        <f>INDEX(Customers!$B:$B,MATCH(C1126,Customers!$A:$A,0))</f>
        <v/>
      </c>
      <c r="E1126" s="10">
        <f>INDEX(Customers!$D:$D,MATCH(C1126,Customers!$A:$A,0))</f>
        <v/>
      </c>
      <c r="F1126" s="10" t="inlineStr">
        <is>
          <t>Own trucks</t>
        </is>
      </c>
      <c r="G1126" s="5" t="n">
        <v>46273</v>
      </c>
      <c r="H1126" s="5" t="n">
        <v>46274</v>
      </c>
      <c r="I1126" s="5" t="n">
        <v>46274</v>
      </c>
      <c r="J1126" s="10" t="inlineStr">
        <is>
          <t>15:00</t>
        </is>
      </c>
      <c r="K1126" s="10" t="inlineStr">
        <is>
          <t>On time</t>
        </is>
      </c>
      <c r="L1126" s="6" t="n">
        <v>0</v>
      </c>
      <c r="M1126" s="10" t="n"/>
      <c r="N1126" s="6" t="n">
        <v>10</v>
      </c>
      <c r="O1126" s="6" t="n">
        <v>1270</v>
      </c>
      <c r="P1126" s="6" t="n">
        <v>1</v>
      </c>
      <c r="Q1126" s="6">
        <f>IF(OR(K1126="On time",K1126="Late",K1126="Very late"),1,0)</f>
        <v/>
      </c>
    </row>
    <row r="1127">
      <c r="A1127" s="10" t="inlineStr">
        <is>
          <t>DN319357</t>
        </is>
      </c>
      <c r="B1127" s="10" t="inlineStr">
        <is>
          <t>SO63258</t>
        </is>
      </c>
      <c r="C1127" s="10" t="inlineStr">
        <is>
          <t>C11718</t>
        </is>
      </c>
      <c r="D1127" s="10">
        <f>INDEX(Customers!$B:$B,MATCH(C1127,Customers!$A:$A,0))</f>
        <v/>
      </c>
      <c r="E1127" s="10">
        <f>INDEX(Customers!$D:$D,MATCH(C1127,Customers!$A:$A,0))</f>
        <v/>
      </c>
      <c r="F1127" s="10" t="inlineStr">
        <is>
          <t>Own trucks</t>
        </is>
      </c>
      <c r="G1127" s="5" t="n">
        <v>46273</v>
      </c>
      <c r="H1127" s="5" t="n">
        <v>46274</v>
      </c>
      <c r="I1127" s="5" t="n">
        <v>46274</v>
      </c>
      <c r="J1127" s="10" t="inlineStr">
        <is>
          <t>08:50</t>
        </is>
      </c>
      <c r="K1127" s="10" t="inlineStr">
        <is>
          <t>On time</t>
        </is>
      </c>
      <c r="L1127" s="6" t="n">
        <v>0</v>
      </c>
      <c r="M1127" s="10" t="n"/>
      <c r="N1127" s="6" t="n">
        <v>3</v>
      </c>
      <c r="O1127" s="6" t="n">
        <v>279</v>
      </c>
      <c r="P1127" s="6" t="n">
        <v>1</v>
      </c>
      <c r="Q1127" s="6">
        <f>IF(OR(K1127="On time",K1127="Late",K1127="Very late"),1,0)</f>
        <v/>
      </c>
    </row>
    <row r="1128">
      <c r="A1128" s="10" t="inlineStr">
        <is>
          <t>DN319358</t>
        </is>
      </c>
      <c r="B1128" s="10" t="inlineStr">
        <is>
          <t>SO63259</t>
        </is>
      </c>
      <c r="C1128" s="10" t="inlineStr">
        <is>
          <t>C11798</t>
        </is>
      </c>
      <c r="D1128" s="10">
        <f>INDEX(Customers!$B:$B,MATCH(C1128,Customers!$A:$A,0))</f>
        <v/>
      </c>
      <c r="E1128" s="10">
        <f>INDEX(Customers!$D:$D,MATCH(C1128,Customers!$A:$A,0))</f>
        <v/>
      </c>
      <c r="F1128" s="10" t="inlineStr">
        <is>
          <t>Carrier A</t>
        </is>
      </c>
      <c r="G1128" s="5" t="n">
        <v>46273</v>
      </c>
      <c r="H1128" s="5" t="n">
        <v>46274</v>
      </c>
      <c r="I1128" s="5" t="n">
        <v>46276</v>
      </c>
      <c r="J1128" s="10" t="inlineStr">
        <is>
          <t>13:10</t>
        </is>
      </c>
      <c r="K1128" s="10" t="inlineStr">
        <is>
          <t>Very late</t>
        </is>
      </c>
      <c r="L1128" s="6" t="n">
        <v>2</v>
      </c>
      <c r="M1128" s="10" t="inlineStr">
        <is>
          <t>Customer closed (failed attempt)</t>
        </is>
      </c>
      <c r="N1128" s="6" t="n">
        <v>13</v>
      </c>
      <c r="O1128" s="6" t="n">
        <v>884</v>
      </c>
      <c r="P1128" s="6" t="n">
        <v>1</v>
      </c>
      <c r="Q1128" s="6">
        <f>IF(OR(K1128="On time",K1128="Late",K1128="Very late"),1,0)</f>
        <v/>
      </c>
    </row>
    <row r="1129">
      <c r="A1129" s="10" t="inlineStr">
        <is>
          <t>DN319359</t>
        </is>
      </c>
      <c r="B1129" s="10" t="inlineStr">
        <is>
          <t>SO63260</t>
        </is>
      </c>
      <c r="C1129" s="10" t="inlineStr">
        <is>
          <t>C11866</t>
        </is>
      </c>
      <c r="D1129" s="10">
        <f>INDEX(Customers!$B:$B,MATCH(C1129,Customers!$A:$A,0))</f>
        <v/>
      </c>
      <c r="E1129" s="10">
        <f>INDEX(Customers!$D:$D,MATCH(C1129,Customers!$A:$A,0))</f>
        <v/>
      </c>
      <c r="F1129" s="10" t="inlineStr">
        <is>
          <t>Carrier A</t>
        </is>
      </c>
      <c r="G1129" s="5" t="n">
        <v>46273</v>
      </c>
      <c r="H1129" s="5" t="n">
        <v>46274</v>
      </c>
      <c r="I1129" s="5" t="n">
        <v>46274</v>
      </c>
      <c r="J1129" s="10" t="inlineStr">
        <is>
          <t>09:20</t>
        </is>
      </c>
      <c r="K1129" s="10" t="inlineStr">
        <is>
          <t>On time</t>
        </is>
      </c>
      <c r="L1129" s="6" t="n">
        <v>0</v>
      </c>
      <c r="M1129" s="10" t="n"/>
      <c r="N1129" s="6" t="n">
        <v>6</v>
      </c>
      <c r="O1129" s="6" t="n">
        <v>726</v>
      </c>
      <c r="P1129" s="6" t="n">
        <v>1</v>
      </c>
      <c r="Q1129" s="6">
        <f>IF(OR(K1129="On time",K1129="Late",K1129="Very late"),1,0)</f>
        <v/>
      </c>
    </row>
    <row r="1130">
      <c r="A1130" s="10" t="inlineStr">
        <is>
          <t>DN319360</t>
        </is>
      </c>
      <c r="B1130" s="10" t="inlineStr">
        <is>
          <t>SO63262</t>
        </is>
      </c>
      <c r="C1130" s="10" t="inlineStr">
        <is>
          <t>C11910</t>
        </is>
      </c>
      <c r="D1130" s="10">
        <f>INDEX(Customers!$B:$B,MATCH(C1130,Customers!$A:$A,0))</f>
        <v/>
      </c>
      <c r="E1130" s="10">
        <f>INDEX(Customers!$D:$D,MATCH(C1130,Customers!$A:$A,0))</f>
        <v/>
      </c>
      <c r="F1130" s="10" t="inlineStr">
        <is>
          <t>Carrier A</t>
        </is>
      </c>
      <c r="G1130" s="5" t="n">
        <v>46273</v>
      </c>
      <c r="H1130" s="5" t="n">
        <v>46274</v>
      </c>
      <c r="I1130" s="5" t="n">
        <v>46274</v>
      </c>
      <c r="J1130" s="10" t="inlineStr">
        <is>
          <t>08:20</t>
        </is>
      </c>
      <c r="K1130" s="10" t="inlineStr">
        <is>
          <t>On time</t>
        </is>
      </c>
      <c r="L1130" s="6" t="n">
        <v>0</v>
      </c>
      <c r="M1130" s="10" t="n"/>
      <c r="N1130" s="6" t="n">
        <v>2</v>
      </c>
      <c r="O1130" s="6" t="n">
        <v>140</v>
      </c>
      <c r="P1130" s="6" t="n">
        <v>1</v>
      </c>
      <c r="Q1130" s="6">
        <f>IF(OR(K1130="On time",K1130="Late",K1130="Very late"),1,0)</f>
        <v/>
      </c>
    </row>
    <row r="1131">
      <c r="A1131" s="10" t="inlineStr">
        <is>
          <t>DN319361</t>
        </is>
      </c>
      <c r="B1131" s="10" t="inlineStr">
        <is>
          <t>SO63264</t>
        </is>
      </c>
      <c r="C1131" s="10" t="inlineStr">
        <is>
          <t>C11950</t>
        </is>
      </c>
      <c r="D1131" s="10">
        <f>INDEX(Customers!$B:$B,MATCH(C1131,Customers!$A:$A,0))</f>
        <v/>
      </c>
      <c r="E1131" s="10">
        <f>INDEX(Customers!$D:$D,MATCH(C1131,Customers!$A:$A,0))</f>
        <v/>
      </c>
      <c r="F1131" s="10" t="inlineStr">
        <is>
          <t>Carrier A</t>
        </is>
      </c>
      <c r="G1131" s="5" t="n">
        <v>46273</v>
      </c>
      <c r="H1131" s="5" t="n">
        <v>46274</v>
      </c>
      <c r="I1131" s="5" t="n">
        <v>46274</v>
      </c>
      <c r="J1131" s="10" t="inlineStr">
        <is>
          <t>11:40</t>
        </is>
      </c>
      <c r="K1131" s="10" t="inlineStr">
        <is>
          <t>On time</t>
        </is>
      </c>
      <c r="L1131" s="6" t="n">
        <v>0</v>
      </c>
      <c r="M1131" s="10" t="n"/>
      <c r="N1131" s="6" t="n">
        <v>36</v>
      </c>
      <c r="O1131" s="6" t="n">
        <v>1980</v>
      </c>
      <c r="P1131" s="6" t="n">
        <v>1</v>
      </c>
      <c r="Q1131" s="6">
        <f>IF(OR(K1131="On time",K1131="Late",K1131="Very late"),1,0)</f>
        <v/>
      </c>
    </row>
    <row r="1132">
      <c r="A1132" s="10" t="inlineStr">
        <is>
          <t>DN319362</t>
        </is>
      </c>
      <c r="B1132" s="10" t="inlineStr">
        <is>
          <t>SO63266</t>
        </is>
      </c>
      <c r="C1132" s="10" t="inlineStr">
        <is>
          <t>C11971</t>
        </is>
      </c>
      <c r="D1132" s="10">
        <f>INDEX(Customers!$B:$B,MATCH(C1132,Customers!$A:$A,0))</f>
        <v/>
      </c>
      <c r="E1132" s="10">
        <f>INDEX(Customers!$D:$D,MATCH(C1132,Customers!$A:$A,0))</f>
        <v/>
      </c>
      <c r="F1132" s="10" t="inlineStr">
        <is>
          <t>Own trucks</t>
        </is>
      </c>
      <c r="G1132" s="5" t="n">
        <v>46273</v>
      </c>
      <c r="H1132" s="5" t="n">
        <v>46274</v>
      </c>
      <c r="I1132" s="5" t="n">
        <v>46274</v>
      </c>
      <c r="J1132" s="10" t="inlineStr">
        <is>
          <t>13:50</t>
        </is>
      </c>
      <c r="K1132" s="10" t="inlineStr">
        <is>
          <t>On time</t>
        </is>
      </c>
      <c r="L1132" s="6" t="n">
        <v>0</v>
      </c>
      <c r="M1132" s="10" t="n"/>
      <c r="N1132" s="6" t="n">
        <v>9</v>
      </c>
      <c r="O1132" s="6" t="n">
        <v>882</v>
      </c>
      <c r="P1132" s="6" t="n">
        <v>1</v>
      </c>
      <c r="Q1132" s="6">
        <f>IF(OR(K1132="On time",K1132="Late",K1132="Very late"),1,0)</f>
        <v/>
      </c>
    </row>
    <row r="1133">
      <c r="A1133" s="10" t="inlineStr">
        <is>
          <t>DN319363</t>
        </is>
      </c>
      <c r="B1133" s="10" t="inlineStr">
        <is>
          <t>SO63267</t>
        </is>
      </c>
      <c r="C1133" s="10" t="inlineStr">
        <is>
          <t>C12037</t>
        </is>
      </c>
      <c r="D1133" s="10">
        <f>INDEX(Customers!$B:$B,MATCH(C1133,Customers!$A:$A,0))</f>
        <v/>
      </c>
      <c r="E1133" s="10">
        <f>INDEX(Customers!$D:$D,MATCH(C1133,Customers!$A:$A,0))</f>
        <v/>
      </c>
      <c r="F1133" s="10" t="inlineStr">
        <is>
          <t>Own trucks</t>
        </is>
      </c>
      <c r="G1133" s="5" t="n">
        <v>46273</v>
      </c>
      <c r="H1133" s="5" t="n">
        <v>46274</v>
      </c>
      <c r="I1133" s="5" t="n">
        <v>46274</v>
      </c>
      <c r="J1133" s="10" t="inlineStr">
        <is>
          <t>13:20</t>
        </is>
      </c>
      <c r="K1133" s="10" t="inlineStr">
        <is>
          <t>On time</t>
        </is>
      </c>
      <c r="L1133" s="6" t="n">
        <v>0</v>
      </c>
      <c r="M1133" s="10" t="n"/>
      <c r="N1133" s="6" t="n">
        <v>14</v>
      </c>
      <c r="O1133" s="6" t="n">
        <v>1848</v>
      </c>
      <c r="P1133" s="6" t="n">
        <v>1</v>
      </c>
      <c r="Q1133" s="6">
        <f>IF(OR(K1133="On time",K1133="Late",K1133="Very late"),1,0)</f>
        <v/>
      </c>
    </row>
    <row r="1134">
      <c r="A1134" s="10" t="inlineStr">
        <is>
          <t>DN319364</t>
        </is>
      </c>
      <c r="B1134" s="10" t="inlineStr">
        <is>
          <t>SO63269</t>
        </is>
      </c>
      <c r="C1134" s="10" t="inlineStr">
        <is>
          <t>C12103</t>
        </is>
      </c>
      <c r="D1134" s="10">
        <f>INDEX(Customers!$B:$B,MATCH(C1134,Customers!$A:$A,0))</f>
        <v/>
      </c>
      <c r="E1134" s="10">
        <f>INDEX(Customers!$D:$D,MATCH(C1134,Customers!$A:$A,0))</f>
        <v/>
      </c>
      <c r="F1134" s="10" t="inlineStr">
        <is>
          <t>Own trucks</t>
        </is>
      </c>
      <c r="G1134" s="5" t="n">
        <v>46273</v>
      </c>
      <c r="H1134" s="5" t="n">
        <v>46274</v>
      </c>
      <c r="I1134" s="5" t="n">
        <v>46274</v>
      </c>
      <c r="J1134" s="10" t="inlineStr">
        <is>
          <t>16:40</t>
        </is>
      </c>
      <c r="K1134" s="10" t="inlineStr">
        <is>
          <t>On time</t>
        </is>
      </c>
      <c r="L1134" s="6" t="n">
        <v>0</v>
      </c>
      <c r="M1134" s="10" t="n"/>
      <c r="N1134" s="6" t="n">
        <v>23</v>
      </c>
      <c r="O1134" s="6" t="n">
        <v>3197</v>
      </c>
      <c r="P1134" s="6" t="n">
        <v>1</v>
      </c>
      <c r="Q1134" s="6">
        <f>IF(OR(K1134="On time",K1134="Late",K1134="Very late"),1,0)</f>
        <v/>
      </c>
    </row>
    <row r="1135">
      <c r="A1135" s="10" t="inlineStr">
        <is>
          <t>DN319365</t>
        </is>
      </c>
      <c r="B1135" s="10" t="inlineStr">
        <is>
          <t>SO63270</t>
        </is>
      </c>
      <c r="C1135" s="10" t="inlineStr">
        <is>
          <t>C12239</t>
        </is>
      </c>
      <c r="D1135" s="10">
        <f>INDEX(Customers!$B:$B,MATCH(C1135,Customers!$A:$A,0))</f>
        <v/>
      </c>
      <c r="E1135" s="10">
        <f>INDEX(Customers!$D:$D,MATCH(C1135,Customers!$A:$A,0))</f>
        <v/>
      </c>
      <c r="F1135" s="10" t="inlineStr">
        <is>
          <t>Carrier B</t>
        </is>
      </c>
      <c r="G1135" s="5" t="n">
        <v>46273</v>
      </c>
      <c r="H1135" s="5" t="n">
        <v>46274</v>
      </c>
      <c r="I1135" s="5" t="n">
        <v>46274</v>
      </c>
      <c r="J1135" s="10" t="inlineStr">
        <is>
          <t>09:50</t>
        </is>
      </c>
      <c r="K1135" s="10" t="inlineStr">
        <is>
          <t>On time</t>
        </is>
      </c>
      <c r="L1135" s="6" t="n">
        <v>0</v>
      </c>
      <c r="M1135" s="10" t="n"/>
      <c r="N1135" s="6" t="n">
        <v>15</v>
      </c>
      <c r="O1135" s="6" t="n">
        <v>1920</v>
      </c>
      <c r="P1135" s="6" t="n">
        <v>1</v>
      </c>
      <c r="Q1135" s="6">
        <f>IF(OR(K1135="On time",K1135="Late",K1135="Very late"),1,0)</f>
        <v/>
      </c>
    </row>
    <row r="1136">
      <c r="A1136" s="10" t="inlineStr">
        <is>
          <t>DN319366</t>
        </is>
      </c>
      <c r="B1136" s="10" t="inlineStr">
        <is>
          <t>SO63271</t>
        </is>
      </c>
      <c r="C1136" s="10" t="inlineStr">
        <is>
          <t>C12262</t>
        </is>
      </c>
      <c r="D1136" s="10">
        <f>INDEX(Customers!$B:$B,MATCH(C1136,Customers!$A:$A,0))</f>
        <v/>
      </c>
      <c r="E1136" s="10">
        <f>INDEX(Customers!$D:$D,MATCH(C1136,Customers!$A:$A,0))</f>
        <v/>
      </c>
      <c r="F1136" s="10" t="inlineStr">
        <is>
          <t>Carrier B</t>
        </is>
      </c>
      <c r="G1136" s="5" t="n">
        <v>46273</v>
      </c>
      <c r="H1136" s="5" t="n">
        <v>46274</v>
      </c>
      <c r="I1136" s="5" t="n">
        <v>46274</v>
      </c>
      <c r="J1136" s="10" t="inlineStr">
        <is>
          <t>14:00</t>
        </is>
      </c>
      <c r="K1136" s="10" t="inlineStr">
        <is>
          <t>On time</t>
        </is>
      </c>
      <c r="L1136" s="6" t="n">
        <v>0</v>
      </c>
      <c r="M1136" s="10" t="n"/>
      <c r="N1136" s="6" t="n">
        <v>11</v>
      </c>
      <c r="O1136" s="6" t="n">
        <v>1254</v>
      </c>
      <c r="P1136" s="6" t="n">
        <v>1</v>
      </c>
      <c r="Q1136" s="6">
        <f>IF(OR(K1136="On time",K1136="Late",K1136="Very late"),1,0)</f>
        <v/>
      </c>
    </row>
    <row r="1137">
      <c r="A1137" s="10" t="inlineStr">
        <is>
          <t>DN319367</t>
        </is>
      </c>
      <c r="B1137" s="10" t="inlineStr">
        <is>
          <t>SO63272</t>
        </is>
      </c>
      <c r="C1137" s="10" t="inlineStr">
        <is>
          <t>C12371</t>
        </is>
      </c>
      <c r="D1137" s="10">
        <f>INDEX(Customers!$B:$B,MATCH(C1137,Customers!$A:$A,0))</f>
        <v/>
      </c>
      <c r="E1137" s="10">
        <f>INDEX(Customers!$D:$D,MATCH(C1137,Customers!$A:$A,0))</f>
        <v/>
      </c>
      <c r="F1137" s="10" t="inlineStr">
        <is>
          <t>Carrier A</t>
        </is>
      </c>
      <c r="G1137" s="5" t="n">
        <v>46273</v>
      </c>
      <c r="H1137" s="5" t="n">
        <v>46274</v>
      </c>
      <c r="I1137" s="5" t="n">
        <v>46274</v>
      </c>
      <c r="J1137" s="10" t="inlineStr">
        <is>
          <t>09:30</t>
        </is>
      </c>
      <c r="K1137" s="10" t="inlineStr">
        <is>
          <t>On time</t>
        </is>
      </c>
      <c r="L1137" s="6" t="n">
        <v>0</v>
      </c>
      <c r="M1137" s="10" t="n"/>
      <c r="N1137" s="6" t="n">
        <v>34</v>
      </c>
      <c r="O1137" s="6" t="n">
        <v>4556</v>
      </c>
      <c r="P1137" s="6" t="n">
        <v>1</v>
      </c>
      <c r="Q1137" s="6">
        <f>IF(OR(K1137="On time",K1137="Late",K1137="Very late"),1,0)</f>
        <v/>
      </c>
    </row>
    <row r="1138">
      <c r="A1138" s="10" t="inlineStr">
        <is>
          <t>DN319368</t>
        </is>
      </c>
      <c r="B1138" s="10" t="inlineStr">
        <is>
          <t>SO63273</t>
        </is>
      </c>
      <c r="C1138" s="10" t="inlineStr">
        <is>
          <t>C12389</t>
        </is>
      </c>
      <c r="D1138" s="10">
        <f>INDEX(Customers!$B:$B,MATCH(C1138,Customers!$A:$A,0))</f>
        <v/>
      </c>
      <c r="E1138" s="10">
        <f>INDEX(Customers!$D:$D,MATCH(C1138,Customers!$A:$A,0))</f>
        <v/>
      </c>
      <c r="F1138" s="10" t="inlineStr">
        <is>
          <t>Carrier A</t>
        </is>
      </c>
      <c r="G1138" s="5" t="n">
        <v>46273</v>
      </c>
      <c r="H1138" s="5" t="n">
        <v>46274</v>
      </c>
      <c r="I1138" s="5" t="n">
        <v>46275</v>
      </c>
      <c r="J1138" s="10" t="inlineStr">
        <is>
          <t>15:50</t>
        </is>
      </c>
      <c r="K1138" s="10" t="inlineStr">
        <is>
          <t>Late</t>
        </is>
      </c>
      <c r="L1138" s="6" t="n">
        <v>1</v>
      </c>
      <c r="M1138" s="10" t="inlineStr">
        <is>
          <t>Carrier delay</t>
        </is>
      </c>
      <c r="N1138" s="6" t="n">
        <v>8</v>
      </c>
      <c r="O1138" s="6" t="n">
        <v>616</v>
      </c>
      <c r="P1138" s="6" t="n">
        <v>1</v>
      </c>
      <c r="Q1138" s="6">
        <f>IF(OR(K1138="On time",K1138="Late",K1138="Very late"),1,0)</f>
        <v/>
      </c>
    </row>
    <row r="1139">
      <c r="A1139" s="10" t="inlineStr">
        <is>
          <t>DN319369</t>
        </is>
      </c>
      <c r="B1139" s="10" t="inlineStr">
        <is>
          <t>SO63274</t>
        </is>
      </c>
      <c r="C1139" s="10" t="inlineStr">
        <is>
          <t>C12420</t>
        </is>
      </c>
      <c r="D1139" s="10">
        <f>INDEX(Customers!$B:$B,MATCH(C1139,Customers!$A:$A,0))</f>
        <v/>
      </c>
      <c r="E1139" s="10">
        <f>INDEX(Customers!$D:$D,MATCH(C1139,Customers!$A:$A,0))</f>
        <v/>
      </c>
      <c r="F1139" s="10" t="inlineStr">
        <is>
          <t>Carrier A</t>
        </is>
      </c>
      <c r="G1139" s="5" t="n">
        <v>46273</v>
      </c>
      <c r="H1139" s="5" t="n">
        <v>46274</v>
      </c>
      <c r="I1139" s="5" t="n">
        <v>46274</v>
      </c>
      <c r="J1139" s="10" t="inlineStr">
        <is>
          <t>11:30</t>
        </is>
      </c>
      <c r="K1139" s="10" t="inlineStr">
        <is>
          <t>On time</t>
        </is>
      </c>
      <c r="L1139" s="6" t="n">
        <v>0</v>
      </c>
      <c r="M1139" s="10" t="n"/>
      <c r="N1139" s="6" t="n">
        <v>4</v>
      </c>
      <c r="O1139" s="6" t="n">
        <v>392</v>
      </c>
      <c r="P1139" s="6" t="n">
        <v>1</v>
      </c>
      <c r="Q1139" s="6">
        <f>IF(OR(K1139="On time",K1139="Late",K1139="Very late"),1,0)</f>
        <v/>
      </c>
    </row>
    <row r="1140">
      <c r="A1140" s="10" t="inlineStr">
        <is>
          <t>DN319370</t>
        </is>
      </c>
      <c r="B1140" s="10" t="inlineStr">
        <is>
          <t>SO63275</t>
        </is>
      </c>
      <c r="C1140" s="10" t="inlineStr">
        <is>
          <t>C12490</t>
        </is>
      </c>
      <c r="D1140" s="10">
        <f>INDEX(Customers!$B:$B,MATCH(C1140,Customers!$A:$A,0))</f>
        <v/>
      </c>
      <c r="E1140" s="10">
        <f>INDEX(Customers!$D:$D,MATCH(C1140,Customers!$A:$A,0))</f>
        <v/>
      </c>
      <c r="F1140" s="10" t="inlineStr">
        <is>
          <t>Carrier A</t>
        </is>
      </c>
      <c r="G1140" s="5" t="n">
        <v>46273</v>
      </c>
      <c r="H1140" s="5" t="n">
        <v>46274</v>
      </c>
      <c r="I1140" s="5" t="n">
        <v>46275</v>
      </c>
      <c r="J1140" s="10" t="inlineStr">
        <is>
          <t>09:20</t>
        </is>
      </c>
      <c r="K1140" s="10" t="inlineStr">
        <is>
          <t>Late</t>
        </is>
      </c>
      <c r="L1140" s="6" t="n">
        <v>1</v>
      </c>
      <c r="M1140" s="10" t="inlineStr">
        <is>
          <t>Carrier delay</t>
        </is>
      </c>
      <c r="N1140" s="6" t="n">
        <v>40</v>
      </c>
      <c r="O1140" s="6" t="n">
        <v>2360</v>
      </c>
      <c r="P1140" s="6" t="n">
        <v>1</v>
      </c>
      <c r="Q1140" s="6">
        <f>IF(OR(K1140="On time",K1140="Late",K1140="Very late"),1,0)</f>
        <v/>
      </c>
    </row>
    <row r="1141">
      <c r="A1141" s="10" t="inlineStr">
        <is>
          <t>DN319371</t>
        </is>
      </c>
      <c r="B1141" s="10" t="inlineStr">
        <is>
          <t>SO63277</t>
        </is>
      </c>
      <c r="C1141" s="10" t="inlineStr">
        <is>
          <t>C12543</t>
        </is>
      </c>
      <c r="D1141" s="10">
        <f>INDEX(Customers!$B:$B,MATCH(C1141,Customers!$A:$A,0))</f>
        <v/>
      </c>
      <c r="E1141" s="10">
        <f>INDEX(Customers!$D:$D,MATCH(C1141,Customers!$A:$A,0))</f>
        <v/>
      </c>
      <c r="F1141" s="10" t="inlineStr">
        <is>
          <t>Carrier B</t>
        </is>
      </c>
      <c r="G1141" s="5" t="n">
        <v>46272</v>
      </c>
      <c r="H1141" s="5" t="n">
        <v>46274</v>
      </c>
      <c r="I1141" s="5" t="n">
        <v>46274</v>
      </c>
      <c r="J1141" s="10" t="inlineStr">
        <is>
          <t>16:40</t>
        </is>
      </c>
      <c r="K1141" s="10" t="inlineStr">
        <is>
          <t>On time</t>
        </is>
      </c>
      <c r="L1141" s="6" t="n">
        <v>0</v>
      </c>
      <c r="M1141" s="10" t="n"/>
      <c r="N1141" s="6" t="n">
        <v>20</v>
      </c>
      <c r="O1141" s="6" t="n">
        <v>2140</v>
      </c>
      <c r="P1141" s="6" t="n">
        <v>1</v>
      </c>
      <c r="Q1141" s="6">
        <f>IF(OR(K1141="On time",K1141="Late",K1141="Very late"),1,0)</f>
        <v/>
      </c>
    </row>
    <row r="1142">
      <c r="A1142" s="10" t="inlineStr">
        <is>
          <t>DN319372</t>
        </is>
      </c>
      <c r="B1142" s="10" t="inlineStr">
        <is>
          <t>SO63278</t>
        </is>
      </c>
      <c r="C1142" s="10" t="inlineStr">
        <is>
          <t>C12617</t>
        </is>
      </c>
      <c r="D1142" s="10">
        <f>INDEX(Customers!$B:$B,MATCH(C1142,Customers!$A:$A,0))</f>
        <v/>
      </c>
      <c r="E1142" s="10">
        <f>INDEX(Customers!$D:$D,MATCH(C1142,Customers!$A:$A,0))</f>
        <v/>
      </c>
      <c r="F1142" s="10" t="inlineStr">
        <is>
          <t>Carrier B</t>
        </is>
      </c>
      <c r="G1142" s="5" t="n">
        <v>46272</v>
      </c>
      <c r="H1142" s="5" t="n">
        <v>46274</v>
      </c>
      <c r="I1142" s="5" t="n">
        <v>46274</v>
      </c>
      <c r="J1142" s="10" t="inlineStr">
        <is>
          <t>13:40</t>
        </is>
      </c>
      <c r="K1142" s="10" t="inlineStr">
        <is>
          <t>On time</t>
        </is>
      </c>
      <c r="L1142" s="6" t="n">
        <v>0</v>
      </c>
      <c r="M1142" s="10" t="n"/>
      <c r="N1142" s="6" t="n">
        <v>33</v>
      </c>
      <c r="O1142" s="6" t="n">
        <v>3201</v>
      </c>
      <c r="P1142" s="6" t="n">
        <v>1</v>
      </c>
      <c r="Q1142" s="6">
        <f>IF(OR(K1142="On time",K1142="Late",K1142="Very late"),1,0)</f>
        <v/>
      </c>
    </row>
    <row r="1143">
      <c r="A1143" s="10" t="inlineStr">
        <is>
          <t>DN319373</t>
        </is>
      </c>
      <c r="B1143" s="10" t="inlineStr">
        <is>
          <t>SO63279</t>
        </is>
      </c>
      <c r="C1143" s="10" t="inlineStr">
        <is>
          <t>C12639</t>
        </is>
      </c>
      <c r="D1143" s="10">
        <f>INDEX(Customers!$B:$B,MATCH(C1143,Customers!$A:$A,0))</f>
        <v/>
      </c>
      <c r="E1143" s="10">
        <f>INDEX(Customers!$D:$D,MATCH(C1143,Customers!$A:$A,0))</f>
        <v/>
      </c>
      <c r="F1143" s="10" t="inlineStr">
        <is>
          <t>Carrier B</t>
        </is>
      </c>
      <c r="G1143" s="5" t="n">
        <v>46272</v>
      </c>
      <c r="H1143" s="5" t="n">
        <v>46274</v>
      </c>
      <c r="I1143" s="5" t="n">
        <v>46274</v>
      </c>
      <c r="J1143" s="10" t="inlineStr">
        <is>
          <t>14:50</t>
        </is>
      </c>
      <c r="K1143" s="10" t="inlineStr">
        <is>
          <t>On time</t>
        </is>
      </c>
      <c r="L1143" s="6" t="n">
        <v>0</v>
      </c>
      <c r="M1143" s="10" t="n"/>
      <c r="N1143" s="6" t="n">
        <v>6</v>
      </c>
      <c r="O1143" s="6" t="n">
        <v>486</v>
      </c>
      <c r="P1143" s="6" t="n">
        <v>1</v>
      </c>
      <c r="Q1143" s="6">
        <f>IF(OR(K1143="On time",K1143="Late",K1143="Very late"),1,0)</f>
        <v/>
      </c>
    </row>
    <row r="1144">
      <c r="A1144" s="10" t="inlineStr">
        <is>
          <t>DN319374</t>
        </is>
      </c>
      <c r="B1144" s="10" t="inlineStr">
        <is>
          <t>SO63280</t>
        </is>
      </c>
      <c r="C1144" s="10" t="inlineStr">
        <is>
          <t>C12675</t>
        </is>
      </c>
      <c r="D1144" s="10">
        <f>INDEX(Customers!$B:$B,MATCH(C1144,Customers!$A:$A,0))</f>
        <v/>
      </c>
      <c r="E1144" s="10">
        <f>INDEX(Customers!$D:$D,MATCH(C1144,Customers!$A:$A,0))</f>
        <v/>
      </c>
      <c r="F1144" s="10" t="inlineStr">
        <is>
          <t>Carrier B</t>
        </is>
      </c>
      <c r="G1144" s="5" t="n">
        <v>46272</v>
      </c>
      <c r="H1144" s="5" t="n">
        <v>46274</v>
      </c>
      <c r="I1144" s="5" t="n">
        <v>46274</v>
      </c>
      <c r="J1144" s="10" t="inlineStr">
        <is>
          <t>10:10</t>
        </is>
      </c>
      <c r="K1144" s="10" t="inlineStr">
        <is>
          <t>On time</t>
        </is>
      </c>
      <c r="L1144" s="6" t="n">
        <v>0</v>
      </c>
      <c r="M1144" s="10" t="n"/>
      <c r="N1144" s="6" t="n">
        <v>15</v>
      </c>
      <c r="O1144" s="6" t="n">
        <v>2040</v>
      </c>
      <c r="P1144" s="6" t="n">
        <v>1</v>
      </c>
      <c r="Q1144" s="6">
        <f>IF(OR(K1144="On time",K1144="Late",K1144="Very late"),1,0)</f>
        <v/>
      </c>
    </row>
    <row r="1145">
      <c r="A1145" s="10" t="inlineStr">
        <is>
          <t>DN319375</t>
        </is>
      </c>
      <c r="B1145" s="10" t="inlineStr">
        <is>
          <t>SO63281</t>
        </is>
      </c>
      <c r="C1145" s="10" t="inlineStr">
        <is>
          <t>C10322</t>
        </is>
      </c>
      <c r="D1145" s="10">
        <f>INDEX(Customers!$B:$B,MATCH(C1145,Customers!$A:$A,0))</f>
        <v/>
      </c>
      <c r="E1145" s="10">
        <f>INDEX(Customers!$D:$D,MATCH(C1145,Customers!$A:$A,0))</f>
        <v/>
      </c>
      <c r="F1145" s="10" t="inlineStr">
        <is>
          <t>Own trucks</t>
        </is>
      </c>
      <c r="G1145" s="5" t="n">
        <v>46274</v>
      </c>
      <c r="H1145" s="5" t="n">
        <v>46275</v>
      </c>
      <c r="I1145" s="5" t="n">
        <v>46275</v>
      </c>
      <c r="J1145" s="10" t="inlineStr">
        <is>
          <t>10:40</t>
        </is>
      </c>
      <c r="K1145" s="10" t="inlineStr">
        <is>
          <t>On time</t>
        </is>
      </c>
      <c r="L1145" s="6" t="n">
        <v>0</v>
      </c>
      <c r="M1145" s="10" t="n"/>
      <c r="N1145" s="6" t="n">
        <v>39</v>
      </c>
      <c r="O1145" s="6" t="n">
        <v>3120</v>
      </c>
      <c r="P1145" s="6" t="n">
        <v>1</v>
      </c>
      <c r="Q1145" s="6">
        <f>IF(OR(K1145="On time",K1145="Late",K1145="Very late"),1,0)</f>
        <v/>
      </c>
    </row>
    <row r="1146">
      <c r="A1146" s="10" t="inlineStr">
        <is>
          <t>DN319376</t>
        </is>
      </c>
      <c r="B1146" s="10" t="inlineStr">
        <is>
          <t>SO63282</t>
        </is>
      </c>
      <c r="C1146" s="10" t="inlineStr">
        <is>
          <t>C10343</t>
        </is>
      </c>
      <c r="D1146" s="10">
        <f>INDEX(Customers!$B:$B,MATCH(C1146,Customers!$A:$A,0))</f>
        <v/>
      </c>
      <c r="E1146" s="10">
        <f>INDEX(Customers!$D:$D,MATCH(C1146,Customers!$A:$A,0))</f>
        <v/>
      </c>
      <c r="F1146" s="10" t="inlineStr">
        <is>
          <t>Same-day courier</t>
        </is>
      </c>
      <c r="G1146" s="5" t="n">
        <v>46274</v>
      </c>
      <c r="H1146" s="5" t="n">
        <v>46275</v>
      </c>
      <c r="I1146" s="5" t="n">
        <v>46275</v>
      </c>
      <c r="J1146" s="10" t="inlineStr">
        <is>
          <t>10:10</t>
        </is>
      </c>
      <c r="K1146" s="10" t="inlineStr">
        <is>
          <t>On time</t>
        </is>
      </c>
      <c r="L1146" s="6" t="n">
        <v>0</v>
      </c>
      <c r="M1146" s="10" t="n"/>
      <c r="N1146" s="6" t="n">
        <v>28</v>
      </c>
      <c r="O1146" s="6" t="n">
        <v>3696</v>
      </c>
      <c r="P1146" s="6" t="n">
        <v>1</v>
      </c>
      <c r="Q1146" s="6">
        <f>IF(OR(K1146="On time",K1146="Late",K1146="Very late"),1,0)</f>
        <v/>
      </c>
    </row>
    <row r="1147">
      <c r="A1147" s="10" t="inlineStr">
        <is>
          <t>DN319377</t>
        </is>
      </c>
      <c r="B1147" s="10" t="inlineStr">
        <is>
          <t>SO63283</t>
        </is>
      </c>
      <c r="C1147" s="10" t="inlineStr">
        <is>
          <t>C10446</t>
        </is>
      </c>
      <c r="D1147" s="10">
        <f>INDEX(Customers!$B:$B,MATCH(C1147,Customers!$A:$A,0))</f>
        <v/>
      </c>
      <c r="E1147" s="10">
        <f>INDEX(Customers!$D:$D,MATCH(C1147,Customers!$A:$A,0))</f>
        <v/>
      </c>
      <c r="F1147" s="10" t="inlineStr">
        <is>
          <t>Own trucks</t>
        </is>
      </c>
      <c r="G1147" s="5" t="n">
        <v>46274</v>
      </c>
      <c r="H1147" s="5" t="n">
        <v>46275</v>
      </c>
      <c r="I1147" s="5" t="n">
        <v>46275</v>
      </c>
      <c r="J1147" s="10" t="inlineStr">
        <is>
          <t>12:00</t>
        </is>
      </c>
      <c r="K1147" s="10" t="inlineStr">
        <is>
          <t>On time</t>
        </is>
      </c>
      <c r="L1147" s="6" t="n">
        <v>0</v>
      </c>
      <c r="M1147" s="10" t="n"/>
      <c r="N1147" s="6" t="n">
        <v>18</v>
      </c>
      <c r="O1147" s="6" t="n">
        <v>1548</v>
      </c>
      <c r="P1147" s="6" t="n">
        <v>1</v>
      </c>
      <c r="Q1147" s="6">
        <f>IF(OR(K1147="On time",K1147="Late",K1147="Very late"),1,0)</f>
        <v/>
      </c>
    </row>
    <row r="1148">
      <c r="A1148" s="10" t="inlineStr">
        <is>
          <t>DN319378</t>
        </is>
      </c>
      <c r="B1148" s="10" t="inlineStr">
        <is>
          <t>SO63284</t>
        </is>
      </c>
      <c r="C1148" s="10" t="inlineStr">
        <is>
          <t>C10515</t>
        </is>
      </c>
      <c r="D1148" s="10">
        <f>INDEX(Customers!$B:$B,MATCH(C1148,Customers!$A:$A,0))</f>
        <v/>
      </c>
      <c r="E1148" s="10">
        <f>INDEX(Customers!$D:$D,MATCH(C1148,Customers!$A:$A,0))</f>
        <v/>
      </c>
      <c r="F1148" s="10" t="inlineStr">
        <is>
          <t>Own trucks</t>
        </is>
      </c>
      <c r="G1148" s="5" t="n">
        <v>46274</v>
      </c>
      <c r="H1148" s="5" t="n">
        <v>46275</v>
      </c>
      <c r="I1148" s="5" t="n">
        <v>46275</v>
      </c>
      <c r="J1148" s="10" t="inlineStr">
        <is>
          <t>13:10</t>
        </is>
      </c>
      <c r="K1148" s="10" t="inlineStr">
        <is>
          <t>On time</t>
        </is>
      </c>
      <c r="L1148" s="6" t="n">
        <v>0</v>
      </c>
      <c r="M1148" s="10" t="n"/>
      <c r="N1148" s="6" t="n">
        <v>16</v>
      </c>
      <c r="O1148" s="6" t="n">
        <v>1792</v>
      </c>
      <c r="P1148" s="6" t="n">
        <v>1</v>
      </c>
      <c r="Q1148" s="6">
        <f>IF(OR(K1148="On time",K1148="Late",K1148="Very late"),1,0)</f>
        <v/>
      </c>
    </row>
    <row r="1149">
      <c r="A1149" s="10" t="inlineStr">
        <is>
          <t>DN319379</t>
        </is>
      </c>
      <c r="B1149" s="10" t="inlineStr">
        <is>
          <t>SO63285</t>
        </is>
      </c>
      <c r="C1149" s="10" t="inlineStr">
        <is>
          <t>C10536</t>
        </is>
      </c>
      <c r="D1149" s="10">
        <f>INDEX(Customers!$B:$B,MATCH(C1149,Customers!$A:$A,0))</f>
        <v/>
      </c>
      <c r="E1149" s="10">
        <f>INDEX(Customers!$D:$D,MATCH(C1149,Customers!$A:$A,0))</f>
        <v/>
      </c>
      <c r="F1149" s="10" t="inlineStr">
        <is>
          <t>Own trucks</t>
        </is>
      </c>
      <c r="G1149" s="5" t="n">
        <v>46274</v>
      </c>
      <c r="H1149" s="5" t="n">
        <v>46275</v>
      </c>
      <c r="I1149" s="5" t="n">
        <v>46275</v>
      </c>
      <c r="J1149" s="10" t="inlineStr">
        <is>
          <t>11:20</t>
        </is>
      </c>
      <c r="K1149" s="10" t="inlineStr">
        <is>
          <t>On time</t>
        </is>
      </c>
      <c r="L1149" s="6" t="n">
        <v>0</v>
      </c>
      <c r="M1149" s="10" t="n"/>
      <c r="N1149" s="6" t="n">
        <v>12</v>
      </c>
      <c r="O1149" s="6" t="n">
        <v>720</v>
      </c>
      <c r="P1149" s="6" t="n">
        <v>1</v>
      </c>
      <c r="Q1149" s="6">
        <f>IF(OR(K1149="On time",K1149="Late",K1149="Very late"),1,0)</f>
        <v/>
      </c>
    </row>
    <row r="1150">
      <c r="A1150" s="10" t="inlineStr">
        <is>
          <t>DN319380</t>
        </is>
      </c>
      <c r="B1150" s="10" t="inlineStr">
        <is>
          <t>SO63286</t>
        </is>
      </c>
      <c r="C1150" s="10" t="inlineStr">
        <is>
          <t>C10589</t>
        </is>
      </c>
      <c r="D1150" s="10">
        <f>INDEX(Customers!$B:$B,MATCH(C1150,Customers!$A:$A,0))</f>
        <v/>
      </c>
      <c r="E1150" s="10">
        <f>INDEX(Customers!$D:$D,MATCH(C1150,Customers!$A:$A,0))</f>
        <v/>
      </c>
      <c r="F1150" s="10" t="inlineStr">
        <is>
          <t>Own trucks</t>
        </is>
      </c>
      <c r="G1150" s="5" t="n">
        <v>46274</v>
      </c>
      <c r="H1150" s="5" t="n">
        <v>46275</v>
      </c>
      <c r="I1150" s="5" t="n">
        <v>46275</v>
      </c>
      <c r="J1150" s="10" t="inlineStr">
        <is>
          <t>10:50</t>
        </is>
      </c>
      <c r="K1150" s="10" t="inlineStr">
        <is>
          <t>On time</t>
        </is>
      </c>
      <c r="L1150" s="6" t="n">
        <v>0</v>
      </c>
      <c r="M1150" s="10" t="n"/>
      <c r="N1150" s="6" t="n">
        <v>34</v>
      </c>
      <c r="O1150" s="6" t="n">
        <v>4352</v>
      </c>
      <c r="P1150" s="6" t="n">
        <v>1</v>
      </c>
      <c r="Q1150" s="6">
        <f>IF(OR(K1150="On time",K1150="Late",K1150="Very late"),1,0)</f>
        <v/>
      </c>
    </row>
    <row r="1151">
      <c r="A1151" s="10" t="inlineStr">
        <is>
          <t>DN319381</t>
        </is>
      </c>
      <c r="B1151" s="10" t="inlineStr">
        <is>
          <t>SO63287</t>
        </is>
      </c>
      <c r="C1151" s="10" t="inlineStr">
        <is>
          <t>C10622</t>
        </is>
      </c>
      <c r="D1151" s="10">
        <f>INDEX(Customers!$B:$B,MATCH(C1151,Customers!$A:$A,0))</f>
        <v/>
      </c>
      <c r="E1151" s="10">
        <f>INDEX(Customers!$D:$D,MATCH(C1151,Customers!$A:$A,0))</f>
        <v/>
      </c>
      <c r="F1151" s="10" t="inlineStr">
        <is>
          <t>Own trucks</t>
        </is>
      </c>
      <c r="G1151" s="5" t="n">
        <v>46274</v>
      </c>
      <c r="H1151" s="5" t="n">
        <v>46275</v>
      </c>
      <c r="I1151" s="5" t="n">
        <v>46275</v>
      </c>
      <c r="J1151" s="10" t="inlineStr">
        <is>
          <t>07:50</t>
        </is>
      </c>
      <c r="K1151" s="10" t="inlineStr">
        <is>
          <t>On time</t>
        </is>
      </c>
      <c r="L1151" s="6" t="n">
        <v>0</v>
      </c>
      <c r="M1151" s="10" t="n"/>
      <c r="N1151" s="6" t="n">
        <v>22</v>
      </c>
      <c r="O1151" s="6" t="n">
        <v>2904</v>
      </c>
      <c r="P1151" s="6" t="n">
        <v>1</v>
      </c>
      <c r="Q1151" s="6">
        <f>IF(OR(K1151="On time",K1151="Late",K1151="Very late"),1,0)</f>
        <v/>
      </c>
    </row>
    <row r="1152">
      <c r="A1152" s="10" t="inlineStr">
        <is>
          <t>DN319382</t>
        </is>
      </c>
      <c r="B1152" s="10" t="inlineStr">
        <is>
          <t>SO63288</t>
        </is>
      </c>
      <c r="C1152" s="10" t="inlineStr">
        <is>
          <t>C10648</t>
        </is>
      </c>
      <c r="D1152" s="10">
        <f>INDEX(Customers!$B:$B,MATCH(C1152,Customers!$A:$A,0))</f>
        <v/>
      </c>
      <c r="E1152" s="10">
        <f>INDEX(Customers!$D:$D,MATCH(C1152,Customers!$A:$A,0))</f>
        <v/>
      </c>
      <c r="F1152" s="10" t="inlineStr">
        <is>
          <t>Own trucks</t>
        </is>
      </c>
      <c r="G1152" s="5" t="n">
        <v>46274</v>
      </c>
      <c r="H1152" s="5" t="n">
        <v>46275</v>
      </c>
      <c r="I1152" s="5" t="n">
        <v>46275</v>
      </c>
      <c r="J1152" s="10" t="inlineStr">
        <is>
          <t>10:10</t>
        </is>
      </c>
      <c r="K1152" s="10" t="inlineStr">
        <is>
          <t>On time</t>
        </is>
      </c>
      <c r="L1152" s="6" t="n">
        <v>0</v>
      </c>
      <c r="M1152" s="10" t="n"/>
      <c r="N1152" s="6" t="n">
        <v>35</v>
      </c>
      <c r="O1152" s="6" t="n">
        <v>3430</v>
      </c>
      <c r="P1152" s="6" t="n">
        <v>1</v>
      </c>
      <c r="Q1152" s="6">
        <f>IF(OR(K1152="On time",K1152="Late",K1152="Very late"),1,0)</f>
        <v/>
      </c>
    </row>
    <row r="1153">
      <c r="A1153" s="10" t="inlineStr">
        <is>
          <t>DN319383</t>
        </is>
      </c>
      <c r="B1153" s="10" t="inlineStr">
        <is>
          <t>SO63289</t>
        </is>
      </c>
      <c r="C1153" s="10" t="inlineStr">
        <is>
          <t>C10676</t>
        </is>
      </c>
      <c r="D1153" s="10">
        <f>INDEX(Customers!$B:$B,MATCH(C1153,Customers!$A:$A,0))</f>
        <v/>
      </c>
      <c r="E1153" s="10">
        <f>INDEX(Customers!$D:$D,MATCH(C1153,Customers!$A:$A,0))</f>
        <v/>
      </c>
      <c r="F1153" s="10" t="inlineStr">
        <is>
          <t>Own trucks</t>
        </is>
      </c>
      <c r="G1153" s="5" t="n">
        <v>46274</v>
      </c>
      <c r="H1153" s="5" t="n">
        <v>46275</v>
      </c>
      <c r="I1153" s="5" t="n">
        <v>46275</v>
      </c>
      <c r="J1153" s="10" t="inlineStr">
        <is>
          <t>15:20</t>
        </is>
      </c>
      <c r="K1153" s="10" t="inlineStr">
        <is>
          <t>On time</t>
        </is>
      </c>
      <c r="L1153" s="6" t="n">
        <v>0</v>
      </c>
      <c r="M1153" s="10" t="n"/>
      <c r="N1153" s="6" t="n">
        <v>38</v>
      </c>
      <c r="O1153" s="6" t="n">
        <v>2204</v>
      </c>
      <c r="P1153" s="6" t="n">
        <v>1</v>
      </c>
      <c r="Q1153" s="6">
        <f>IF(OR(K1153="On time",K1153="Late",K1153="Very late"),1,0)</f>
        <v/>
      </c>
    </row>
    <row r="1154">
      <c r="A1154" s="10" t="inlineStr">
        <is>
          <t>DN319384</t>
        </is>
      </c>
      <c r="B1154" s="10" t="inlineStr">
        <is>
          <t>SO63291</t>
        </is>
      </c>
      <c r="C1154" s="10" t="inlineStr">
        <is>
          <t>C10746</t>
        </is>
      </c>
      <c r="D1154" s="10">
        <f>INDEX(Customers!$B:$B,MATCH(C1154,Customers!$A:$A,0))</f>
        <v/>
      </c>
      <c r="E1154" s="10">
        <f>INDEX(Customers!$D:$D,MATCH(C1154,Customers!$A:$A,0))</f>
        <v/>
      </c>
      <c r="F1154" s="10" t="inlineStr">
        <is>
          <t>Own trucks</t>
        </is>
      </c>
      <c r="G1154" s="5" t="n">
        <v>46274</v>
      </c>
      <c r="H1154" s="5" t="n">
        <v>46275</v>
      </c>
      <c r="I1154" s="5" t="n">
        <v>46275</v>
      </c>
      <c r="J1154" s="10" t="inlineStr">
        <is>
          <t>12:30</t>
        </is>
      </c>
      <c r="K1154" s="10" t="inlineStr">
        <is>
          <t>On time</t>
        </is>
      </c>
      <c r="L1154" s="6" t="n">
        <v>0</v>
      </c>
      <c r="M1154" s="10" t="n"/>
      <c r="N1154" s="6" t="n">
        <v>6</v>
      </c>
      <c r="O1154" s="6" t="n">
        <v>678</v>
      </c>
      <c r="P1154" s="6" t="n">
        <v>1</v>
      </c>
      <c r="Q1154" s="6">
        <f>IF(OR(K1154="On time",K1154="Late",K1154="Very late"),1,0)</f>
        <v/>
      </c>
    </row>
    <row r="1155">
      <c r="A1155" s="10" t="inlineStr">
        <is>
          <t>DN319385</t>
        </is>
      </c>
      <c r="B1155" s="10" t="inlineStr">
        <is>
          <t>SO63292</t>
        </is>
      </c>
      <c r="C1155" s="10" t="inlineStr">
        <is>
          <t>C10796</t>
        </is>
      </c>
      <c r="D1155" s="10">
        <f>INDEX(Customers!$B:$B,MATCH(C1155,Customers!$A:$A,0))</f>
        <v/>
      </c>
      <c r="E1155" s="10">
        <f>INDEX(Customers!$D:$D,MATCH(C1155,Customers!$A:$A,0))</f>
        <v/>
      </c>
      <c r="F1155" s="10" t="inlineStr">
        <is>
          <t>Own trucks</t>
        </is>
      </c>
      <c r="G1155" s="5" t="n">
        <v>46274</v>
      </c>
      <c r="H1155" s="5" t="n">
        <v>46275</v>
      </c>
      <c r="I1155" s="5" t="n">
        <v>46275</v>
      </c>
      <c r="J1155" s="10" t="inlineStr">
        <is>
          <t>07:50</t>
        </is>
      </c>
      <c r="K1155" s="10" t="inlineStr">
        <is>
          <t>On time</t>
        </is>
      </c>
      <c r="L1155" s="6" t="n">
        <v>0</v>
      </c>
      <c r="M1155" s="10" t="n"/>
      <c r="N1155" s="6" t="n">
        <v>23</v>
      </c>
      <c r="O1155" s="6" t="n">
        <v>1472</v>
      </c>
      <c r="P1155" s="6" t="n">
        <v>1</v>
      </c>
      <c r="Q1155" s="6">
        <f>IF(OR(K1155="On time",K1155="Late",K1155="Very late"),1,0)</f>
        <v/>
      </c>
    </row>
    <row r="1156">
      <c r="A1156" s="10" t="inlineStr">
        <is>
          <t>DN319386</t>
        </is>
      </c>
      <c r="B1156" s="10" t="inlineStr">
        <is>
          <t>SO63294</t>
        </is>
      </c>
      <c r="C1156" s="10" t="inlineStr">
        <is>
          <t>C10847</t>
        </is>
      </c>
      <c r="D1156" s="10">
        <f>INDEX(Customers!$B:$B,MATCH(C1156,Customers!$A:$A,0))</f>
        <v/>
      </c>
      <c r="E1156" s="10">
        <f>INDEX(Customers!$D:$D,MATCH(C1156,Customers!$A:$A,0))</f>
        <v/>
      </c>
      <c r="F1156" s="10" t="inlineStr">
        <is>
          <t>Own trucks</t>
        </is>
      </c>
      <c r="G1156" s="5" t="n">
        <v>46274</v>
      </c>
      <c r="H1156" s="5" t="n">
        <v>46275</v>
      </c>
      <c r="I1156" s="5" t="n">
        <v>46275</v>
      </c>
      <c r="J1156" s="10" t="inlineStr">
        <is>
          <t>07:10</t>
        </is>
      </c>
      <c r="K1156" s="10" t="inlineStr">
        <is>
          <t>On time</t>
        </is>
      </c>
      <c r="L1156" s="6" t="n">
        <v>0</v>
      </c>
      <c r="M1156" s="10" t="n"/>
      <c r="N1156" s="6" t="n">
        <v>3</v>
      </c>
      <c r="O1156" s="6" t="n">
        <v>195</v>
      </c>
      <c r="P1156" s="6" t="n">
        <v>1</v>
      </c>
      <c r="Q1156" s="6">
        <f>IF(OR(K1156="On time",K1156="Late",K1156="Very late"),1,0)</f>
        <v/>
      </c>
    </row>
    <row r="1157">
      <c r="A1157" s="10" t="inlineStr">
        <is>
          <t>DN319387</t>
        </is>
      </c>
      <c r="B1157" s="10" t="inlineStr">
        <is>
          <t>SO63295</t>
        </is>
      </c>
      <c r="C1157" s="10" t="inlineStr">
        <is>
          <t>C10982</t>
        </is>
      </c>
      <c r="D1157" s="10">
        <f>INDEX(Customers!$B:$B,MATCH(C1157,Customers!$A:$A,0))</f>
        <v/>
      </c>
      <c r="E1157" s="10">
        <f>INDEX(Customers!$D:$D,MATCH(C1157,Customers!$A:$A,0))</f>
        <v/>
      </c>
      <c r="F1157" s="10" t="inlineStr">
        <is>
          <t>Own trucks</t>
        </is>
      </c>
      <c r="G1157" s="5" t="n">
        <v>46274</v>
      </c>
      <c r="H1157" s="5" t="n">
        <v>46275</v>
      </c>
      <c r="I1157" s="5" t="n">
        <v>46275</v>
      </c>
      <c r="J1157" s="10" t="inlineStr">
        <is>
          <t>10:20</t>
        </is>
      </c>
      <c r="K1157" s="10" t="inlineStr">
        <is>
          <t>On time</t>
        </is>
      </c>
      <c r="L1157" s="6" t="n">
        <v>0</v>
      </c>
      <c r="M1157" s="10" t="n"/>
      <c r="N1157" s="6" t="n">
        <v>36</v>
      </c>
      <c r="O1157" s="6" t="n">
        <v>2736</v>
      </c>
      <c r="P1157" s="6" t="n">
        <v>1</v>
      </c>
      <c r="Q1157" s="6">
        <f>IF(OR(K1157="On time",K1157="Late",K1157="Very late"),1,0)</f>
        <v/>
      </c>
    </row>
    <row r="1158">
      <c r="A1158" s="10" t="inlineStr">
        <is>
          <t>DN319388</t>
        </is>
      </c>
      <c r="B1158" s="10" t="inlineStr">
        <is>
          <t>SO63297</t>
        </is>
      </c>
      <c r="C1158" s="10" t="inlineStr">
        <is>
          <t>C11107</t>
        </is>
      </c>
      <c r="D1158" s="10">
        <f>INDEX(Customers!$B:$B,MATCH(C1158,Customers!$A:$A,0))</f>
        <v/>
      </c>
      <c r="E1158" s="10">
        <f>INDEX(Customers!$D:$D,MATCH(C1158,Customers!$A:$A,0))</f>
        <v/>
      </c>
      <c r="F1158" s="10" t="inlineStr">
        <is>
          <t>Own trucks</t>
        </is>
      </c>
      <c r="G1158" s="5" t="n">
        <v>46274</v>
      </c>
      <c r="H1158" s="5" t="n">
        <v>46275</v>
      </c>
      <c r="I1158" s="5" t="n">
        <v>46275</v>
      </c>
      <c r="J1158" s="10" t="inlineStr">
        <is>
          <t>12:00</t>
        </is>
      </c>
      <c r="K1158" s="10" t="inlineStr">
        <is>
          <t>On time</t>
        </is>
      </c>
      <c r="L1158" s="6" t="n">
        <v>0</v>
      </c>
      <c r="M1158" s="10" t="n"/>
      <c r="N1158" s="6" t="n">
        <v>37</v>
      </c>
      <c r="O1158" s="6" t="n">
        <v>2183</v>
      </c>
      <c r="P1158" s="6" t="n">
        <v>1</v>
      </c>
      <c r="Q1158" s="6">
        <f>IF(OR(K1158="On time",K1158="Late",K1158="Very late"),1,0)</f>
        <v/>
      </c>
    </row>
    <row r="1159">
      <c r="A1159" s="10" t="inlineStr">
        <is>
          <t>DN319389</t>
        </is>
      </c>
      <c r="B1159" s="10" t="inlineStr">
        <is>
          <t>SO63298</t>
        </is>
      </c>
      <c r="C1159" s="10" t="inlineStr">
        <is>
          <t>C11143</t>
        </is>
      </c>
      <c r="D1159" s="10">
        <f>INDEX(Customers!$B:$B,MATCH(C1159,Customers!$A:$A,0))</f>
        <v/>
      </c>
      <c r="E1159" s="10">
        <f>INDEX(Customers!$D:$D,MATCH(C1159,Customers!$A:$A,0))</f>
        <v/>
      </c>
      <c r="F1159" s="10" t="inlineStr">
        <is>
          <t>Own trucks</t>
        </is>
      </c>
      <c r="G1159" s="5" t="n">
        <v>46274</v>
      </c>
      <c r="H1159" s="5" t="n">
        <v>46275</v>
      </c>
      <c r="I1159" s="5" t="n">
        <v>46275</v>
      </c>
      <c r="J1159" s="10" t="inlineStr">
        <is>
          <t>08:10</t>
        </is>
      </c>
      <c r="K1159" s="10" t="inlineStr">
        <is>
          <t>On time</t>
        </is>
      </c>
      <c r="L1159" s="6" t="n">
        <v>0</v>
      </c>
      <c r="M1159" s="10" t="n"/>
      <c r="N1159" s="6" t="n">
        <v>25</v>
      </c>
      <c r="O1159" s="6" t="n">
        <v>1850</v>
      </c>
      <c r="P1159" s="6" t="n">
        <v>1</v>
      </c>
      <c r="Q1159" s="6">
        <f>IF(OR(K1159="On time",K1159="Late",K1159="Very late"),1,0)</f>
        <v/>
      </c>
    </row>
    <row r="1160">
      <c r="A1160" s="10" t="inlineStr">
        <is>
          <t>DN319390</t>
        </is>
      </c>
      <c r="B1160" s="10" t="inlineStr">
        <is>
          <t>SO63300</t>
        </is>
      </c>
      <c r="C1160" s="10" t="inlineStr">
        <is>
          <t>C11186</t>
        </is>
      </c>
      <c r="D1160" s="10">
        <f>INDEX(Customers!$B:$B,MATCH(C1160,Customers!$A:$A,0))</f>
        <v/>
      </c>
      <c r="E1160" s="10">
        <f>INDEX(Customers!$D:$D,MATCH(C1160,Customers!$A:$A,0))</f>
        <v/>
      </c>
      <c r="F1160" s="10" t="inlineStr">
        <is>
          <t>Own trucks</t>
        </is>
      </c>
      <c r="G1160" s="5" t="n">
        <v>46274</v>
      </c>
      <c r="H1160" s="5" t="n">
        <v>46275</v>
      </c>
      <c r="I1160" s="5" t="n">
        <v>46275</v>
      </c>
      <c r="J1160" s="10" t="inlineStr">
        <is>
          <t>12:50</t>
        </is>
      </c>
      <c r="K1160" s="10" t="inlineStr">
        <is>
          <t>On time</t>
        </is>
      </c>
      <c r="L1160" s="6" t="n">
        <v>0</v>
      </c>
      <c r="M1160" s="10" t="n"/>
      <c r="N1160" s="6" t="n">
        <v>14</v>
      </c>
      <c r="O1160" s="6" t="n">
        <v>1526</v>
      </c>
      <c r="P1160" s="6" t="n">
        <v>1</v>
      </c>
      <c r="Q1160" s="6">
        <f>IF(OR(K1160="On time",K1160="Late",K1160="Very late"),1,0)</f>
        <v/>
      </c>
    </row>
    <row r="1161">
      <c r="A1161" s="10" t="inlineStr">
        <is>
          <t>DN319391</t>
        </is>
      </c>
      <c r="B1161" s="10" t="inlineStr">
        <is>
          <t>SO63301</t>
        </is>
      </c>
      <c r="C1161" s="10" t="inlineStr">
        <is>
          <t>C11247</t>
        </is>
      </c>
      <c r="D1161" s="10">
        <f>INDEX(Customers!$B:$B,MATCH(C1161,Customers!$A:$A,0))</f>
        <v/>
      </c>
      <c r="E1161" s="10">
        <f>INDEX(Customers!$D:$D,MATCH(C1161,Customers!$A:$A,0))</f>
        <v/>
      </c>
      <c r="F1161" s="10" t="inlineStr">
        <is>
          <t>Own trucks</t>
        </is>
      </c>
      <c r="G1161" s="5" t="n">
        <v>46274</v>
      </c>
      <c r="H1161" s="5" t="n">
        <v>46275</v>
      </c>
      <c r="I1161" s="5" t="n">
        <v>46275</v>
      </c>
      <c r="J1161" s="10" t="inlineStr">
        <is>
          <t>14:20</t>
        </is>
      </c>
      <c r="K1161" s="10" t="inlineStr">
        <is>
          <t>On time</t>
        </is>
      </c>
      <c r="L1161" s="6" t="n">
        <v>0</v>
      </c>
      <c r="M1161" s="10" t="n"/>
      <c r="N1161" s="6" t="n">
        <v>11</v>
      </c>
      <c r="O1161" s="6" t="n">
        <v>1045</v>
      </c>
      <c r="P1161" s="6" t="n">
        <v>1</v>
      </c>
      <c r="Q1161" s="6">
        <f>IF(OR(K1161="On time",K1161="Late",K1161="Very late"),1,0)</f>
        <v/>
      </c>
    </row>
    <row r="1162">
      <c r="A1162" s="10" t="inlineStr">
        <is>
          <t>DN319392</t>
        </is>
      </c>
      <c r="B1162" s="10" t="inlineStr">
        <is>
          <t>SO63302</t>
        </is>
      </c>
      <c r="C1162" s="10" t="inlineStr">
        <is>
          <t>C11264</t>
        </is>
      </c>
      <c r="D1162" s="10">
        <f>INDEX(Customers!$B:$B,MATCH(C1162,Customers!$A:$A,0))</f>
        <v/>
      </c>
      <c r="E1162" s="10">
        <f>INDEX(Customers!$D:$D,MATCH(C1162,Customers!$A:$A,0))</f>
        <v/>
      </c>
      <c r="F1162" s="10" t="inlineStr">
        <is>
          <t>Own trucks</t>
        </is>
      </c>
      <c r="G1162" s="5" t="n">
        <v>46274</v>
      </c>
      <c r="H1162" s="5" t="n">
        <v>46275</v>
      </c>
      <c r="I1162" s="5" t="n">
        <v>46275</v>
      </c>
      <c r="J1162" s="10" t="inlineStr">
        <is>
          <t>07:10</t>
        </is>
      </c>
      <c r="K1162" s="10" t="inlineStr">
        <is>
          <t>On time</t>
        </is>
      </c>
      <c r="L1162" s="6" t="n">
        <v>0</v>
      </c>
      <c r="M1162" s="10" t="n"/>
      <c r="N1162" s="6" t="n">
        <v>8</v>
      </c>
      <c r="O1162" s="6" t="n">
        <v>680</v>
      </c>
      <c r="P1162" s="6" t="n">
        <v>1</v>
      </c>
      <c r="Q1162" s="6">
        <f>IF(OR(K1162="On time",K1162="Late",K1162="Very late"),1,0)</f>
        <v/>
      </c>
    </row>
    <row r="1163">
      <c r="A1163" s="10" t="inlineStr">
        <is>
          <t>DN319393</t>
        </is>
      </c>
      <c r="B1163" s="10" t="inlineStr">
        <is>
          <t>SO63303</t>
        </is>
      </c>
      <c r="C1163" s="10" t="inlineStr">
        <is>
          <t>C11314</t>
        </is>
      </c>
      <c r="D1163" s="10">
        <f>INDEX(Customers!$B:$B,MATCH(C1163,Customers!$A:$A,0))</f>
        <v/>
      </c>
      <c r="E1163" s="10">
        <f>INDEX(Customers!$D:$D,MATCH(C1163,Customers!$A:$A,0))</f>
        <v/>
      </c>
      <c r="F1163" s="10" t="inlineStr">
        <is>
          <t>Own trucks</t>
        </is>
      </c>
      <c r="G1163" s="5" t="n">
        <v>46274</v>
      </c>
      <c r="H1163" s="5" t="n">
        <v>46275</v>
      </c>
      <c r="I1163" s="5" t="n">
        <v>46275</v>
      </c>
      <c r="J1163" s="10" t="inlineStr">
        <is>
          <t>14:20</t>
        </is>
      </c>
      <c r="K1163" s="10" t="inlineStr">
        <is>
          <t>On time</t>
        </is>
      </c>
      <c r="L1163" s="6" t="n">
        <v>0</v>
      </c>
      <c r="M1163" s="10" t="n"/>
      <c r="N1163" s="6" t="n">
        <v>4</v>
      </c>
      <c r="O1163" s="6" t="n">
        <v>304</v>
      </c>
      <c r="P1163" s="6" t="n">
        <v>1</v>
      </c>
      <c r="Q1163" s="6">
        <f>IF(OR(K1163="On time",K1163="Late",K1163="Very late"),1,0)</f>
        <v/>
      </c>
    </row>
    <row r="1164">
      <c r="A1164" s="10" t="inlineStr">
        <is>
          <t>DN319394</t>
        </is>
      </c>
      <c r="B1164" s="10" t="inlineStr">
        <is>
          <t>SO63304</t>
        </is>
      </c>
      <c r="C1164" s="10" t="inlineStr">
        <is>
          <t>C11333</t>
        </is>
      </c>
      <c r="D1164" s="10">
        <f>INDEX(Customers!$B:$B,MATCH(C1164,Customers!$A:$A,0))</f>
        <v/>
      </c>
      <c r="E1164" s="10">
        <f>INDEX(Customers!$D:$D,MATCH(C1164,Customers!$A:$A,0))</f>
        <v/>
      </c>
      <c r="F1164" s="10" t="inlineStr">
        <is>
          <t>Own trucks</t>
        </is>
      </c>
      <c r="G1164" s="5" t="n">
        <v>46274</v>
      </c>
      <c r="H1164" s="5" t="n">
        <v>46275</v>
      </c>
      <c r="I1164" s="5" t="n">
        <v>46275</v>
      </c>
      <c r="J1164" s="10" t="inlineStr">
        <is>
          <t>07:00</t>
        </is>
      </c>
      <c r="K1164" s="10" t="inlineStr">
        <is>
          <t>On time</t>
        </is>
      </c>
      <c r="L1164" s="6" t="n">
        <v>0</v>
      </c>
      <c r="M1164" s="10" t="n"/>
      <c r="N1164" s="6" t="n">
        <v>31</v>
      </c>
      <c r="O1164" s="6" t="n">
        <v>3596</v>
      </c>
      <c r="P1164" s="6" t="n">
        <v>1</v>
      </c>
      <c r="Q1164" s="6">
        <f>IF(OR(K1164="On time",K1164="Late",K1164="Very late"),1,0)</f>
        <v/>
      </c>
    </row>
    <row r="1165">
      <c r="A1165" s="10" t="inlineStr">
        <is>
          <t>DN319395</t>
        </is>
      </c>
      <c r="B1165" s="10" t="inlineStr">
        <is>
          <t>SO63305</t>
        </is>
      </c>
      <c r="C1165" s="10" t="inlineStr">
        <is>
          <t>C11400</t>
        </is>
      </c>
      <c r="D1165" s="10">
        <f>INDEX(Customers!$B:$B,MATCH(C1165,Customers!$A:$A,0))</f>
        <v/>
      </c>
      <c r="E1165" s="10">
        <f>INDEX(Customers!$D:$D,MATCH(C1165,Customers!$A:$A,0))</f>
        <v/>
      </c>
      <c r="F1165" s="10" t="inlineStr">
        <is>
          <t>Own trucks</t>
        </is>
      </c>
      <c r="G1165" s="5" t="n">
        <v>46274</v>
      </c>
      <c r="H1165" s="5" t="n">
        <v>46275</v>
      </c>
      <c r="I1165" s="5" t="n">
        <v>46276</v>
      </c>
      <c r="J1165" s="10" t="inlineStr">
        <is>
          <t>12:10</t>
        </is>
      </c>
      <c r="K1165" s="10" t="inlineStr">
        <is>
          <t>Late</t>
        </is>
      </c>
      <c r="L1165" s="6" t="n">
        <v>1</v>
      </c>
      <c r="M1165" s="10" t="inlineStr">
        <is>
          <t>Carrier delay</t>
        </is>
      </c>
      <c r="N1165" s="6" t="n">
        <v>25</v>
      </c>
      <c r="O1165" s="6" t="n">
        <v>2650</v>
      </c>
      <c r="P1165" s="6" t="n">
        <v>1</v>
      </c>
      <c r="Q1165" s="6">
        <f>IF(OR(K1165="On time",K1165="Late",K1165="Very late"),1,0)</f>
        <v/>
      </c>
    </row>
    <row r="1166">
      <c r="A1166" s="10" t="inlineStr">
        <is>
          <t>DN319396</t>
        </is>
      </c>
      <c r="B1166" s="10" t="inlineStr">
        <is>
          <t>SO63306</t>
        </is>
      </c>
      <c r="C1166" s="10" t="inlineStr">
        <is>
          <t>C11518</t>
        </is>
      </c>
      <c r="D1166" s="10">
        <f>INDEX(Customers!$B:$B,MATCH(C1166,Customers!$A:$A,0))</f>
        <v/>
      </c>
      <c r="E1166" s="10">
        <f>INDEX(Customers!$D:$D,MATCH(C1166,Customers!$A:$A,0))</f>
        <v/>
      </c>
      <c r="F1166" s="10" t="inlineStr">
        <is>
          <t>Own trucks</t>
        </is>
      </c>
      <c r="G1166" s="5" t="n">
        <v>46274</v>
      </c>
      <c r="H1166" s="5" t="n">
        <v>46275</v>
      </c>
      <c r="I1166" s="5" t="n">
        <v>46275</v>
      </c>
      <c r="J1166" s="10" t="inlineStr">
        <is>
          <t>10:50</t>
        </is>
      </c>
      <c r="K1166" s="10" t="inlineStr">
        <is>
          <t>On time</t>
        </is>
      </c>
      <c r="L1166" s="6" t="n">
        <v>0</v>
      </c>
      <c r="M1166" s="10" t="n"/>
      <c r="N1166" s="6" t="n">
        <v>18</v>
      </c>
      <c r="O1166" s="6" t="n">
        <v>1494</v>
      </c>
      <c r="P1166" s="6" t="n">
        <v>1</v>
      </c>
      <c r="Q1166" s="6">
        <f>IF(OR(K1166="On time",K1166="Late",K1166="Very late"),1,0)</f>
        <v/>
      </c>
    </row>
    <row r="1167">
      <c r="A1167" s="10" t="inlineStr">
        <is>
          <t>DN319397</t>
        </is>
      </c>
      <c r="B1167" s="10" t="inlineStr">
        <is>
          <t>SO63307</t>
        </is>
      </c>
      <c r="C1167" s="10" t="inlineStr">
        <is>
          <t>C11579</t>
        </is>
      </c>
      <c r="D1167" s="10">
        <f>INDEX(Customers!$B:$B,MATCH(C1167,Customers!$A:$A,0))</f>
        <v/>
      </c>
      <c r="E1167" s="10">
        <f>INDEX(Customers!$D:$D,MATCH(C1167,Customers!$A:$A,0))</f>
        <v/>
      </c>
      <c r="F1167" s="10" t="inlineStr">
        <is>
          <t>Own trucks</t>
        </is>
      </c>
      <c r="G1167" s="5" t="n">
        <v>46274</v>
      </c>
      <c r="H1167" s="5" t="n">
        <v>46275</v>
      </c>
      <c r="I1167" s="5" t="n">
        <v>46275</v>
      </c>
      <c r="J1167" s="10" t="inlineStr">
        <is>
          <t>16:30</t>
        </is>
      </c>
      <c r="K1167" s="10" t="inlineStr">
        <is>
          <t>On time</t>
        </is>
      </c>
      <c r="L1167" s="6" t="n">
        <v>0</v>
      </c>
      <c r="M1167" s="10" t="n"/>
      <c r="N1167" s="6" t="n">
        <v>17</v>
      </c>
      <c r="O1167" s="6" t="n">
        <v>1853</v>
      </c>
      <c r="P1167" s="6" t="n">
        <v>1</v>
      </c>
      <c r="Q1167" s="6">
        <f>IF(OR(K1167="On time",K1167="Late",K1167="Very late"),1,0)</f>
        <v/>
      </c>
    </row>
    <row r="1168">
      <c r="A1168" s="10" t="inlineStr">
        <is>
          <t>DN319398</t>
        </is>
      </c>
      <c r="B1168" s="10" t="inlineStr">
        <is>
          <t>SO63308</t>
        </is>
      </c>
      <c r="C1168" s="10" t="inlineStr">
        <is>
          <t>C11616</t>
        </is>
      </c>
      <c r="D1168" s="10">
        <f>INDEX(Customers!$B:$B,MATCH(C1168,Customers!$A:$A,0))</f>
        <v/>
      </c>
      <c r="E1168" s="10">
        <f>INDEX(Customers!$D:$D,MATCH(C1168,Customers!$A:$A,0))</f>
        <v/>
      </c>
      <c r="F1168" s="10" t="inlineStr">
        <is>
          <t>Own trucks</t>
        </is>
      </c>
      <c r="G1168" s="5" t="n">
        <v>46274</v>
      </c>
      <c r="H1168" s="5" t="n">
        <v>46275</v>
      </c>
      <c r="I1168" s="5" t="n">
        <v>46275</v>
      </c>
      <c r="J1168" s="10" t="inlineStr">
        <is>
          <t>08:20</t>
        </is>
      </c>
      <c r="K1168" s="10" t="inlineStr">
        <is>
          <t>On time</t>
        </is>
      </c>
      <c r="L1168" s="6" t="n">
        <v>0</v>
      </c>
      <c r="M1168" s="10" t="n"/>
      <c r="N1168" s="6" t="n">
        <v>12</v>
      </c>
      <c r="O1168" s="6" t="n">
        <v>1284</v>
      </c>
      <c r="P1168" s="6" t="n">
        <v>1</v>
      </c>
      <c r="Q1168" s="6">
        <f>IF(OR(K1168="On time",K1168="Late",K1168="Very late"),1,0)</f>
        <v/>
      </c>
    </row>
    <row r="1169">
      <c r="A1169" s="10" t="inlineStr">
        <is>
          <t>DN319399</t>
        </is>
      </c>
      <c r="B1169" s="10" t="inlineStr">
        <is>
          <t>SO63309</t>
        </is>
      </c>
      <c r="C1169" s="10" t="inlineStr">
        <is>
          <t>C11666</t>
        </is>
      </c>
      <c r="D1169" s="10">
        <f>INDEX(Customers!$B:$B,MATCH(C1169,Customers!$A:$A,0))</f>
        <v/>
      </c>
      <c r="E1169" s="10">
        <f>INDEX(Customers!$D:$D,MATCH(C1169,Customers!$A:$A,0))</f>
        <v/>
      </c>
      <c r="F1169" s="10" t="inlineStr">
        <is>
          <t>Own trucks</t>
        </is>
      </c>
      <c r="G1169" s="5" t="n">
        <v>46274</v>
      </c>
      <c r="H1169" s="5" t="n">
        <v>46275</v>
      </c>
      <c r="I1169" s="5" t="n">
        <v>46275</v>
      </c>
      <c r="J1169" s="10" t="inlineStr">
        <is>
          <t>10:40</t>
        </is>
      </c>
      <c r="K1169" s="10" t="inlineStr">
        <is>
          <t>On time</t>
        </is>
      </c>
      <c r="L1169" s="6" t="n">
        <v>0</v>
      </c>
      <c r="M1169" s="10" t="n"/>
      <c r="N1169" s="6" t="n">
        <v>26</v>
      </c>
      <c r="O1169" s="6" t="n">
        <v>3354</v>
      </c>
      <c r="P1169" s="6" t="n">
        <v>1</v>
      </c>
      <c r="Q1169" s="6">
        <f>IF(OR(K1169="On time",K1169="Late",K1169="Very late"),1,0)</f>
        <v/>
      </c>
    </row>
    <row r="1170">
      <c r="A1170" s="10" t="inlineStr">
        <is>
          <t>DN319400</t>
        </is>
      </c>
      <c r="B1170" s="10" t="inlineStr">
        <is>
          <t>SO63310</t>
        </is>
      </c>
      <c r="C1170" s="10" t="inlineStr">
        <is>
          <t>C11866</t>
        </is>
      </c>
      <c r="D1170" s="10">
        <f>INDEX(Customers!$B:$B,MATCH(C1170,Customers!$A:$A,0))</f>
        <v/>
      </c>
      <c r="E1170" s="10">
        <f>INDEX(Customers!$D:$D,MATCH(C1170,Customers!$A:$A,0))</f>
        <v/>
      </c>
      <c r="F1170" s="10" t="inlineStr">
        <is>
          <t>Carrier A</t>
        </is>
      </c>
      <c r="G1170" s="5" t="n">
        <v>46274</v>
      </c>
      <c r="H1170" s="5" t="n">
        <v>46275</v>
      </c>
      <c r="I1170" s="5" t="n">
        <v>46275</v>
      </c>
      <c r="J1170" s="10" t="inlineStr">
        <is>
          <t>10:40</t>
        </is>
      </c>
      <c r="K1170" s="10" t="inlineStr">
        <is>
          <t>On time</t>
        </is>
      </c>
      <c r="L1170" s="6" t="n">
        <v>0</v>
      </c>
      <c r="M1170" s="10" t="n"/>
      <c r="N1170" s="6" t="n">
        <v>11</v>
      </c>
      <c r="O1170" s="6" t="n">
        <v>880</v>
      </c>
      <c r="P1170" s="6" t="n">
        <v>1</v>
      </c>
      <c r="Q1170" s="6">
        <f>IF(OR(K1170="On time",K1170="Late",K1170="Very late"),1,0)</f>
        <v/>
      </c>
    </row>
    <row r="1171">
      <c r="A1171" s="10" t="inlineStr">
        <is>
          <t>DN319401</t>
        </is>
      </c>
      <c r="B1171" s="10" t="inlineStr">
        <is>
          <t>SO63311</t>
        </is>
      </c>
      <c r="C1171" s="10" t="inlineStr">
        <is>
          <t>C11950</t>
        </is>
      </c>
      <c r="D1171" s="10">
        <f>INDEX(Customers!$B:$B,MATCH(C1171,Customers!$A:$A,0))</f>
        <v/>
      </c>
      <c r="E1171" s="10">
        <f>INDEX(Customers!$D:$D,MATCH(C1171,Customers!$A:$A,0))</f>
        <v/>
      </c>
      <c r="F1171" s="10" t="inlineStr">
        <is>
          <t>Carrier A</t>
        </is>
      </c>
      <c r="G1171" s="5" t="n">
        <v>46274</v>
      </c>
      <c r="H1171" s="5" t="n">
        <v>46275</v>
      </c>
      <c r="I1171" s="5" t="n">
        <v>46275</v>
      </c>
      <c r="J1171" s="10" t="inlineStr">
        <is>
          <t>09:20</t>
        </is>
      </c>
      <c r="K1171" s="10" t="inlineStr">
        <is>
          <t>On time</t>
        </is>
      </c>
      <c r="L1171" s="6" t="n">
        <v>0</v>
      </c>
      <c r="M1171" s="10" t="n"/>
      <c r="N1171" s="6" t="n">
        <v>29</v>
      </c>
      <c r="O1171" s="6" t="n">
        <v>2262</v>
      </c>
      <c r="P1171" s="6" t="n">
        <v>1</v>
      </c>
      <c r="Q1171" s="6">
        <f>IF(OR(K1171="On time",K1171="Late",K1171="Very late"),1,0)</f>
        <v/>
      </c>
    </row>
    <row r="1172">
      <c r="A1172" s="10" t="inlineStr">
        <is>
          <t>DN319402</t>
        </is>
      </c>
      <c r="B1172" s="10" t="inlineStr">
        <is>
          <t>SO63312</t>
        </is>
      </c>
      <c r="C1172" s="10" t="inlineStr">
        <is>
          <t>C11971</t>
        </is>
      </c>
      <c r="D1172" s="10">
        <f>INDEX(Customers!$B:$B,MATCH(C1172,Customers!$A:$A,0))</f>
        <v/>
      </c>
      <c r="E1172" s="10">
        <f>INDEX(Customers!$D:$D,MATCH(C1172,Customers!$A:$A,0))</f>
        <v/>
      </c>
      <c r="F1172" s="10" t="inlineStr">
        <is>
          <t>Own trucks</t>
        </is>
      </c>
      <c r="G1172" s="5" t="n">
        <v>46274</v>
      </c>
      <c r="H1172" s="5" t="n">
        <v>46275</v>
      </c>
      <c r="I1172" s="5" t="n">
        <v>46275</v>
      </c>
      <c r="J1172" s="10" t="inlineStr">
        <is>
          <t>08:50</t>
        </is>
      </c>
      <c r="K1172" s="10" t="inlineStr">
        <is>
          <t>On time</t>
        </is>
      </c>
      <c r="L1172" s="6" t="n">
        <v>0</v>
      </c>
      <c r="M1172" s="10" t="n"/>
      <c r="N1172" s="6" t="n">
        <v>25</v>
      </c>
      <c r="O1172" s="6" t="n">
        <v>3450</v>
      </c>
      <c r="P1172" s="6" t="n">
        <v>1</v>
      </c>
      <c r="Q1172" s="6">
        <f>IF(OR(K1172="On time",K1172="Late",K1172="Very late"),1,0)</f>
        <v/>
      </c>
    </row>
    <row r="1173">
      <c r="A1173" s="10" t="inlineStr">
        <is>
          <t>DN319403</t>
        </is>
      </c>
      <c r="B1173" s="10" t="inlineStr">
        <is>
          <t>SO63313</t>
        </is>
      </c>
      <c r="C1173" s="10" t="inlineStr">
        <is>
          <t>C12103</t>
        </is>
      </c>
      <c r="D1173" s="10">
        <f>INDEX(Customers!$B:$B,MATCH(C1173,Customers!$A:$A,0))</f>
        <v/>
      </c>
      <c r="E1173" s="10">
        <f>INDEX(Customers!$D:$D,MATCH(C1173,Customers!$A:$A,0))</f>
        <v/>
      </c>
      <c r="F1173" s="10" t="inlineStr">
        <is>
          <t>Own trucks</t>
        </is>
      </c>
      <c r="G1173" s="5" t="n">
        <v>46274</v>
      </c>
      <c r="H1173" s="5" t="n">
        <v>46275</v>
      </c>
      <c r="I1173" s="5" t="n">
        <v>46275</v>
      </c>
      <c r="J1173" s="10" t="inlineStr">
        <is>
          <t>07:30</t>
        </is>
      </c>
      <c r="K1173" s="10" t="inlineStr">
        <is>
          <t>On time</t>
        </is>
      </c>
      <c r="L1173" s="6" t="n">
        <v>0</v>
      </c>
      <c r="M1173" s="10" t="n"/>
      <c r="N1173" s="6" t="n">
        <v>28</v>
      </c>
      <c r="O1173" s="6" t="n">
        <v>1820</v>
      </c>
      <c r="P1173" s="6" t="n">
        <v>1</v>
      </c>
      <c r="Q1173" s="6">
        <f>IF(OR(K1173="On time",K1173="Late",K1173="Very late"),1,0)</f>
        <v/>
      </c>
    </row>
    <row r="1174">
      <c r="A1174" s="10" t="inlineStr">
        <is>
          <t>DN319404</t>
        </is>
      </c>
      <c r="B1174" s="10" t="inlineStr">
        <is>
          <t>SO63314</t>
        </is>
      </c>
      <c r="C1174" s="10" t="inlineStr">
        <is>
          <t>C12262</t>
        </is>
      </c>
      <c r="D1174" s="10">
        <f>INDEX(Customers!$B:$B,MATCH(C1174,Customers!$A:$A,0))</f>
        <v/>
      </c>
      <c r="E1174" s="10">
        <f>INDEX(Customers!$D:$D,MATCH(C1174,Customers!$A:$A,0))</f>
        <v/>
      </c>
      <c r="F1174" s="10" t="inlineStr">
        <is>
          <t>Carrier B</t>
        </is>
      </c>
      <c r="G1174" s="5" t="n">
        <v>46274</v>
      </c>
      <c r="H1174" s="5" t="n">
        <v>46275</v>
      </c>
      <c r="I1174" s="5" t="n">
        <v>46275</v>
      </c>
      <c r="J1174" s="10" t="inlineStr">
        <is>
          <t>07:50</t>
        </is>
      </c>
      <c r="K1174" s="10" t="inlineStr">
        <is>
          <t>On time</t>
        </is>
      </c>
      <c r="L1174" s="6" t="n">
        <v>0</v>
      </c>
      <c r="M1174" s="10" t="n"/>
      <c r="N1174" s="6" t="n">
        <v>5</v>
      </c>
      <c r="O1174" s="6" t="n">
        <v>495</v>
      </c>
      <c r="P1174" s="6" t="n">
        <v>1</v>
      </c>
      <c r="Q1174" s="6">
        <f>IF(OR(K1174="On time",K1174="Late",K1174="Very late"),1,0)</f>
        <v/>
      </c>
    </row>
    <row r="1175">
      <c r="A1175" s="10" t="inlineStr">
        <is>
          <t>DN319405</t>
        </is>
      </c>
      <c r="B1175" s="10" t="inlineStr">
        <is>
          <t>SO63316</t>
        </is>
      </c>
      <c r="C1175" s="10" t="inlineStr">
        <is>
          <t>C12305</t>
        </is>
      </c>
      <c r="D1175" s="10">
        <f>INDEX(Customers!$B:$B,MATCH(C1175,Customers!$A:$A,0))</f>
        <v/>
      </c>
      <c r="E1175" s="10">
        <f>INDEX(Customers!$D:$D,MATCH(C1175,Customers!$A:$A,0))</f>
        <v/>
      </c>
      <c r="F1175" s="10" t="inlineStr">
        <is>
          <t>Carrier B</t>
        </is>
      </c>
      <c r="G1175" s="5" t="n">
        <v>46274</v>
      </c>
      <c r="H1175" s="5" t="n">
        <v>46275</v>
      </c>
      <c r="I1175" s="5" t="n">
        <v>46275</v>
      </c>
      <c r="J1175" s="10" t="inlineStr">
        <is>
          <t>07:50</t>
        </is>
      </c>
      <c r="K1175" s="10" t="inlineStr">
        <is>
          <t>On time</t>
        </is>
      </c>
      <c r="L1175" s="6" t="n">
        <v>0</v>
      </c>
      <c r="M1175" s="10" t="n"/>
      <c r="N1175" s="6" t="n">
        <v>14</v>
      </c>
      <c r="O1175" s="6" t="n">
        <v>1330</v>
      </c>
      <c r="P1175" s="6" t="n">
        <v>1</v>
      </c>
      <c r="Q1175" s="6">
        <f>IF(OR(K1175="On time",K1175="Late",K1175="Very late"),1,0)</f>
        <v/>
      </c>
    </row>
    <row r="1176">
      <c r="A1176" s="10" t="inlineStr">
        <is>
          <t>DN319406</t>
        </is>
      </c>
      <c r="B1176" s="10" t="inlineStr">
        <is>
          <t>SO63318</t>
        </is>
      </c>
      <c r="C1176" s="10" t="inlineStr">
        <is>
          <t>C12389</t>
        </is>
      </c>
      <c r="D1176" s="10">
        <f>INDEX(Customers!$B:$B,MATCH(C1176,Customers!$A:$A,0))</f>
        <v/>
      </c>
      <c r="E1176" s="10">
        <f>INDEX(Customers!$D:$D,MATCH(C1176,Customers!$A:$A,0))</f>
        <v/>
      </c>
      <c r="F1176" s="10" t="inlineStr">
        <is>
          <t>Carrier A</t>
        </is>
      </c>
      <c r="G1176" s="5" t="n">
        <v>46274</v>
      </c>
      <c r="H1176" s="5" t="n">
        <v>46275</v>
      </c>
      <c r="I1176" s="5" t="n">
        <v>46275</v>
      </c>
      <c r="J1176" s="10" t="inlineStr">
        <is>
          <t>13:20</t>
        </is>
      </c>
      <c r="K1176" s="10" t="inlineStr">
        <is>
          <t>On time</t>
        </is>
      </c>
      <c r="L1176" s="6" t="n">
        <v>0</v>
      </c>
      <c r="M1176" s="10" t="n"/>
      <c r="N1176" s="6" t="n">
        <v>33</v>
      </c>
      <c r="O1176" s="6" t="n">
        <v>1881</v>
      </c>
      <c r="P1176" s="6" t="n">
        <v>1</v>
      </c>
      <c r="Q1176" s="6">
        <f>IF(OR(K1176="On time",K1176="Late",K1176="Very late"),1,0)</f>
        <v/>
      </c>
    </row>
    <row r="1177">
      <c r="A1177" s="10" t="inlineStr">
        <is>
          <t>DN319407</t>
        </is>
      </c>
      <c r="B1177" s="10" t="inlineStr">
        <is>
          <t>SO63319</t>
        </is>
      </c>
      <c r="C1177" s="10" t="inlineStr">
        <is>
          <t>C12420</t>
        </is>
      </c>
      <c r="D1177" s="10">
        <f>INDEX(Customers!$B:$B,MATCH(C1177,Customers!$A:$A,0))</f>
        <v/>
      </c>
      <c r="E1177" s="10">
        <f>INDEX(Customers!$D:$D,MATCH(C1177,Customers!$A:$A,0))</f>
        <v/>
      </c>
      <c r="F1177" s="10" t="inlineStr">
        <is>
          <t>Carrier A</t>
        </is>
      </c>
      <c r="G1177" s="5" t="n">
        <v>46274</v>
      </c>
      <c r="H1177" s="5" t="n">
        <v>46275</v>
      </c>
      <c r="I1177" s="5" t="n">
        <v>46275</v>
      </c>
      <c r="J1177" s="10" t="inlineStr">
        <is>
          <t>16:30</t>
        </is>
      </c>
      <c r="K1177" s="10" t="inlineStr">
        <is>
          <t>On time</t>
        </is>
      </c>
      <c r="L1177" s="6" t="n">
        <v>0</v>
      </c>
      <c r="M1177" s="10" t="n"/>
      <c r="N1177" s="6" t="n">
        <v>7</v>
      </c>
      <c r="O1177" s="6" t="n">
        <v>623</v>
      </c>
      <c r="P1177" s="6" t="n">
        <v>1</v>
      </c>
      <c r="Q1177" s="6">
        <f>IF(OR(K1177="On time",K1177="Late",K1177="Very late"),1,0)</f>
        <v/>
      </c>
    </row>
    <row r="1178">
      <c r="A1178" s="10" t="inlineStr">
        <is>
          <t>DN319408</t>
        </is>
      </c>
      <c r="B1178" s="10" t="inlineStr">
        <is>
          <t>SO63320</t>
        </is>
      </c>
      <c r="C1178" s="10" t="inlineStr">
        <is>
          <t>C12490</t>
        </is>
      </c>
      <c r="D1178" s="10">
        <f>INDEX(Customers!$B:$B,MATCH(C1178,Customers!$A:$A,0))</f>
        <v/>
      </c>
      <c r="E1178" s="10">
        <f>INDEX(Customers!$D:$D,MATCH(C1178,Customers!$A:$A,0))</f>
        <v/>
      </c>
      <c r="F1178" s="10" t="inlineStr">
        <is>
          <t>Carrier A</t>
        </is>
      </c>
      <c r="G1178" s="5" t="n">
        <v>46274</v>
      </c>
      <c r="H1178" s="5" t="n">
        <v>46275</v>
      </c>
      <c r="I1178" s="5" t="n">
        <v>46275</v>
      </c>
      <c r="J1178" s="10" t="inlineStr">
        <is>
          <t>13:20</t>
        </is>
      </c>
      <c r="K1178" s="10" t="inlineStr">
        <is>
          <t>On time</t>
        </is>
      </c>
      <c r="L1178" s="6" t="n">
        <v>0</v>
      </c>
      <c r="M1178" s="10" t="n"/>
      <c r="N1178" s="6" t="n">
        <v>8</v>
      </c>
      <c r="O1178" s="6" t="n">
        <v>816</v>
      </c>
      <c r="P1178" s="6" t="n">
        <v>1</v>
      </c>
      <c r="Q1178" s="6">
        <f>IF(OR(K1178="On time",K1178="Late",K1178="Very late"),1,0)</f>
        <v/>
      </c>
    </row>
    <row r="1179">
      <c r="A1179" s="10" t="inlineStr">
        <is>
          <t>DN319409</t>
        </is>
      </c>
      <c r="B1179" s="10" t="inlineStr">
        <is>
          <t>SO63321</t>
        </is>
      </c>
      <c r="C1179" s="10" t="inlineStr">
        <is>
          <t>C12543</t>
        </is>
      </c>
      <c r="D1179" s="10">
        <f>INDEX(Customers!$B:$B,MATCH(C1179,Customers!$A:$A,0))</f>
        <v/>
      </c>
      <c r="E1179" s="10">
        <f>INDEX(Customers!$D:$D,MATCH(C1179,Customers!$A:$A,0))</f>
        <v/>
      </c>
      <c r="F1179" s="10" t="inlineStr">
        <is>
          <t>Carrier B</t>
        </is>
      </c>
      <c r="G1179" s="5" t="n">
        <v>46273</v>
      </c>
      <c r="H1179" s="5" t="n">
        <v>46275</v>
      </c>
      <c r="I1179" s="5" t="n">
        <v>46275</v>
      </c>
      <c r="J1179" s="10" t="inlineStr">
        <is>
          <t>12:20</t>
        </is>
      </c>
      <c r="K1179" s="10" t="inlineStr">
        <is>
          <t>On time</t>
        </is>
      </c>
      <c r="L1179" s="6" t="n">
        <v>0</v>
      </c>
      <c r="M1179" s="10" t="n"/>
      <c r="N1179" s="6" t="n">
        <v>11</v>
      </c>
      <c r="O1179" s="6" t="n">
        <v>1452</v>
      </c>
      <c r="P1179" s="6" t="n">
        <v>1</v>
      </c>
      <c r="Q1179" s="6">
        <f>IF(OR(K1179="On time",K1179="Late",K1179="Very late"),1,0)</f>
        <v/>
      </c>
    </row>
    <row r="1180">
      <c r="A1180" s="10" t="inlineStr">
        <is>
          <t>DN319410</t>
        </is>
      </c>
      <c r="B1180" s="10" t="inlineStr">
        <is>
          <t>SO63323</t>
        </is>
      </c>
      <c r="C1180" s="10" t="inlineStr">
        <is>
          <t>C12557</t>
        </is>
      </c>
      <c r="D1180" s="10">
        <f>INDEX(Customers!$B:$B,MATCH(C1180,Customers!$A:$A,0))</f>
        <v/>
      </c>
      <c r="E1180" s="10">
        <f>INDEX(Customers!$D:$D,MATCH(C1180,Customers!$A:$A,0))</f>
        <v/>
      </c>
      <c r="F1180" s="10" t="inlineStr">
        <is>
          <t>Carrier B</t>
        </is>
      </c>
      <c r="G1180" s="5" t="n">
        <v>46273</v>
      </c>
      <c r="H1180" s="5" t="n">
        <v>46275</v>
      </c>
      <c r="I1180" s="5" t="n">
        <v>46275</v>
      </c>
      <c r="J1180" s="10" t="inlineStr">
        <is>
          <t>10:20</t>
        </is>
      </c>
      <c r="K1180" s="10" t="inlineStr">
        <is>
          <t>On time</t>
        </is>
      </c>
      <c r="L1180" s="6" t="n">
        <v>0</v>
      </c>
      <c r="M1180" s="10" t="n"/>
      <c r="N1180" s="6" t="n">
        <v>6</v>
      </c>
      <c r="O1180" s="6" t="n">
        <v>528</v>
      </c>
      <c r="P1180" s="6" t="n">
        <v>1</v>
      </c>
      <c r="Q1180" s="6">
        <f>IF(OR(K1180="On time",K1180="Late",K1180="Very late"),1,0)</f>
        <v/>
      </c>
    </row>
    <row r="1181">
      <c r="A1181" s="10" t="inlineStr">
        <is>
          <t>DN319411</t>
        </is>
      </c>
      <c r="B1181" s="10" t="inlineStr">
        <is>
          <t>SO63325</t>
        </is>
      </c>
      <c r="C1181" s="10" t="inlineStr">
        <is>
          <t>C12617</t>
        </is>
      </c>
      <c r="D1181" s="10">
        <f>INDEX(Customers!$B:$B,MATCH(C1181,Customers!$A:$A,0))</f>
        <v/>
      </c>
      <c r="E1181" s="10">
        <f>INDEX(Customers!$D:$D,MATCH(C1181,Customers!$A:$A,0))</f>
        <v/>
      </c>
      <c r="F1181" s="10" t="inlineStr">
        <is>
          <t>Carrier B</t>
        </is>
      </c>
      <c r="G1181" s="5" t="n">
        <v>46273</v>
      </c>
      <c r="H1181" s="5" t="n">
        <v>46275</v>
      </c>
      <c r="I1181" s="5" t="n">
        <v>46275</v>
      </c>
      <c r="J1181" s="10" t="inlineStr">
        <is>
          <t>13:40</t>
        </is>
      </c>
      <c r="K1181" s="10" t="inlineStr">
        <is>
          <t>On time</t>
        </is>
      </c>
      <c r="L1181" s="6" t="n">
        <v>0</v>
      </c>
      <c r="M1181" s="10" t="n"/>
      <c r="N1181" s="6" t="n">
        <v>23</v>
      </c>
      <c r="O1181" s="6" t="n">
        <v>2323</v>
      </c>
      <c r="P1181" s="6" t="n">
        <v>1</v>
      </c>
      <c r="Q1181" s="6">
        <f>IF(OR(K1181="On time",K1181="Late",K1181="Very late"),1,0)</f>
        <v/>
      </c>
    </row>
    <row r="1182">
      <c r="A1182" s="10" t="inlineStr">
        <is>
          <t>DN319412</t>
        </is>
      </c>
      <c r="B1182" s="10" t="inlineStr">
        <is>
          <t>SO63326</t>
        </is>
      </c>
      <c r="C1182" s="10" t="inlineStr">
        <is>
          <t>C12631</t>
        </is>
      </c>
      <c r="D1182" s="10">
        <f>INDEX(Customers!$B:$B,MATCH(C1182,Customers!$A:$A,0))</f>
        <v/>
      </c>
      <c r="E1182" s="10">
        <f>INDEX(Customers!$D:$D,MATCH(C1182,Customers!$A:$A,0))</f>
        <v/>
      </c>
      <c r="F1182" s="10" t="inlineStr">
        <is>
          <t>Carrier B</t>
        </is>
      </c>
      <c r="G1182" s="5" t="n">
        <v>46273</v>
      </c>
      <c r="H1182" s="5" t="n">
        <v>46275</v>
      </c>
      <c r="I1182" s="5" t="n">
        <v>46275</v>
      </c>
      <c r="J1182" s="10" t="inlineStr">
        <is>
          <t>08:50</t>
        </is>
      </c>
      <c r="K1182" s="10" t="inlineStr">
        <is>
          <t>On time</t>
        </is>
      </c>
      <c r="L1182" s="6" t="n">
        <v>0</v>
      </c>
      <c r="M1182" s="10" t="n"/>
      <c r="N1182" s="6" t="n">
        <v>31</v>
      </c>
      <c r="O1182" s="6" t="n">
        <v>4309</v>
      </c>
      <c r="P1182" s="6" t="n">
        <v>0</v>
      </c>
      <c r="Q1182" s="6">
        <f>IF(OR(K1182="On time",K1182="Late",K1182="Very late"),1,0)</f>
        <v/>
      </c>
    </row>
    <row r="1183">
      <c r="A1183" s="10" t="inlineStr">
        <is>
          <t>DN319413</t>
        </is>
      </c>
      <c r="B1183" s="10" t="inlineStr">
        <is>
          <t>SO63327</t>
        </is>
      </c>
      <c r="C1183" s="10" t="inlineStr">
        <is>
          <t>C12639</t>
        </is>
      </c>
      <c r="D1183" s="10">
        <f>INDEX(Customers!$B:$B,MATCH(C1183,Customers!$A:$A,0))</f>
        <v/>
      </c>
      <c r="E1183" s="10">
        <f>INDEX(Customers!$D:$D,MATCH(C1183,Customers!$A:$A,0))</f>
        <v/>
      </c>
      <c r="F1183" s="10" t="inlineStr">
        <is>
          <t>Carrier B</t>
        </is>
      </c>
      <c r="G1183" s="5" t="n">
        <v>46273</v>
      </c>
      <c r="H1183" s="5" t="n">
        <v>46275</v>
      </c>
      <c r="I1183" s="5" t="n">
        <v>46275</v>
      </c>
      <c r="J1183" s="10" t="inlineStr">
        <is>
          <t>07:50</t>
        </is>
      </c>
      <c r="K1183" s="10" t="inlineStr">
        <is>
          <t>On time</t>
        </is>
      </c>
      <c r="L1183" s="6" t="n">
        <v>0</v>
      </c>
      <c r="M1183" s="10" t="n"/>
      <c r="N1183" s="6" t="n">
        <v>5</v>
      </c>
      <c r="O1183" s="6" t="n">
        <v>385</v>
      </c>
      <c r="P1183" s="6" t="n">
        <v>1</v>
      </c>
      <c r="Q1183" s="6">
        <f>IF(OR(K1183="On time",K1183="Late",K1183="Very late"),1,0)</f>
        <v/>
      </c>
    </row>
    <row r="1184">
      <c r="A1184" s="10" t="inlineStr">
        <is>
          <t>DN319414</t>
        </is>
      </c>
      <c r="B1184" s="10" t="inlineStr">
        <is>
          <t>SO63328</t>
        </is>
      </c>
      <c r="C1184" s="10" t="inlineStr">
        <is>
          <t>C12675</t>
        </is>
      </c>
      <c r="D1184" s="10">
        <f>INDEX(Customers!$B:$B,MATCH(C1184,Customers!$A:$A,0))</f>
        <v/>
      </c>
      <c r="E1184" s="10">
        <f>INDEX(Customers!$D:$D,MATCH(C1184,Customers!$A:$A,0))</f>
        <v/>
      </c>
      <c r="F1184" s="10" t="inlineStr">
        <is>
          <t>Carrier B</t>
        </is>
      </c>
      <c r="G1184" s="5" t="n">
        <v>46273</v>
      </c>
      <c r="H1184" s="5" t="n">
        <v>46275</v>
      </c>
      <c r="I1184" s="5" t="n">
        <v>46276</v>
      </c>
      <c r="J1184" s="10" t="inlineStr">
        <is>
          <t>07:10</t>
        </is>
      </c>
      <c r="K1184" s="10" t="inlineStr">
        <is>
          <t>Late</t>
        </is>
      </c>
      <c r="L1184" s="6" t="n">
        <v>1</v>
      </c>
      <c r="M1184" s="10" t="inlineStr">
        <is>
          <t>Carrier delay</t>
        </is>
      </c>
      <c r="N1184" s="6" t="n">
        <v>4</v>
      </c>
      <c r="O1184" s="6" t="n">
        <v>304</v>
      </c>
      <c r="P1184" s="6" t="n">
        <v>1</v>
      </c>
      <c r="Q1184" s="6">
        <f>IF(OR(K1184="On time",K1184="Late",K1184="Very late"),1,0)</f>
        <v/>
      </c>
    </row>
    <row r="1185">
      <c r="A1185" s="10" t="inlineStr">
        <is>
          <t>DN319415</t>
        </is>
      </c>
      <c r="B1185" s="10" t="inlineStr">
        <is>
          <t>SO63329</t>
        </is>
      </c>
      <c r="C1185" s="10" t="inlineStr">
        <is>
          <t>C10268</t>
        </is>
      </c>
      <c r="D1185" s="10">
        <f>INDEX(Customers!$B:$B,MATCH(C1185,Customers!$A:$A,0))</f>
        <v/>
      </c>
      <c r="E1185" s="10">
        <f>INDEX(Customers!$D:$D,MATCH(C1185,Customers!$A:$A,0))</f>
        <v/>
      </c>
      <c r="F1185" s="10" t="inlineStr">
        <is>
          <t>Same-day courier</t>
        </is>
      </c>
      <c r="G1185" s="5" t="n">
        <v>46275</v>
      </c>
      <c r="H1185" s="5" t="n">
        <v>46276</v>
      </c>
      <c r="I1185" s="5" t="n">
        <v>46276</v>
      </c>
      <c r="J1185" s="10" t="inlineStr">
        <is>
          <t>16:50</t>
        </is>
      </c>
      <c r="K1185" s="10" t="inlineStr">
        <is>
          <t>On time</t>
        </is>
      </c>
      <c r="L1185" s="6" t="n">
        <v>0</v>
      </c>
      <c r="M1185" s="10" t="n"/>
      <c r="N1185" s="6" t="n">
        <v>35</v>
      </c>
      <c r="O1185" s="6" t="n">
        <v>3535</v>
      </c>
      <c r="P1185" s="6" t="n">
        <v>1</v>
      </c>
      <c r="Q1185" s="6">
        <f>IF(OR(K1185="On time",K1185="Late",K1185="Very late"),1,0)</f>
        <v/>
      </c>
    </row>
    <row r="1186">
      <c r="A1186" s="10" t="inlineStr">
        <is>
          <t>DN319416</t>
        </is>
      </c>
      <c r="B1186" s="10" t="inlineStr">
        <is>
          <t>SO63331</t>
        </is>
      </c>
      <c r="C1186" s="10" t="inlineStr">
        <is>
          <t>C10322</t>
        </is>
      </c>
      <c r="D1186" s="10">
        <f>INDEX(Customers!$B:$B,MATCH(C1186,Customers!$A:$A,0))</f>
        <v/>
      </c>
      <c r="E1186" s="10">
        <f>INDEX(Customers!$D:$D,MATCH(C1186,Customers!$A:$A,0))</f>
        <v/>
      </c>
      <c r="F1186" s="10" t="inlineStr">
        <is>
          <t>Own trucks</t>
        </is>
      </c>
      <c r="G1186" s="5" t="n">
        <v>46275</v>
      </c>
      <c r="H1186" s="5" t="n">
        <v>46276</v>
      </c>
      <c r="I1186" s="5" t="n">
        <v>46276</v>
      </c>
      <c r="J1186" s="10" t="inlineStr">
        <is>
          <t>08:30</t>
        </is>
      </c>
      <c r="K1186" s="10" t="inlineStr">
        <is>
          <t>On time</t>
        </is>
      </c>
      <c r="L1186" s="6" t="n">
        <v>0</v>
      </c>
      <c r="M1186" s="10" t="n"/>
      <c r="N1186" s="6" t="n">
        <v>8</v>
      </c>
      <c r="O1186" s="6" t="n">
        <v>1072</v>
      </c>
      <c r="P1186" s="6" t="n">
        <v>1</v>
      </c>
      <c r="Q1186" s="6">
        <f>IF(OR(K1186="On time",K1186="Late",K1186="Very late"),1,0)</f>
        <v/>
      </c>
    </row>
    <row r="1187">
      <c r="A1187" s="10" t="inlineStr">
        <is>
          <t>DN319417</t>
        </is>
      </c>
      <c r="B1187" s="10" t="inlineStr">
        <is>
          <t>SO63333</t>
        </is>
      </c>
      <c r="C1187" s="10" t="inlineStr">
        <is>
          <t>C10343</t>
        </is>
      </c>
      <c r="D1187" s="10">
        <f>INDEX(Customers!$B:$B,MATCH(C1187,Customers!$A:$A,0))</f>
        <v/>
      </c>
      <c r="E1187" s="10">
        <f>INDEX(Customers!$D:$D,MATCH(C1187,Customers!$A:$A,0))</f>
        <v/>
      </c>
      <c r="F1187" s="10" t="inlineStr">
        <is>
          <t>Same-day courier</t>
        </is>
      </c>
      <c r="G1187" s="5" t="n">
        <v>46275</v>
      </c>
      <c r="H1187" s="5" t="n">
        <v>46276</v>
      </c>
      <c r="I1187" s="5" t="n">
        <v>46276</v>
      </c>
      <c r="J1187" s="10" t="inlineStr">
        <is>
          <t>13:00</t>
        </is>
      </c>
      <c r="K1187" s="10" t="inlineStr">
        <is>
          <t>On time</t>
        </is>
      </c>
      <c r="L1187" s="6" t="n">
        <v>0</v>
      </c>
      <c r="M1187" s="10" t="n"/>
      <c r="N1187" s="6" t="n">
        <v>9</v>
      </c>
      <c r="O1187" s="6" t="n">
        <v>774</v>
      </c>
      <c r="P1187" s="6" t="n">
        <v>1</v>
      </c>
      <c r="Q1187" s="6">
        <f>IF(OR(K1187="On time",K1187="Late",K1187="Very late"),1,0)</f>
        <v/>
      </c>
    </row>
    <row r="1188">
      <c r="A1188" s="10" t="inlineStr">
        <is>
          <t>DN319418</t>
        </is>
      </c>
      <c r="B1188" s="10" t="inlineStr">
        <is>
          <t>SO63335</t>
        </is>
      </c>
      <c r="C1188" s="10" t="inlineStr">
        <is>
          <t>C10413</t>
        </is>
      </c>
      <c r="D1188" s="10">
        <f>INDEX(Customers!$B:$B,MATCH(C1188,Customers!$A:$A,0))</f>
        <v/>
      </c>
      <c r="E1188" s="10">
        <f>INDEX(Customers!$D:$D,MATCH(C1188,Customers!$A:$A,0))</f>
        <v/>
      </c>
      <c r="F1188" s="10" t="inlineStr">
        <is>
          <t>Own trucks</t>
        </is>
      </c>
      <c r="G1188" s="5" t="n">
        <v>46275</v>
      </c>
      <c r="H1188" s="5" t="n">
        <v>46276</v>
      </c>
      <c r="I1188" s="5" t="n">
        <v>46276</v>
      </c>
      <c r="J1188" s="10" t="inlineStr">
        <is>
          <t>09:40</t>
        </is>
      </c>
      <c r="K1188" s="10" t="inlineStr">
        <is>
          <t>On time</t>
        </is>
      </c>
      <c r="L1188" s="6" t="n">
        <v>0</v>
      </c>
      <c r="M1188" s="10" t="n"/>
      <c r="N1188" s="6" t="n">
        <v>7</v>
      </c>
      <c r="O1188" s="6" t="n">
        <v>630</v>
      </c>
      <c r="P1188" s="6" t="n">
        <v>1</v>
      </c>
      <c r="Q1188" s="6">
        <f>IF(OR(K1188="On time",K1188="Late",K1188="Very late"),1,0)</f>
        <v/>
      </c>
    </row>
    <row r="1189">
      <c r="A1189" s="10" t="inlineStr">
        <is>
          <t>DN319419</t>
        </is>
      </c>
      <c r="B1189" s="10" t="inlineStr">
        <is>
          <t>SO63336</t>
        </is>
      </c>
      <c r="C1189" s="10" t="inlineStr">
        <is>
          <t>C10446</t>
        </is>
      </c>
      <c r="D1189" s="10">
        <f>INDEX(Customers!$B:$B,MATCH(C1189,Customers!$A:$A,0))</f>
        <v/>
      </c>
      <c r="E1189" s="10">
        <f>INDEX(Customers!$D:$D,MATCH(C1189,Customers!$A:$A,0))</f>
        <v/>
      </c>
      <c r="F1189" s="10" t="inlineStr">
        <is>
          <t>Own trucks</t>
        </is>
      </c>
      <c r="G1189" s="5" t="n">
        <v>46275</v>
      </c>
      <c r="H1189" s="5" t="n">
        <v>46276</v>
      </c>
      <c r="I1189" s="5" t="n">
        <v>46276</v>
      </c>
      <c r="J1189" s="10" t="inlineStr">
        <is>
          <t>07:10</t>
        </is>
      </c>
      <c r="K1189" s="10" t="inlineStr">
        <is>
          <t>On time</t>
        </is>
      </c>
      <c r="L1189" s="6" t="n">
        <v>0</v>
      </c>
      <c r="M1189" s="10" t="n"/>
      <c r="N1189" s="6" t="n">
        <v>8</v>
      </c>
      <c r="O1189" s="6" t="n">
        <v>600</v>
      </c>
      <c r="P1189" s="6" t="n">
        <v>1</v>
      </c>
      <c r="Q1189" s="6">
        <f>IF(OR(K1189="On time",K1189="Late",K1189="Very late"),1,0)</f>
        <v/>
      </c>
    </row>
    <row r="1190">
      <c r="A1190" s="10" t="inlineStr">
        <is>
          <t>DN319420</t>
        </is>
      </c>
      <c r="B1190" s="10" t="inlineStr">
        <is>
          <t>SO63337</t>
        </is>
      </c>
      <c r="C1190" s="10" t="inlineStr">
        <is>
          <t>C10515</t>
        </is>
      </c>
      <c r="D1190" s="10">
        <f>INDEX(Customers!$B:$B,MATCH(C1190,Customers!$A:$A,0))</f>
        <v/>
      </c>
      <c r="E1190" s="10">
        <f>INDEX(Customers!$D:$D,MATCH(C1190,Customers!$A:$A,0))</f>
        <v/>
      </c>
      <c r="F1190" s="10" t="inlineStr">
        <is>
          <t>Same-day courier</t>
        </is>
      </c>
      <c r="G1190" s="5" t="n">
        <v>46275</v>
      </c>
      <c r="H1190" s="5" t="n">
        <v>46276</v>
      </c>
      <c r="I1190" s="5" t="n">
        <v>46276</v>
      </c>
      <c r="J1190" s="10" t="inlineStr">
        <is>
          <t>13:50</t>
        </is>
      </c>
      <c r="K1190" s="10" t="inlineStr">
        <is>
          <t>On time</t>
        </is>
      </c>
      <c r="L1190" s="6" t="n">
        <v>0</v>
      </c>
      <c r="M1190" s="10" t="n"/>
      <c r="N1190" s="6" t="n">
        <v>18</v>
      </c>
      <c r="O1190" s="6" t="n">
        <v>1422</v>
      </c>
      <c r="P1190" s="6" t="n">
        <v>1</v>
      </c>
      <c r="Q1190" s="6">
        <f>IF(OR(K1190="On time",K1190="Late",K1190="Very late"),1,0)</f>
        <v/>
      </c>
    </row>
    <row r="1191">
      <c r="A1191" s="10" t="inlineStr">
        <is>
          <t>DN319421</t>
        </is>
      </c>
      <c r="B1191" s="10" t="inlineStr">
        <is>
          <t>SO63338</t>
        </is>
      </c>
      <c r="C1191" s="10" t="inlineStr">
        <is>
          <t>C10522</t>
        </is>
      </c>
      <c r="D1191" s="10">
        <f>INDEX(Customers!$B:$B,MATCH(C1191,Customers!$A:$A,0))</f>
        <v/>
      </c>
      <c r="E1191" s="10">
        <f>INDEX(Customers!$D:$D,MATCH(C1191,Customers!$A:$A,0))</f>
        <v/>
      </c>
      <c r="F1191" s="10" t="inlineStr">
        <is>
          <t>Own trucks</t>
        </is>
      </c>
      <c r="G1191" s="5" t="n">
        <v>46275</v>
      </c>
      <c r="H1191" s="5" t="n">
        <v>46276</v>
      </c>
      <c r="I1191" s="5" t="n">
        <v>46279</v>
      </c>
      <c r="J1191" s="10" t="inlineStr">
        <is>
          <t>10:40</t>
        </is>
      </c>
      <c r="K1191" s="10" t="inlineStr">
        <is>
          <t>Late</t>
        </is>
      </c>
      <c r="L1191" s="6" t="n">
        <v>1</v>
      </c>
      <c r="M1191" s="10" t="inlineStr">
        <is>
          <t>Carrier delay</t>
        </is>
      </c>
      <c r="N1191" s="6" t="n">
        <v>23</v>
      </c>
      <c r="O1191" s="6" t="n">
        <v>2852</v>
      </c>
      <c r="P1191" s="6" t="n">
        <v>1</v>
      </c>
      <c r="Q1191" s="6">
        <f>IF(OR(K1191="On time",K1191="Late",K1191="Very late"),1,0)</f>
        <v/>
      </c>
    </row>
    <row r="1192">
      <c r="A1192" s="10" t="inlineStr">
        <is>
          <t>DN319422</t>
        </is>
      </c>
      <c r="B1192" s="10" t="inlineStr">
        <is>
          <t>SO63339</t>
        </is>
      </c>
      <c r="C1192" s="10" t="inlineStr">
        <is>
          <t>C10536</t>
        </is>
      </c>
      <c r="D1192" s="10">
        <f>INDEX(Customers!$B:$B,MATCH(C1192,Customers!$A:$A,0))</f>
        <v/>
      </c>
      <c r="E1192" s="10">
        <f>INDEX(Customers!$D:$D,MATCH(C1192,Customers!$A:$A,0))</f>
        <v/>
      </c>
      <c r="F1192" s="10" t="inlineStr">
        <is>
          <t>Own trucks</t>
        </is>
      </c>
      <c r="G1192" s="5" t="n">
        <v>46275</v>
      </c>
      <c r="H1192" s="5" t="n">
        <v>46276</v>
      </c>
      <c r="I1192" s="5" t="n">
        <v>46276</v>
      </c>
      <c r="J1192" s="10" t="inlineStr">
        <is>
          <t>14:30</t>
        </is>
      </c>
      <c r="K1192" s="10" t="inlineStr">
        <is>
          <t>On time</t>
        </is>
      </c>
      <c r="L1192" s="6" t="n">
        <v>0</v>
      </c>
      <c r="M1192" s="10" t="n"/>
      <c r="N1192" s="6" t="n">
        <v>22</v>
      </c>
      <c r="O1192" s="6" t="n">
        <v>2420</v>
      </c>
      <c r="P1192" s="6" t="n">
        <v>1</v>
      </c>
      <c r="Q1192" s="6">
        <f>IF(OR(K1192="On time",K1192="Late",K1192="Very late"),1,0)</f>
        <v/>
      </c>
    </row>
    <row r="1193">
      <c r="A1193" s="10" t="inlineStr">
        <is>
          <t>DN319423</t>
        </is>
      </c>
      <c r="B1193" s="10" t="inlineStr">
        <is>
          <t>SO63340</t>
        </is>
      </c>
      <c r="C1193" s="10" t="inlineStr">
        <is>
          <t>C10589</t>
        </is>
      </c>
      <c r="D1193" s="10">
        <f>INDEX(Customers!$B:$B,MATCH(C1193,Customers!$A:$A,0))</f>
        <v/>
      </c>
      <c r="E1193" s="10">
        <f>INDEX(Customers!$D:$D,MATCH(C1193,Customers!$A:$A,0))</f>
        <v/>
      </c>
      <c r="F1193" s="10" t="inlineStr">
        <is>
          <t>Own trucks</t>
        </is>
      </c>
      <c r="G1193" s="5" t="n">
        <v>46275</v>
      </c>
      <c r="H1193" s="5" t="n">
        <v>46276</v>
      </c>
      <c r="I1193" s="5" t="n">
        <v>46276</v>
      </c>
      <c r="J1193" s="10" t="inlineStr">
        <is>
          <t>07:00</t>
        </is>
      </c>
      <c r="K1193" s="10" t="inlineStr">
        <is>
          <t>On time</t>
        </is>
      </c>
      <c r="L1193" s="6" t="n">
        <v>0</v>
      </c>
      <c r="M1193" s="10" t="n"/>
      <c r="N1193" s="6" t="n">
        <v>27</v>
      </c>
      <c r="O1193" s="6" t="n">
        <v>2781</v>
      </c>
      <c r="P1193" s="6" t="n">
        <v>1</v>
      </c>
      <c r="Q1193" s="6">
        <f>IF(OR(K1193="On time",K1193="Late",K1193="Very late"),1,0)</f>
        <v/>
      </c>
    </row>
    <row r="1194">
      <c r="A1194" s="10" t="inlineStr">
        <is>
          <t>DN319424</t>
        </is>
      </c>
      <c r="B1194" s="10" t="inlineStr">
        <is>
          <t>SO63341</t>
        </is>
      </c>
      <c r="C1194" s="10" t="inlineStr">
        <is>
          <t>C10622</t>
        </is>
      </c>
      <c r="D1194" s="10">
        <f>INDEX(Customers!$B:$B,MATCH(C1194,Customers!$A:$A,0))</f>
        <v/>
      </c>
      <c r="E1194" s="10">
        <f>INDEX(Customers!$D:$D,MATCH(C1194,Customers!$A:$A,0))</f>
        <v/>
      </c>
      <c r="F1194" s="10" t="inlineStr">
        <is>
          <t>Own trucks</t>
        </is>
      </c>
      <c r="G1194" s="5" t="n">
        <v>46275</v>
      </c>
      <c r="H1194" s="5" t="n">
        <v>46276</v>
      </c>
      <c r="I1194" s="5" t="n">
        <v>46276</v>
      </c>
      <c r="J1194" s="10" t="inlineStr">
        <is>
          <t>10:50</t>
        </is>
      </c>
      <c r="K1194" s="10" t="inlineStr">
        <is>
          <t>On time</t>
        </is>
      </c>
      <c r="L1194" s="6" t="n">
        <v>0</v>
      </c>
      <c r="M1194" s="10" t="n"/>
      <c r="N1194" s="6" t="n">
        <v>32</v>
      </c>
      <c r="O1194" s="6" t="n">
        <v>3264</v>
      </c>
      <c r="P1194" s="6" t="n">
        <v>1</v>
      </c>
      <c r="Q1194" s="6">
        <f>IF(OR(K1194="On time",K1194="Late",K1194="Very late"),1,0)</f>
        <v/>
      </c>
    </row>
    <row r="1195">
      <c r="A1195" s="10" t="inlineStr">
        <is>
          <t>DN319425</t>
        </is>
      </c>
      <c r="B1195" s="10" t="inlineStr">
        <is>
          <t>SO63342</t>
        </is>
      </c>
      <c r="C1195" s="10" t="inlineStr">
        <is>
          <t>C10676</t>
        </is>
      </c>
      <c r="D1195" s="10">
        <f>INDEX(Customers!$B:$B,MATCH(C1195,Customers!$A:$A,0))</f>
        <v/>
      </c>
      <c r="E1195" s="10">
        <f>INDEX(Customers!$D:$D,MATCH(C1195,Customers!$A:$A,0))</f>
        <v/>
      </c>
      <c r="F1195" s="10" t="inlineStr">
        <is>
          <t>Own trucks</t>
        </is>
      </c>
      <c r="G1195" s="5" t="n">
        <v>46275</v>
      </c>
      <c r="H1195" s="5" t="n">
        <v>46276</v>
      </c>
      <c r="I1195" s="5" t="n">
        <v>46276</v>
      </c>
      <c r="J1195" s="10" t="inlineStr">
        <is>
          <t>13:00</t>
        </is>
      </c>
      <c r="K1195" s="10" t="inlineStr">
        <is>
          <t>On time</t>
        </is>
      </c>
      <c r="L1195" s="6" t="n">
        <v>0</v>
      </c>
      <c r="M1195" s="10" t="n"/>
      <c r="N1195" s="6" t="n">
        <v>12</v>
      </c>
      <c r="O1195" s="6" t="n">
        <v>720</v>
      </c>
      <c r="P1195" s="6" t="n">
        <v>1</v>
      </c>
      <c r="Q1195" s="6">
        <f>IF(OR(K1195="On time",K1195="Late",K1195="Very late"),1,0)</f>
        <v/>
      </c>
    </row>
    <row r="1196">
      <c r="A1196" s="10" t="inlineStr">
        <is>
          <t>DN319426</t>
        </is>
      </c>
      <c r="B1196" s="10" t="inlineStr">
        <is>
          <t>SO63343</t>
        </is>
      </c>
      <c r="C1196" s="10" t="inlineStr">
        <is>
          <t>C10796</t>
        </is>
      </c>
      <c r="D1196" s="10">
        <f>INDEX(Customers!$B:$B,MATCH(C1196,Customers!$A:$A,0))</f>
        <v/>
      </c>
      <c r="E1196" s="10">
        <f>INDEX(Customers!$D:$D,MATCH(C1196,Customers!$A:$A,0))</f>
        <v/>
      </c>
      <c r="F1196" s="10" t="inlineStr">
        <is>
          <t>Own trucks</t>
        </is>
      </c>
      <c r="G1196" s="5" t="n">
        <v>46275</v>
      </c>
      <c r="H1196" s="5" t="n">
        <v>46276</v>
      </c>
      <c r="I1196" s="5" t="n">
        <v>46276</v>
      </c>
      <c r="J1196" s="10" t="inlineStr">
        <is>
          <t>07:20</t>
        </is>
      </c>
      <c r="K1196" s="10" t="inlineStr">
        <is>
          <t>On time</t>
        </is>
      </c>
      <c r="L1196" s="6" t="n">
        <v>0</v>
      </c>
      <c r="M1196" s="10" t="n"/>
      <c r="N1196" s="6" t="n">
        <v>8</v>
      </c>
      <c r="O1196" s="6" t="n">
        <v>792</v>
      </c>
      <c r="P1196" s="6" t="n">
        <v>1</v>
      </c>
      <c r="Q1196" s="6">
        <f>IF(OR(K1196="On time",K1196="Late",K1196="Very late"),1,0)</f>
        <v/>
      </c>
    </row>
    <row r="1197">
      <c r="A1197" s="10" t="inlineStr">
        <is>
          <t>DN319427</t>
        </is>
      </c>
      <c r="B1197" s="10" t="inlineStr">
        <is>
          <t>SO63344</t>
        </is>
      </c>
      <c r="C1197" s="10" t="inlineStr">
        <is>
          <t>C10847</t>
        </is>
      </c>
      <c r="D1197" s="10">
        <f>INDEX(Customers!$B:$B,MATCH(C1197,Customers!$A:$A,0))</f>
        <v/>
      </c>
      <c r="E1197" s="10">
        <f>INDEX(Customers!$D:$D,MATCH(C1197,Customers!$A:$A,0))</f>
        <v/>
      </c>
      <c r="F1197" s="10" t="inlineStr">
        <is>
          <t>Own trucks</t>
        </is>
      </c>
      <c r="G1197" s="5" t="n">
        <v>46275</v>
      </c>
      <c r="H1197" s="5" t="n">
        <v>46276</v>
      </c>
      <c r="I1197" s="5" t="n">
        <v>46276</v>
      </c>
      <c r="J1197" s="10" t="inlineStr">
        <is>
          <t>09:30</t>
        </is>
      </c>
      <c r="K1197" s="10" t="inlineStr">
        <is>
          <t>On time</t>
        </is>
      </c>
      <c r="L1197" s="6" t="n">
        <v>0</v>
      </c>
      <c r="M1197" s="10" t="n"/>
      <c r="N1197" s="6" t="n">
        <v>9</v>
      </c>
      <c r="O1197" s="6" t="n">
        <v>630</v>
      </c>
      <c r="P1197" s="6" t="n">
        <v>1</v>
      </c>
      <c r="Q1197" s="6">
        <f>IF(OR(K1197="On time",K1197="Late",K1197="Very late"),1,0)</f>
        <v/>
      </c>
    </row>
    <row r="1198">
      <c r="A1198" s="10" t="inlineStr">
        <is>
          <t>DN319428</t>
        </is>
      </c>
      <c r="B1198" s="10" t="inlineStr">
        <is>
          <t>SO63345</t>
        </is>
      </c>
      <c r="C1198" s="10" t="inlineStr">
        <is>
          <t>C10915</t>
        </is>
      </c>
      <c r="D1198" s="10">
        <f>INDEX(Customers!$B:$B,MATCH(C1198,Customers!$A:$A,0))</f>
        <v/>
      </c>
      <c r="E1198" s="10">
        <f>INDEX(Customers!$D:$D,MATCH(C1198,Customers!$A:$A,0))</f>
        <v/>
      </c>
      <c r="F1198" s="10" t="inlineStr">
        <is>
          <t>Own trucks</t>
        </is>
      </c>
      <c r="G1198" s="5" t="n">
        <v>46275</v>
      </c>
      <c r="H1198" s="5" t="n">
        <v>46276</v>
      </c>
      <c r="I1198" s="5" t="n">
        <v>46276</v>
      </c>
      <c r="J1198" s="10" t="inlineStr">
        <is>
          <t>08:10</t>
        </is>
      </c>
      <c r="K1198" s="10" t="inlineStr">
        <is>
          <t>On time</t>
        </is>
      </c>
      <c r="L1198" s="6" t="n">
        <v>0</v>
      </c>
      <c r="M1198" s="10" t="n"/>
      <c r="N1198" s="6" t="n">
        <v>7</v>
      </c>
      <c r="O1198" s="6" t="n">
        <v>595</v>
      </c>
      <c r="P1198" s="6" t="n">
        <v>1</v>
      </c>
      <c r="Q1198" s="6">
        <f>IF(OR(K1198="On time",K1198="Late",K1198="Very late"),1,0)</f>
        <v/>
      </c>
    </row>
    <row r="1199">
      <c r="A1199" s="10" t="inlineStr">
        <is>
          <t>DN319429</t>
        </is>
      </c>
      <c r="B1199" s="10" t="inlineStr">
        <is>
          <t>SO63346</t>
        </is>
      </c>
      <c r="C1199" s="10" t="inlineStr">
        <is>
          <t>C10982</t>
        </is>
      </c>
      <c r="D1199" s="10">
        <f>INDEX(Customers!$B:$B,MATCH(C1199,Customers!$A:$A,0))</f>
        <v/>
      </c>
      <c r="E1199" s="10">
        <f>INDEX(Customers!$D:$D,MATCH(C1199,Customers!$A:$A,0))</f>
        <v/>
      </c>
      <c r="F1199" s="10" t="inlineStr">
        <is>
          <t>Own trucks</t>
        </is>
      </c>
      <c r="G1199" s="5" t="n">
        <v>46275</v>
      </c>
      <c r="H1199" s="5" t="n">
        <v>46276</v>
      </c>
      <c r="I1199" s="5" t="n">
        <v>46276</v>
      </c>
      <c r="J1199" s="10" t="inlineStr">
        <is>
          <t>10:10</t>
        </is>
      </c>
      <c r="K1199" s="10" t="inlineStr">
        <is>
          <t>On time</t>
        </is>
      </c>
      <c r="L1199" s="6" t="n">
        <v>0</v>
      </c>
      <c r="M1199" s="10" t="n"/>
      <c r="N1199" s="6" t="n">
        <v>19</v>
      </c>
      <c r="O1199" s="6" t="n">
        <v>1767</v>
      </c>
      <c r="P1199" s="6" t="n">
        <v>1</v>
      </c>
      <c r="Q1199" s="6">
        <f>IF(OR(K1199="On time",K1199="Late",K1199="Very late"),1,0)</f>
        <v/>
      </c>
    </row>
    <row r="1200">
      <c r="A1200" s="10" t="inlineStr">
        <is>
          <t>DN319430</t>
        </is>
      </c>
      <c r="B1200" s="10" t="inlineStr">
        <is>
          <t>SO63347</t>
        </is>
      </c>
      <c r="C1200" s="10" t="inlineStr">
        <is>
          <t>C11107</t>
        </is>
      </c>
      <c r="D1200" s="10">
        <f>INDEX(Customers!$B:$B,MATCH(C1200,Customers!$A:$A,0))</f>
        <v/>
      </c>
      <c r="E1200" s="10">
        <f>INDEX(Customers!$D:$D,MATCH(C1200,Customers!$A:$A,0))</f>
        <v/>
      </c>
      <c r="F1200" s="10" t="inlineStr">
        <is>
          <t>Own trucks</t>
        </is>
      </c>
      <c r="G1200" s="5" t="n">
        <v>46275</v>
      </c>
      <c r="H1200" s="5" t="n">
        <v>46276</v>
      </c>
      <c r="I1200" s="5" t="n">
        <v>46276</v>
      </c>
      <c r="J1200" s="10" t="inlineStr">
        <is>
          <t>15:20</t>
        </is>
      </c>
      <c r="K1200" s="10" t="inlineStr">
        <is>
          <t>On time</t>
        </is>
      </c>
      <c r="L1200" s="6" t="n">
        <v>0</v>
      </c>
      <c r="M1200" s="10" t="n"/>
      <c r="N1200" s="6" t="n">
        <v>23</v>
      </c>
      <c r="O1200" s="6" t="n">
        <v>2047</v>
      </c>
      <c r="P1200" s="6" t="n">
        <v>1</v>
      </c>
      <c r="Q1200" s="6">
        <f>IF(OR(K1200="On time",K1200="Late",K1200="Very late"),1,0)</f>
        <v/>
      </c>
    </row>
    <row r="1201">
      <c r="A1201" s="10" t="inlineStr">
        <is>
          <t>DN319431</t>
        </is>
      </c>
      <c r="B1201" s="10" t="inlineStr">
        <is>
          <t>SO63348</t>
        </is>
      </c>
      <c r="C1201" s="10" t="inlineStr">
        <is>
          <t>C11143</t>
        </is>
      </c>
      <c r="D1201" s="10">
        <f>INDEX(Customers!$B:$B,MATCH(C1201,Customers!$A:$A,0))</f>
        <v/>
      </c>
      <c r="E1201" s="10">
        <f>INDEX(Customers!$D:$D,MATCH(C1201,Customers!$A:$A,0))</f>
        <v/>
      </c>
      <c r="F1201" s="10" t="inlineStr">
        <is>
          <t>Own trucks</t>
        </is>
      </c>
      <c r="G1201" s="5" t="n">
        <v>46275</v>
      </c>
      <c r="H1201" s="5" t="n">
        <v>46276</v>
      </c>
      <c r="I1201" s="5" t="n">
        <v>46281</v>
      </c>
      <c r="J1201" s="10" t="inlineStr">
        <is>
          <t>16:20</t>
        </is>
      </c>
      <c r="K1201" s="10" t="inlineStr">
        <is>
          <t>Very late</t>
        </is>
      </c>
      <c r="L1201" s="6" t="n">
        <v>3</v>
      </c>
      <c r="M1201" s="10" t="inlineStr">
        <is>
          <t>Run overloaded</t>
        </is>
      </c>
      <c r="N1201" s="6" t="n">
        <v>7</v>
      </c>
      <c r="O1201" s="6" t="n">
        <v>672</v>
      </c>
      <c r="P1201" s="6" t="n">
        <v>1</v>
      </c>
      <c r="Q1201" s="6">
        <f>IF(OR(K1201="On time",K1201="Late",K1201="Very late"),1,0)</f>
        <v/>
      </c>
    </row>
    <row r="1202">
      <c r="A1202" s="10" t="inlineStr">
        <is>
          <t>DN319432</t>
        </is>
      </c>
      <c r="B1202" s="10" t="inlineStr">
        <is>
          <t>SO63349</t>
        </is>
      </c>
      <c r="C1202" s="10" t="inlineStr">
        <is>
          <t>C11186</t>
        </is>
      </c>
      <c r="D1202" s="10">
        <f>INDEX(Customers!$B:$B,MATCH(C1202,Customers!$A:$A,0))</f>
        <v/>
      </c>
      <c r="E1202" s="10">
        <f>INDEX(Customers!$D:$D,MATCH(C1202,Customers!$A:$A,0))</f>
        <v/>
      </c>
      <c r="F1202" s="10" t="inlineStr">
        <is>
          <t>Own trucks</t>
        </is>
      </c>
      <c r="G1202" s="5" t="n">
        <v>46275</v>
      </c>
      <c r="H1202" s="5" t="n">
        <v>46276</v>
      </c>
      <c r="I1202" s="5" t="n">
        <v>46276</v>
      </c>
      <c r="J1202" s="10" t="inlineStr">
        <is>
          <t>13:10</t>
        </is>
      </c>
      <c r="K1202" s="10" t="inlineStr">
        <is>
          <t>On time</t>
        </is>
      </c>
      <c r="L1202" s="6" t="n">
        <v>0</v>
      </c>
      <c r="M1202" s="10" t="n"/>
      <c r="N1202" s="6" t="n">
        <v>4</v>
      </c>
      <c r="O1202" s="6" t="n">
        <v>376</v>
      </c>
      <c r="P1202" s="6" t="n">
        <v>1</v>
      </c>
      <c r="Q1202" s="6">
        <f>IF(OR(K1202="On time",K1202="Late",K1202="Very late"),1,0)</f>
        <v/>
      </c>
    </row>
    <row r="1203">
      <c r="A1203" s="10" t="inlineStr">
        <is>
          <t>DN319433</t>
        </is>
      </c>
      <c r="B1203" s="10" t="inlineStr">
        <is>
          <t>SO63350</t>
        </is>
      </c>
      <c r="C1203" s="10" t="inlineStr">
        <is>
          <t>C11264</t>
        </is>
      </c>
      <c r="D1203" s="10">
        <f>INDEX(Customers!$B:$B,MATCH(C1203,Customers!$A:$A,0))</f>
        <v/>
      </c>
      <c r="E1203" s="10">
        <f>INDEX(Customers!$D:$D,MATCH(C1203,Customers!$A:$A,0))</f>
        <v/>
      </c>
      <c r="F1203" s="10" t="inlineStr">
        <is>
          <t>Own trucks</t>
        </is>
      </c>
      <c r="G1203" s="5" t="n">
        <v>46275</v>
      </c>
      <c r="H1203" s="5" t="n">
        <v>46276</v>
      </c>
      <c r="I1203" s="5" t="n">
        <v>46276</v>
      </c>
      <c r="J1203" s="10" t="inlineStr">
        <is>
          <t>09:00</t>
        </is>
      </c>
      <c r="K1203" s="10" t="inlineStr">
        <is>
          <t>On time</t>
        </is>
      </c>
      <c r="L1203" s="6" t="n">
        <v>0</v>
      </c>
      <c r="M1203" s="10" t="n"/>
      <c r="N1203" s="6" t="n">
        <v>23</v>
      </c>
      <c r="O1203" s="6" t="n">
        <v>1656</v>
      </c>
      <c r="P1203" s="6" t="n">
        <v>1</v>
      </c>
      <c r="Q1203" s="6">
        <f>IF(OR(K1203="On time",K1203="Late",K1203="Very late"),1,0)</f>
        <v/>
      </c>
    </row>
    <row r="1204">
      <c r="A1204" s="10" t="inlineStr">
        <is>
          <t>DN319434</t>
        </is>
      </c>
      <c r="B1204" s="10" t="inlineStr">
        <is>
          <t>SO63352</t>
        </is>
      </c>
      <c r="C1204" s="10" t="inlineStr">
        <is>
          <t>C11314</t>
        </is>
      </c>
      <c r="D1204" s="10">
        <f>INDEX(Customers!$B:$B,MATCH(C1204,Customers!$A:$A,0))</f>
        <v/>
      </c>
      <c r="E1204" s="10">
        <f>INDEX(Customers!$D:$D,MATCH(C1204,Customers!$A:$A,0))</f>
        <v/>
      </c>
      <c r="F1204" s="10" t="inlineStr">
        <is>
          <t>Own trucks</t>
        </is>
      </c>
      <c r="G1204" s="5" t="n">
        <v>46275</v>
      </c>
      <c r="H1204" s="5" t="n">
        <v>46276</v>
      </c>
      <c r="I1204" s="5" t="n">
        <v>46276</v>
      </c>
      <c r="J1204" s="10" t="inlineStr">
        <is>
          <t>07:20</t>
        </is>
      </c>
      <c r="K1204" s="10" t="inlineStr">
        <is>
          <t>On time</t>
        </is>
      </c>
      <c r="L1204" s="6" t="n">
        <v>0</v>
      </c>
      <c r="M1204" s="10" t="n"/>
      <c r="N1204" s="6" t="n">
        <v>29</v>
      </c>
      <c r="O1204" s="6" t="n">
        <v>2175</v>
      </c>
      <c r="P1204" s="6" t="n">
        <v>1</v>
      </c>
      <c r="Q1204" s="6">
        <f>IF(OR(K1204="On time",K1204="Late",K1204="Very late"),1,0)</f>
        <v/>
      </c>
    </row>
    <row r="1205">
      <c r="A1205" s="10" t="inlineStr">
        <is>
          <t>DN319435</t>
        </is>
      </c>
      <c r="B1205" s="10" t="inlineStr">
        <is>
          <t>SO63353</t>
        </is>
      </c>
      <c r="C1205" s="10" t="inlineStr">
        <is>
          <t>C11333</t>
        </is>
      </c>
      <c r="D1205" s="10">
        <f>INDEX(Customers!$B:$B,MATCH(C1205,Customers!$A:$A,0))</f>
        <v/>
      </c>
      <c r="E1205" s="10">
        <f>INDEX(Customers!$D:$D,MATCH(C1205,Customers!$A:$A,0))</f>
        <v/>
      </c>
      <c r="F1205" s="10" t="inlineStr">
        <is>
          <t>Own trucks</t>
        </is>
      </c>
      <c r="G1205" s="5" t="n">
        <v>46275</v>
      </c>
      <c r="H1205" s="5" t="n">
        <v>46276</v>
      </c>
      <c r="I1205" s="5" t="n">
        <v>46276</v>
      </c>
      <c r="J1205" s="10" t="inlineStr">
        <is>
          <t>07:00</t>
        </is>
      </c>
      <c r="K1205" s="10" t="inlineStr">
        <is>
          <t>On time</t>
        </is>
      </c>
      <c r="L1205" s="6" t="n">
        <v>0</v>
      </c>
      <c r="M1205" s="10" t="n"/>
      <c r="N1205" s="6" t="n">
        <v>15</v>
      </c>
      <c r="O1205" s="6" t="n">
        <v>975</v>
      </c>
      <c r="P1205" s="6" t="n">
        <v>1</v>
      </c>
      <c r="Q1205" s="6">
        <f>IF(OR(K1205="On time",K1205="Late",K1205="Very late"),1,0)</f>
        <v/>
      </c>
    </row>
    <row r="1206">
      <c r="A1206" s="10" t="inlineStr">
        <is>
          <t>DN319436</t>
        </is>
      </c>
      <c r="B1206" s="10" t="inlineStr">
        <is>
          <t>SO63354</t>
        </is>
      </c>
      <c r="C1206" s="10" t="inlineStr">
        <is>
          <t>C11400</t>
        </is>
      </c>
      <c r="D1206" s="10">
        <f>INDEX(Customers!$B:$B,MATCH(C1206,Customers!$A:$A,0))</f>
        <v/>
      </c>
      <c r="E1206" s="10">
        <f>INDEX(Customers!$D:$D,MATCH(C1206,Customers!$A:$A,0))</f>
        <v/>
      </c>
      <c r="F1206" s="10" t="inlineStr">
        <is>
          <t>Own trucks</t>
        </is>
      </c>
      <c r="G1206" s="5" t="n">
        <v>46275</v>
      </c>
      <c r="H1206" s="5" t="n">
        <v>46276</v>
      </c>
      <c r="I1206" s="5" t="n">
        <v>46276</v>
      </c>
      <c r="J1206" s="10" t="inlineStr">
        <is>
          <t>09:10</t>
        </is>
      </c>
      <c r="K1206" s="10" t="inlineStr">
        <is>
          <t>On time</t>
        </is>
      </c>
      <c r="L1206" s="6" t="n">
        <v>0</v>
      </c>
      <c r="M1206" s="10" t="n"/>
      <c r="N1206" s="6" t="n">
        <v>9</v>
      </c>
      <c r="O1206" s="6" t="n">
        <v>594</v>
      </c>
      <c r="P1206" s="6" t="n">
        <v>1</v>
      </c>
      <c r="Q1206" s="6">
        <f>IF(OR(K1206="On time",K1206="Late",K1206="Very late"),1,0)</f>
        <v/>
      </c>
    </row>
    <row r="1207">
      <c r="A1207" s="10" t="inlineStr">
        <is>
          <t>DN319437</t>
        </is>
      </c>
      <c r="B1207" s="10" t="inlineStr">
        <is>
          <t>SO63355</t>
        </is>
      </c>
      <c r="C1207" s="10" t="inlineStr">
        <is>
          <t>C11463</t>
        </is>
      </c>
      <c r="D1207" s="10">
        <f>INDEX(Customers!$B:$B,MATCH(C1207,Customers!$A:$A,0))</f>
        <v/>
      </c>
      <c r="E1207" s="10">
        <f>INDEX(Customers!$D:$D,MATCH(C1207,Customers!$A:$A,0))</f>
        <v/>
      </c>
      <c r="F1207" s="10" t="inlineStr">
        <is>
          <t>Own trucks</t>
        </is>
      </c>
      <c r="G1207" s="5" t="n">
        <v>46275</v>
      </c>
      <c r="H1207" s="5" t="n">
        <v>46276</v>
      </c>
      <c r="I1207" s="5" t="n">
        <v>46276</v>
      </c>
      <c r="J1207" s="10" t="inlineStr">
        <is>
          <t>14:00</t>
        </is>
      </c>
      <c r="K1207" s="10" t="inlineStr">
        <is>
          <t>On time</t>
        </is>
      </c>
      <c r="L1207" s="6" t="n">
        <v>0</v>
      </c>
      <c r="M1207" s="10" t="n"/>
      <c r="N1207" s="6" t="n">
        <v>18</v>
      </c>
      <c r="O1207" s="6" t="n">
        <v>2484</v>
      </c>
      <c r="P1207" s="6" t="n">
        <v>1</v>
      </c>
      <c r="Q1207" s="6">
        <f>IF(OR(K1207="On time",K1207="Late",K1207="Very late"),1,0)</f>
        <v/>
      </c>
    </row>
    <row r="1208">
      <c r="A1208" s="10" t="inlineStr">
        <is>
          <t>DN319438</t>
        </is>
      </c>
      <c r="B1208" s="10" t="inlineStr">
        <is>
          <t>SO63356</t>
        </is>
      </c>
      <c r="C1208" s="10" t="inlineStr">
        <is>
          <t>C11518</t>
        </is>
      </c>
      <c r="D1208" s="10">
        <f>INDEX(Customers!$B:$B,MATCH(C1208,Customers!$A:$A,0))</f>
        <v/>
      </c>
      <c r="E1208" s="10">
        <f>INDEX(Customers!$D:$D,MATCH(C1208,Customers!$A:$A,0))</f>
        <v/>
      </c>
      <c r="F1208" s="10" t="inlineStr">
        <is>
          <t>Own trucks</t>
        </is>
      </c>
      <c r="G1208" s="5" t="n">
        <v>46275</v>
      </c>
      <c r="H1208" s="5" t="n">
        <v>46276</v>
      </c>
      <c r="I1208" s="5" t="n">
        <v>46276</v>
      </c>
      <c r="J1208" s="10" t="inlineStr">
        <is>
          <t>11:40</t>
        </is>
      </c>
      <c r="K1208" s="10" t="inlineStr">
        <is>
          <t>On time</t>
        </is>
      </c>
      <c r="L1208" s="6" t="n">
        <v>0</v>
      </c>
      <c r="M1208" s="10" t="n"/>
      <c r="N1208" s="6" t="n">
        <v>31</v>
      </c>
      <c r="O1208" s="6" t="n">
        <v>1736</v>
      </c>
      <c r="P1208" s="6" t="n">
        <v>1</v>
      </c>
      <c r="Q1208" s="6">
        <f>IF(OR(K1208="On time",K1208="Late",K1208="Very late"),1,0)</f>
        <v/>
      </c>
    </row>
    <row r="1209">
      <c r="A1209" s="10" t="inlineStr">
        <is>
          <t>DN319439</t>
        </is>
      </c>
      <c r="B1209" s="10" t="inlineStr">
        <is>
          <t>SO63357</t>
        </is>
      </c>
      <c r="C1209" s="10" t="inlineStr">
        <is>
          <t>C11579</t>
        </is>
      </c>
      <c r="D1209" s="10">
        <f>INDEX(Customers!$B:$B,MATCH(C1209,Customers!$A:$A,0))</f>
        <v/>
      </c>
      <c r="E1209" s="10">
        <f>INDEX(Customers!$D:$D,MATCH(C1209,Customers!$A:$A,0))</f>
        <v/>
      </c>
      <c r="F1209" s="10" t="inlineStr">
        <is>
          <t>Own trucks</t>
        </is>
      </c>
      <c r="G1209" s="5" t="n">
        <v>46275</v>
      </c>
      <c r="H1209" s="5" t="n">
        <v>46276</v>
      </c>
      <c r="I1209" s="5" t="n">
        <v>46276</v>
      </c>
      <c r="J1209" s="10" t="inlineStr">
        <is>
          <t>13:10</t>
        </is>
      </c>
      <c r="K1209" s="10" t="inlineStr">
        <is>
          <t>On time</t>
        </is>
      </c>
      <c r="L1209" s="6" t="n">
        <v>0</v>
      </c>
      <c r="M1209" s="10" t="n"/>
      <c r="N1209" s="6" t="n">
        <v>19</v>
      </c>
      <c r="O1209" s="6" t="n">
        <v>1045</v>
      </c>
      <c r="P1209" s="6" t="n">
        <v>1</v>
      </c>
      <c r="Q1209" s="6">
        <f>IF(OR(K1209="On time",K1209="Late",K1209="Very late"),1,0)</f>
        <v/>
      </c>
    </row>
    <row r="1210">
      <c r="A1210" s="10" t="inlineStr">
        <is>
          <t>DN319441</t>
        </is>
      </c>
      <c r="B1210" s="10" t="inlineStr">
        <is>
          <t>SO63358</t>
        </is>
      </c>
      <c r="C1210" s="10" t="inlineStr">
        <is>
          <t>C11666</t>
        </is>
      </c>
      <c r="D1210" s="10">
        <f>INDEX(Customers!$B:$B,MATCH(C1210,Customers!$A:$A,0))</f>
        <v/>
      </c>
      <c r="E1210" s="10">
        <f>INDEX(Customers!$D:$D,MATCH(C1210,Customers!$A:$A,0))</f>
        <v/>
      </c>
      <c r="F1210" s="10" t="inlineStr">
        <is>
          <t>Own trucks</t>
        </is>
      </c>
      <c r="G1210" s="5" t="n">
        <v>46275</v>
      </c>
      <c r="H1210" s="5" t="n">
        <v>46276</v>
      </c>
      <c r="I1210" s="5" t="n">
        <v>46276</v>
      </c>
      <c r="J1210" s="10" t="inlineStr">
        <is>
          <t>12:20</t>
        </is>
      </c>
      <c r="K1210" s="10" t="inlineStr">
        <is>
          <t>On time</t>
        </is>
      </c>
      <c r="L1210" s="6" t="n">
        <v>0</v>
      </c>
      <c r="M1210" s="10" t="n"/>
      <c r="N1210" s="6" t="n">
        <v>3</v>
      </c>
      <c r="O1210" s="6" t="n">
        <v>258</v>
      </c>
      <c r="P1210" s="6" t="n">
        <v>1</v>
      </c>
      <c r="Q1210" s="6">
        <f>IF(OR(K1210="On time",K1210="Late",K1210="Very late"),1,0)</f>
        <v/>
      </c>
    </row>
    <row r="1211">
      <c r="A1211" s="10" t="inlineStr">
        <is>
          <t>DN319442</t>
        </is>
      </c>
      <c r="B1211" s="10" t="inlineStr">
        <is>
          <t>SO63359</t>
        </is>
      </c>
      <c r="C1211" s="10" t="inlineStr">
        <is>
          <t>C11745</t>
        </is>
      </c>
      <c r="D1211" s="10">
        <f>INDEX(Customers!$B:$B,MATCH(C1211,Customers!$A:$A,0))</f>
        <v/>
      </c>
      <c r="E1211" s="10">
        <f>INDEX(Customers!$D:$D,MATCH(C1211,Customers!$A:$A,0))</f>
        <v/>
      </c>
      <c r="F1211" s="10" t="inlineStr">
        <is>
          <t>Own trucks</t>
        </is>
      </c>
      <c r="G1211" s="5" t="n">
        <v>46275</v>
      </c>
      <c r="H1211" s="5" t="n">
        <v>46276</v>
      </c>
      <c r="I1211" s="5" t="n">
        <v>46276</v>
      </c>
      <c r="J1211" s="10" t="inlineStr">
        <is>
          <t>10:40</t>
        </is>
      </c>
      <c r="K1211" s="10" t="inlineStr">
        <is>
          <t>On time</t>
        </is>
      </c>
      <c r="L1211" s="6" t="n">
        <v>0</v>
      </c>
      <c r="M1211" s="10" t="n"/>
      <c r="N1211" s="6" t="n">
        <v>27</v>
      </c>
      <c r="O1211" s="6" t="n">
        <v>3105</v>
      </c>
      <c r="P1211" s="6" t="n">
        <v>1</v>
      </c>
      <c r="Q1211" s="6">
        <f>IF(OR(K1211="On time",K1211="Late",K1211="Very late"),1,0)</f>
        <v/>
      </c>
    </row>
    <row r="1212">
      <c r="A1212" s="10" t="inlineStr">
        <is>
          <t>DN319443</t>
        </is>
      </c>
      <c r="B1212" s="10" t="inlineStr">
        <is>
          <t>SO63360</t>
        </is>
      </c>
      <c r="C1212" s="10" t="inlineStr">
        <is>
          <t>C11798</t>
        </is>
      </c>
      <c r="D1212" s="10">
        <f>INDEX(Customers!$B:$B,MATCH(C1212,Customers!$A:$A,0))</f>
        <v/>
      </c>
      <c r="E1212" s="10">
        <f>INDEX(Customers!$D:$D,MATCH(C1212,Customers!$A:$A,0))</f>
        <v/>
      </c>
      <c r="F1212" s="10" t="inlineStr">
        <is>
          <t>Carrier A</t>
        </is>
      </c>
      <c r="G1212" s="5" t="n">
        <v>46275</v>
      </c>
      <c r="H1212" s="5" t="n">
        <v>46276</v>
      </c>
      <c r="I1212" s="5" t="n">
        <v>46276</v>
      </c>
      <c r="J1212" s="10" t="inlineStr">
        <is>
          <t>15:50</t>
        </is>
      </c>
      <c r="K1212" s="10" t="inlineStr">
        <is>
          <t>On time</t>
        </is>
      </c>
      <c r="L1212" s="6" t="n">
        <v>0</v>
      </c>
      <c r="M1212" s="10" t="n"/>
      <c r="N1212" s="6" t="n">
        <v>9</v>
      </c>
      <c r="O1212" s="6" t="n">
        <v>900</v>
      </c>
      <c r="P1212" s="6" t="n">
        <v>1</v>
      </c>
      <c r="Q1212" s="6">
        <f>IF(OR(K1212="On time",K1212="Late",K1212="Very late"),1,0)</f>
        <v/>
      </c>
    </row>
    <row r="1213">
      <c r="A1213" s="10" t="inlineStr">
        <is>
          <t>DN319444</t>
        </is>
      </c>
      <c r="B1213" s="10" t="inlineStr">
        <is>
          <t>SO63361</t>
        </is>
      </c>
      <c r="C1213" s="10" t="inlineStr">
        <is>
          <t>C11866</t>
        </is>
      </c>
      <c r="D1213" s="10">
        <f>INDEX(Customers!$B:$B,MATCH(C1213,Customers!$A:$A,0))</f>
        <v/>
      </c>
      <c r="E1213" s="10">
        <f>INDEX(Customers!$D:$D,MATCH(C1213,Customers!$A:$A,0))</f>
        <v/>
      </c>
      <c r="F1213" s="10" t="inlineStr">
        <is>
          <t>Carrier A</t>
        </is>
      </c>
      <c r="G1213" s="5" t="n">
        <v>46275</v>
      </c>
      <c r="H1213" s="5" t="n">
        <v>46276</v>
      </c>
      <c r="I1213" s="5" t="n">
        <v>46276</v>
      </c>
      <c r="J1213" s="10" t="inlineStr">
        <is>
          <t>14:10</t>
        </is>
      </c>
      <c r="K1213" s="10" t="inlineStr">
        <is>
          <t>On time</t>
        </is>
      </c>
      <c r="L1213" s="6" t="n">
        <v>0</v>
      </c>
      <c r="M1213" s="10" t="n"/>
      <c r="N1213" s="6" t="n">
        <v>35</v>
      </c>
      <c r="O1213" s="6" t="n">
        <v>4165</v>
      </c>
      <c r="P1213" s="6" t="n">
        <v>1</v>
      </c>
      <c r="Q1213" s="6">
        <f>IF(OR(K1213="On time",K1213="Late",K1213="Very late"),1,0)</f>
        <v/>
      </c>
    </row>
    <row r="1214">
      <c r="A1214" s="10" t="inlineStr">
        <is>
          <t>DN319445</t>
        </is>
      </c>
      <c r="B1214" s="10" t="inlineStr">
        <is>
          <t>SO63362</t>
        </is>
      </c>
      <c r="C1214" s="10" t="inlineStr">
        <is>
          <t>C11971</t>
        </is>
      </c>
      <c r="D1214" s="10">
        <f>INDEX(Customers!$B:$B,MATCH(C1214,Customers!$A:$A,0))</f>
        <v/>
      </c>
      <c r="E1214" s="10">
        <f>INDEX(Customers!$D:$D,MATCH(C1214,Customers!$A:$A,0))</f>
        <v/>
      </c>
      <c r="F1214" s="10" t="inlineStr">
        <is>
          <t>Own trucks</t>
        </is>
      </c>
      <c r="G1214" s="5" t="n">
        <v>46275</v>
      </c>
      <c r="H1214" s="5" t="n">
        <v>46276</v>
      </c>
      <c r="I1214" s="5" t="n">
        <v>46276</v>
      </c>
      <c r="J1214" s="10" t="inlineStr">
        <is>
          <t>12:10</t>
        </is>
      </c>
      <c r="K1214" s="10" t="inlineStr">
        <is>
          <t>On time</t>
        </is>
      </c>
      <c r="L1214" s="6" t="n">
        <v>0</v>
      </c>
      <c r="M1214" s="10" t="n"/>
      <c r="N1214" s="6" t="n">
        <v>26</v>
      </c>
      <c r="O1214" s="6" t="n">
        <v>2834</v>
      </c>
      <c r="P1214" s="6" t="n">
        <v>1</v>
      </c>
      <c r="Q1214" s="6">
        <f>IF(OR(K1214="On time",K1214="Late",K1214="Very late"),1,0)</f>
        <v/>
      </c>
    </row>
    <row r="1215">
      <c r="A1215" s="10" t="inlineStr">
        <is>
          <t>DN319446</t>
        </is>
      </c>
      <c r="B1215" s="10" t="inlineStr">
        <is>
          <t>SO63363</t>
        </is>
      </c>
      <c r="C1215" s="10" t="inlineStr">
        <is>
          <t>C12037</t>
        </is>
      </c>
      <c r="D1215" s="10">
        <f>INDEX(Customers!$B:$B,MATCH(C1215,Customers!$A:$A,0))</f>
        <v/>
      </c>
      <c r="E1215" s="10">
        <f>INDEX(Customers!$D:$D,MATCH(C1215,Customers!$A:$A,0))</f>
        <v/>
      </c>
      <c r="F1215" s="10" t="inlineStr">
        <is>
          <t>Own trucks</t>
        </is>
      </c>
      <c r="G1215" s="5" t="n">
        <v>46275</v>
      </c>
      <c r="H1215" s="5" t="n">
        <v>46276</v>
      </c>
      <c r="I1215" s="5" t="n">
        <v>46276</v>
      </c>
      <c r="J1215" s="10" t="inlineStr">
        <is>
          <t>09:40</t>
        </is>
      </c>
      <c r="K1215" s="10" t="inlineStr">
        <is>
          <t>On time</t>
        </is>
      </c>
      <c r="L1215" s="6" t="n">
        <v>0</v>
      </c>
      <c r="M1215" s="10" t="n"/>
      <c r="N1215" s="6" t="n">
        <v>4</v>
      </c>
      <c r="O1215" s="6" t="n">
        <v>308</v>
      </c>
      <c r="P1215" s="6" t="n">
        <v>1</v>
      </c>
      <c r="Q1215" s="6">
        <f>IF(OR(K1215="On time",K1215="Late",K1215="Very late"),1,0)</f>
        <v/>
      </c>
    </row>
    <row r="1216">
      <c r="A1216" s="10" t="inlineStr">
        <is>
          <t>DN319447</t>
        </is>
      </c>
      <c r="B1216" s="10" t="inlineStr">
        <is>
          <t>SO63365</t>
        </is>
      </c>
      <c r="C1216" s="10" t="inlineStr">
        <is>
          <t>C12103</t>
        </is>
      </c>
      <c r="D1216" s="10">
        <f>INDEX(Customers!$B:$B,MATCH(C1216,Customers!$A:$A,0))</f>
        <v/>
      </c>
      <c r="E1216" s="10">
        <f>INDEX(Customers!$D:$D,MATCH(C1216,Customers!$A:$A,0))</f>
        <v/>
      </c>
      <c r="F1216" s="10" t="inlineStr">
        <is>
          <t>Own trucks</t>
        </is>
      </c>
      <c r="G1216" s="5" t="n">
        <v>46275</v>
      </c>
      <c r="H1216" s="5" t="n">
        <v>46276</v>
      </c>
      <c r="I1216" s="5" t="n">
        <v>46276</v>
      </c>
      <c r="J1216" s="10" t="inlineStr">
        <is>
          <t>15:40</t>
        </is>
      </c>
      <c r="K1216" s="10" t="inlineStr">
        <is>
          <t>On time</t>
        </is>
      </c>
      <c r="L1216" s="6" t="n">
        <v>0</v>
      </c>
      <c r="M1216" s="10" t="n"/>
      <c r="N1216" s="6" t="n">
        <v>4</v>
      </c>
      <c r="O1216" s="6" t="n">
        <v>536</v>
      </c>
      <c r="P1216" s="6" t="n">
        <v>1</v>
      </c>
      <c r="Q1216" s="6">
        <f>IF(OR(K1216="On time",K1216="Late",K1216="Very late"),1,0)</f>
        <v/>
      </c>
    </row>
    <row r="1217">
      <c r="A1217" s="10" t="inlineStr">
        <is>
          <t>DN319448</t>
        </is>
      </c>
      <c r="B1217" s="10" t="inlineStr">
        <is>
          <t>SO63367</t>
        </is>
      </c>
      <c r="C1217" s="10" t="inlineStr">
        <is>
          <t>C12239</t>
        </is>
      </c>
      <c r="D1217" s="10">
        <f>INDEX(Customers!$B:$B,MATCH(C1217,Customers!$A:$A,0))</f>
        <v/>
      </c>
      <c r="E1217" s="10">
        <f>INDEX(Customers!$D:$D,MATCH(C1217,Customers!$A:$A,0))</f>
        <v/>
      </c>
      <c r="F1217" s="10" t="inlineStr">
        <is>
          <t>Carrier B</t>
        </is>
      </c>
      <c r="G1217" s="5" t="n">
        <v>46275</v>
      </c>
      <c r="H1217" s="5" t="n">
        <v>46276</v>
      </c>
      <c r="I1217" s="5" t="n">
        <v>46276</v>
      </c>
      <c r="J1217" s="10" t="inlineStr">
        <is>
          <t>14:20</t>
        </is>
      </c>
      <c r="K1217" s="10" t="inlineStr">
        <is>
          <t>On time</t>
        </is>
      </c>
      <c r="L1217" s="6" t="n">
        <v>0</v>
      </c>
      <c r="M1217" s="10" t="n"/>
      <c r="N1217" s="6" t="n">
        <v>9</v>
      </c>
      <c r="O1217" s="6" t="n">
        <v>1107</v>
      </c>
      <c r="P1217" s="6" t="n">
        <v>1</v>
      </c>
      <c r="Q1217" s="6">
        <f>IF(OR(K1217="On time",K1217="Late",K1217="Very late"),1,0)</f>
        <v/>
      </c>
    </row>
    <row r="1218">
      <c r="A1218" s="10" t="inlineStr">
        <is>
          <t>DN319449</t>
        </is>
      </c>
      <c r="B1218" s="10" t="inlineStr">
        <is>
          <t>SO63368</t>
        </is>
      </c>
      <c r="C1218" s="10" t="inlineStr">
        <is>
          <t>C12262</t>
        </is>
      </c>
      <c r="D1218" s="10">
        <f>INDEX(Customers!$B:$B,MATCH(C1218,Customers!$A:$A,0))</f>
        <v/>
      </c>
      <c r="E1218" s="10">
        <f>INDEX(Customers!$D:$D,MATCH(C1218,Customers!$A:$A,0))</f>
        <v/>
      </c>
      <c r="F1218" s="10" t="inlineStr">
        <is>
          <t>Carrier B</t>
        </is>
      </c>
      <c r="G1218" s="5" t="n">
        <v>46275</v>
      </c>
      <c r="H1218" s="5" t="n">
        <v>46276</v>
      </c>
      <c r="I1218" s="5" t="n">
        <v>46276</v>
      </c>
      <c r="J1218" s="10" t="inlineStr">
        <is>
          <t>11:40</t>
        </is>
      </c>
      <c r="K1218" s="10" t="inlineStr">
        <is>
          <t>On time</t>
        </is>
      </c>
      <c r="L1218" s="6" t="n">
        <v>0</v>
      </c>
      <c r="M1218" s="10" t="n"/>
      <c r="N1218" s="6" t="n">
        <v>32</v>
      </c>
      <c r="O1218" s="6" t="n">
        <v>4192</v>
      </c>
      <c r="P1218" s="6" t="n">
        <v>1</v>
      </c>
      <c r="Q1218" s="6">
        <f>IF(OR(K1218="On time",K1218="Late",K1218="Very late"),1,0)</f>
        <v/>
      </c>
    </row>
    <row r="1219">
      <c r="A1219" s="10" t="inlineStr">
        <is>
          <t>DN319450</t>
        </is>
      </c>
      <c r="B1219" s="10" t="inlineStr">
        <is>
          <t>SO63369</t>
        </is>
      </c>
      <c r="C1219" s="10" t="inlineStr">
        <is>
          <t>C12371</t>
        </is>
      </c>
      <c r="D1219" s="10">
        <f>INDEX(Customers!$B:$B,MATCH(C1219,Customers!$A:$A,0))</f>
        <v/>
      </c>
      <c r="E1219" s="10">
        <f>INDEX(Customers!$D:$D,MATCH(C1219,Customers!$A:$A,0))</f>
        <v/>
      </c>
      <c r="F1219" s="10" t="inlineStr">
        <is>
          <t>Carrier A</t>
        </is>
      </c>
      <c r="G1219" s="5" t="n">
        <v>46275</v>
      </c>
      <c r="H1219" s="5" t="n">
        <v>46276</v>
      </c>
      <c r="I1219" s="5" t="n">
        <v>46279</v>
      </c>
      <c r="J1219" s="10" t="inlineStr">
        <is>
          <t>16:10</t>
        </is>
      </c>
      <c r="K1219" s="10" t="inlineStr">
        <is>
          <t>Late</t>
        </is>
      </c>
      <c r="L1219" s="6" t="n">
        <v>1</v>
      </c>
      <c r="M1219" s="10" t="inlineStr">
        <is>
          <t>Carrier delay</t>
        </is>
      </c>
      <c r="N1219" s="6" t="n">
        <v>18</v>
      </c>
      <c r="O1219" s="6" t="n">
        <v>2520</v>
      </c>
      <c r="P1219" s="6" t="n">
        <v>1</v>
      </c>
      <c r="Q1219" s="6">
        <f>IF(OR(K1219="On time",K1219="Late",K1219="Very late"),1,0)</f>
        <v/>
      </c>
    </row>
    <row r="1220">
      <c r="A1220" s="10" t="inlineStr">
        <is>
          <t>DN319451</t>
        </is>
      </c>
      <c r="B1220" s="10" t="inlineStr">
        <is>
          <t>SO63370</t>
        </is>
      </c>
      <c r="C1220" s="10" t="inlineStr">
        <is>
          <t>C12420</t>
        </is>
      </c>
      <c r="D1220" s="10">
        <f>INDEX(Customers!$B:$B,MATCH(C1220,Customers!$A:$A,0))</f>
        <v/>
      </c>
      <c r="E1220" s="10">
        <f>INDEX(Customers!$D:$D,MATCH(C1220,Customers!$A:$A,0))</f>
        <v/>
      </c>
      <c r="F1220" s="10" t="inlineStr">
        <is>
          <t>Carrier A</t>
        </is>
      </c>
      <c r="G1220" s="5" t="n">
        <v>46275</v>
      </c>
      <c r="H1220" s="5" t="n">
        <v>46276</v>
      </c>
      <c r="I1220" s="5" t="n">
        <v>46276</v>
      </c>
      <c r="J1220" s="10" t="inlineStr">
        <is>
          <t>07:40</t>
        </is>
      </c>
      <c r="K1220" s="10" t="inlineStr">
        <is>
          <t>On time</t>
        </is>
      </c>
      <c r="L1220" s="6" t="n">
        <v>0</v>
      </c>
      <c r="M1220" s="10" t="n"/>
      <c r="N1220" s="6" t="n">
        <v>26</v>
      </c>
      <c r="O1220" s="6" t="n">
        <v>1872</v>
      </c>
      <c r="P1220" s="6" t="n">
        <v>1</v>
      </c>
      <c r="Q1220" s="6">
        <f>IF(OR(K1220="On time",K1220="Late",K1220="Very late"),1,0)</f>
        <v/>
      </c>
    </row>
    <row r="1221">
      <c r="A1221" s="10" t="inlineStr">
        <is>
          <t>DN319452</t>
        </is>
      </c>
      <c r="B1221" s="10" t="inlineStr">
        <is>
          <t>SO63371</t>
        </is>
      </c>
      <c r="C1221" s="10" t="inlineStr">
        <is>
          <t>C12543</t>
        </is>
      </c>
      <c r="D1221" s="10">
        <f>INDEX(Customers!$B:$B,MATCH(C1221,Customers!$A:$A,0))</f>
        <v/>
      </c>
      <c r="E1221" s="10">
        <f>INDEX(Customers!$D:$D,MATCH(C1221,Customers!$A:$A,0))</f>
        <v/>
      </c>
      <c r="F1221" s="10" t="inlineStr">
        <is>
          <t>Carrier B</t>
        </is>
      </c>
      <c r="G1221" s="5" t="n">
        <v>46274</v>
      </c>
      <c r="H1221" s="5" t="n">
        <v>46276</v>
      </c>
      <c r="I1221" s="5" t="n">
        <v>46276</v>
      </c>
      <c r="J1221" s="10" t="inlineStr">
        <is>
          <t>14:20</t>
        </is>
      </c>
      <c r="K1221" s="10" t="inlineStr">
        <is>
          <t>On time</t>
        </is>
      </c>
      <c r="L1221" s="6" t="n">
        <v>0</v>
      </c>
      <c r="M1221" s="10" t="n"/>
      <c r="N1221" s="6" t="n">
        <v>35</v>
      </c>
      <c r="O1221" s="6" t="n">
        <v>4760</v>
      </c>
      <c r="P1221" s="6" t="n">
        <v>1</v>
      </c>
      <c r="Q1221" s="6">
        <f>IF(OR(K1221="On time",K1221="Late",K1221="Very late"),1,0)</f>
        <v/>
      </c>
    </row>
    <row r="1222">
      <c r="A1222" s="10" t="inlineStr">
        <is>
          <t>DN319453</t>
        </is>
      </c>
      <c r="B1222" s="10" t="inlineStr">
        <is>
          <t>SO63372</t>
        </is>
      </c>
      <c r="C1222" s="10" t="inlineStr">
        <is>
          <t>C12617</t>
        </is>
      </c>
      <c r="D1222" s="10">
        <f>INDEX(Customers!$B:$B,MATCH(C1222,Customers!$A:$A,0))</f>
        <v/>
      </c>
      <c r="E1222" s="10">
        <f>INDEX(Customers!$D:$D,MATCH(C1222,Customers!$A:$A,0))</f>
        <v/>
      </c>
      <c r="F1222" s="10" t="inlineStr">
        <is>
          <t>Carrier B</t>
        </is>
      </c>
      <c r="G1222" s="5" t="n">
        <v>46274</v>
      </c>
      <c r="H1222" s="5" t="n">
        <v>46276</v>
      </c>
      <c r="I1222" s="5" t="n">
        <v>46276</v>
      </c>
      <c r="J1222" s="10" t="inlineStr">
        <is>
          <t>08:20</t>
        </is>
      </c>
      <c r="K1222" s="10" t="inlineStr">
        <is>
          <t>On time</t>
        </is>
      </c>
      <c r="L1222" s="6" t="n">
        <v>0</v>
      </c>
      <c r="M1222" s="10" t="n"/>
      <c r="N1222" s="6" t="n">
        <v>8</v>
      </c>
      <c r="O1222" s="6" t="n">
        <v>1096</v>
      </c>
      <c r="P1222" s="6" t="n">
        <v>1</v>
      </c>
      <c r="Q1222" s="6">
        <f>IF(OR(K1222="On time",K1222="Late",K1222="Very late"),1,0)</f>
        <v/>
      </c>
    </row>
    <row r="1223">
      <c r="A1223" s="10" t="inlineStr">
        <is>
          <t>DN319454</t>
        </is>
      </c>
      <c r="B1223" s="10" t="inlineStr">
        <is>
          <t>SO63373</t>
        </is>
      </c>
      <c r="C1223" s="10" t="inlineStr">
        <is>
          <t>C12631</t>
        </is>
      </c>
      <c r="D1223" s="10">
        <f>INDEX(Customers!$B:$B,MATCH(C1223,Customers!$A:$A,0))</f>
        <v/>
      </c>
      <c r="E1223" s="10">
        <f>INDEX(Customers!$D:$D,MATCH(C1223,Customers!$A:$A,0))</f>
        <v/>
      </c>
      <c r="F1223" s="10" t="inlineStr">
        <is>
          <t>Carrier B</t>
        </is>
      </c>
      <c r="G1223" s="5" t="n">
        <v>46274</v>
      </c>
      <c r="H1223" s="5" t="n">
        <v>46276</v>
      </c>
      <c r="I1223" s="5" t="n">
        <v>46276</v>
      </c>
      <c r="J1223" s="10" t="inlineStr">
        <is>
          <t>10:00</t>
        </is>
      </c>
      <c r="K1223" s="10" t="inlineStr">
        <is>
          <t>On time</t>
        </is>
      </c>
      <c r="L1223" s="6" t="n">
        <v>0</v>
      </c>
      <c r="M1223" s="10" t="n"/>
      <c r="N1223" s="6" t="n">
        <v>37</v>
      </c>
      <c r="O1223" s="6" t="n">
        <v>3219</v>
      </c>
      <c r="P1223" s="6" t="n">
        <v>1</v>
      </c>
      <c r="Q1223" s="6">
        <f>IF(OR(K1223="On time",K1223="Late",K1223="Very late"),1,0)</f>
        <v/>
      </c>
    </row>
    <row r="1224">
      <c r="A1224" s="10" t="inlineStr">
        <is>
          <t>DN319455</t>
        </is>
      </c>
      <c r="B1224" s="10" t="inlineStr">
        <is>
          <t>SO63374</t>
        </is>
      </c>
      <c r="C1224" s="10" t="inlineStr">
        <is>
          <t>C12639</t>
        </is>
      </c>
      <c r="D1224" s="10">
        <f>INDEX(Customers!$B:$B,MATCH(C1224,Customers!$A:$A,0))</f>
        <v/>
      </c>
      <c r="E1224" s="10">
        <f>INDEX(Customers!$D:$D,MATCH(C1224,Customers!$A:$A,0))</f>
        <v/>
      </c>
      <c r="F1224" s="10" t="inlineStr">
        <is>
          <t>Carrier B</t>
        </is>
      </c>
      <c r="G1224" s="5" t="n">
        <v>46274</v>
      </c>
      <c r="H1224" s="5" t="n">
        <v>46276</v>
      </c>
      <c r="I1224" s="5" t="n">
        <v>46276</v>
      </c>
      <c r="J1224" s="10" t="inlineStr">
        <is>
          <t>12:50</t>
        </is>
      </c>
      <c r="K1224" s="10" t="inlineStr">
        <is>
          <t>On time</t>
        </is>
      </c>
      <c r="L1224" s="6" t="n">
        <v>0</v>
      </c>
      <c r="M1224" s="10" t="n"/>
      <c r="N1224" s="6" t="n">
        <v>6</v>
      </c>
      <c r="O1224" s="6" t="n">
        <v>600</v>
      </c>
      <c r="P1224" s="6" t="n">
        <v>1</v>
      </c>
      <c r="Q1224" s="6">
        <f>IF(OR(K1224="On time",K1224="Late",K1224="Very late"),1,0)</f>
        <v/>
      </c>
    </row>
    <row r="1225">
      <c r="A1225" s="10" t="inlineStr">
        <is>
          <t>DN319456</t>
        </is>
      </c>
      <c r="B1225" s="10" t="inlineStr">
        <is>
          <t>SO63375</t>
        </is>
      </c>
      <c r="C1225" s="10" t="inlineStr">
        <is>
          <t>C10268</t>
        </is>
      </c>
      <c r="D1225" s="10">
        <f>INDEX(Customers!$B:$B,MATCH(C1225,Customers!$A:$A,0))</f>
        <v/>
      </c>
      <c r="E1225" s="10">
        <f>INDEX(Customers!$D:$D,MATCH(C1225,Customers!$A:$A,0))</f>
        <v/>
      </c>
      <c r="F1225" s="10" t="inlineStr">
        <is>
          <t>Own trucks</t>
        </is>
      </c>
      <c r="G1225" s="5" t="n">
        <v>46276</v>
      </c>
      <c r="H1225" s="5" t="n">
        <v>46279</v>
      </c>
      <c r="I1225" s="5" t="n">
        <v>46279</v>
      </c>
      <c r="J1225" s="10" t="inlineStr">
        <is>
          <t>11:00</t>
        </is>
      </c>
      <c r="K1225" s="10" t="inlineStr">
        <is>
          <t>On time</t>
        </is>
      </c>
      <c r="L1225" s="6" t="n">
        <v>0</v>
      </c>
      <c r="M1225" s="10" t="n"/>
      <c r="N1225" s="6" t="n">
        <v>12</v>
      </c>
      <c r="O1225" s="6" t="n">
        <v>660</v>
      </c>
      <c r="P1225" s="6" t="n">
        <v>1</v>
      </c>
      <c r="Q1225" s="6">
        <f>IF(OR(K1225="On time",K1225="Late",K1225="Very late"),1,0)</f>
        <v/>
      </c>
    </row>
    <row r="1226">
      <c r="A1226" s="10" t="inlineStr">
        <is>
          <t>DN319457</t>
        </is>
      </c>
      <c r="B1226" s="10" t="inlineStr">
        <is>
          <t>SO63376</t>
        </is>
      </c>
      <c r="C1226" s="10" t="inlineStr">
        <is>
          <t>C10322</t>
        </is>
      </c>
      <c r="D1226" s="10">
        <f>INDEX(Customers!$B:$B,MATCH(C1226,Customers!$A:$A,0))</f>
        <v/>
      </c>
      <c r="E1226" s="10">
        <f>INDEX(Customers!$D:$D,MATCH(C1226,Customers!$A:$A,0))</f>
        <v/>
      </c>
      <c r="F1226" s="10" t="inlineStr">
        <is>
          <t>Own trucks</t>
        </is>
      </c>
      <c r="G1226" s="5" t="n">
        <v>46276</v>
      </c>
      <c r="H1226" s="5" t="n">
        <v>46279</v>
      </c>
      <c r="I1226" s="5" t="n">
        <v>46279</v>
      </c>
      <c r="J1226" s="10" t="inlineStr">
        <is>
          <t>12:40</t>
        </is>
      </c>
      <c r="K1226" s="10" t="inlineStr">
        <is>
          <t>On time</t>
        </is>
      </c>
      <c r="L1226" s="6" t="n">
        <v>0</v>
      </c>
      <c r="M1226" s="10" t="n"/>
      <c r="N1226" s="6" t="n">
        <v>4</v>
      </c>
      <c r="O1226" s="6" t="n">
        <v>532</v>
      </c>
      <c r="P1226" s="6" t="n">
        <v>1</v>
      </c>
      <c r="Q1226" s="6">
        <f>IF(OR(K1226="On time",K1226="Late",K1226="Very late"),1,0)</f>
        <v/>
      </c>
    </row>
    <row r="1227">
      <c r="A1227" s="10" t="inlineStr">
        <is>
          <t>DN319458</t>
        </is>
      </c>
      <c r="B1227" s="10" t="inlineStr">
        <is>
          <t>SO63377</t>
        </is>
      </c>
      <c r="C1227" s="10" t="inlineStr">
        <is>
          <t>C10343</t>
        </is>
      </c>
      <c r="D1227" s="10">
        <f>INDEX(Customers!$B:$B,MATCH(C1227,Customers!$A:$A,0))</f>
        <v/>
      </c>
      <c r="E1227" s="10">
        <f>INDEX(Customers!$D:$D,MATCH(C1227,Customers!$A:$A,0))</f>
        <v/>
      </c>
      <c r="F1227" s="10" t="inlineStr">
        <is>
          <t>Own trucks</t>
        </is>
      </c>
      <c r="G1227" s="5" t="n">
        <v>46276</v>
      </c>
      <c r="H1227" s="5" t="n">
        <v>46279</v>
      </c>
      <c r="I1227" s="5" t="n">
        <v>46279</v>
      </c>
      <c r="J1227" s="10" t="inlineStr">
        <is>
          <t>09:00</t>
        </is>
      </c>
      <c r="K1227" s="10" t="inlineStr">
        <is>
          <t>On time</t>
        </is>
      </c>
      <c r="L1227" s="6" t="n">
        <v>0</v>
      </c>
      <c r="M1227" s="10" t="n"/>
      <c r="N1227" s="6" t="n">
        <v>28</v>
      </c>
      <c r="O1227" s="6" t="n">
        <v>2380</v>
      </c>
      <c r="P1227" s="6" t="n">
        <v>1</v>
      </c>
      <c r="Q1227" s="6">
        <f>IF(OR(K1227="On time",K1227="Late",K1227="Very late"),1,0)</f>
        <v/>
      </c>
    </row>
    <row r="1228">
      <c r="A1228" s="10" t="inlineStr">
        <is>
          <t>DN319459</t>
        </is>
      </c>
      <c r="B1228" s="10" t="inlineStr">
        <is>
          <t>SO63378</t>
        </is>
      </c>
      <c r="C1228" s="10" t="inlineStr">
        <is>
          <t>C10413</t>
        </is>
      </c>
      <c r="D1228" s="10">
        <f>INDEX(Customers!$B:$B,MATCH(C1228,Customers!$A:$A,0))</f>
        <v/>
      </c>
      <c r="E1228" s="10">
        <f>INDEX(Customers!$D:$D,MATCH(C1228,Customers!$A:$A,0))</f>
        <v/>
      </c>
      <c r="F1228" s="10" t="inlineStr">
        <is>
          <t>Own trucks</t>
        </is>
      </c>
      <c r="G1228" s="5" t="n">
        <v>46276</v>
      </c>
      <c r="H1228" s="5" t="n">
        <v>46279</v>
      </c>
      <c r="I1228" s="5" t="n">
        <v>46279</v>
      </c>
      <c r="J1228" s="10" t="inlineStr">
        <is>
          <t>16:00</t>
        </is>
      </c>
      <c r="K1228" s="10" t="inlineStr">
        <is>
          <t>On time</t>
        </is>
      </c>
      <c r="L1228" s="6" t="n">
        <v>0</v>
      </c>
      <c r="M1228" s="10" t="n"/>
      <c r="N1228" s="6" t="n">
        <v>31</v>
      </c>
      <c r="O1228" s="6" t="n">
        <v>3782</v>
      </c>
      <c r="P1228" s="6" t="n">
        <v>1</v>
      </c>
      <c r="Q1228" s="6">
        <f>IF(OR(K1228="On time",K1228="Late",K1228="Very late"),1,0)</f>
        <v/>
      </c>
    </row>
    <row r="1229">
      <c r="A1229" s="10" t="inlineStr">
        <is>
          <t>DN319461</t>
        </is>
      </c>
      <c r="B1229" s="10" t="inlineStr">
        <is>
          <t>SO63379</t>
        </is>
      </c>
      <c r="C1229" s="10" t="inlineStr">
        <is>
          <t>C10446</t>
        </is>
      </c>
      <c r="D1229" s="10">
        <f>INDEX(Customers!$B:$B,MATCH(C1229,Customers!$A:$A,0))</f>
        <v/>
      </c>
      <c r="E1229" s="10">
        <f>INDEX(Customers!$D:$D,MATCH(C1229,Customers!$A:$A,0))</f>
        <v/>
      </c>
      <c r="F1229" s="10" t="inlineStr">
        <is>
          <t>Own trucks</t>
        </is>
      </c>
      <c r="G1229" s="5" t="n">
        <v>46276</v>
      </c>
      <c r="H1229" s="5" t="n">
        <v>46279</v>
      </c>
      <c r="I1229" s="5" t="n">
        <v>46279</v>
      </c>
      <c r="J1229" s="10" t="inlineStr">
        <is>
          <t>15:10</t>
        </is>
      </c>
      <c r="K1229" s="10" t="inlineStr">
        <is>
          <t>On time</t>
        </is>
      </c>
      <c r="L1229" s="6" t="n">
        <v>0</v>
      </c>
      <c r="M1229" s="10" t="n"/>
      <c r="N1229" s="6" t="n">
        <v>29</v>
      </c>
      <c r="O1229" s="6" t="n">
        <v>3306</v>
      </c>
      <c r="P1229" s="6" t="n">
        <v>1</v>
      </c>
      <c r="Q1229" s="6">
        <f>IF(OR(K1229="On time",K1229="Late",K1229="Very late"),1,0)</f>
        <v/>
      </c>
    </row>
    <row r="1230">
      <c r="A1230" s="10" t="inlineStr">
        <is>
          <t>DN319462</t>
        </is>
      </c>
      <c r="B1230" s="10" t="inlineStr">
        <is>
          <t>SO63381</t>
        </is>
      </c>
      <c r="C1230" s="10" t="inlineStr">
        <is>
          <t>C10515</t>
        </is>
      </c>
      <c r="D1230" s="10">
        <f>INDEX(Customers!$B:$B,MATCH(C1230,Customers!$A:$A,0))</f>
        <v/>
      </c>
      <c r="E1230" s="10">
        <f>INDEX(Customers!$D:$D,MATCH(C1230,Customers!$A:$A,0))</f>
        <v/>
      </c>
      <c r="F1230" s="10" t="inlineStr">
        <is>
          <t>Own trucks</t>
        </is>
      </c>
      <c r="G1230" s="5" t="n">
        <v>46276</v>
      </c>
      <c r="H1230" s="5" t="n">
        <v>46279</v>
      </c>
      <c r="I1230" s="5" t="n">
        <v>46279</v>
      </c>
      <c r="J1230" s="10" t="inlineStr">
        <is>
          <t>15:10</t>
        </is>
      </c>
      <c r="K1230" s="10" t="inlineStr">
        <is>
          <t>On time</t>
        </is>
      </c>
      <c r="L1230" s="6" t="n">
        <v>0</v>
      </c>
      <c r="M1230" s="10" t="n"/>
      <c r="N1230" s="6" t="n">
        <v>18</v>
      </c>
      <c r="O1230" s="6" t="n">
        <v>2160</v>
      </c>
      <c r="P1230" s="6" t="n">
        <v>1</v>
      </c>
      <c r="Q1230" s="6">
        <f>IF(OR(K1230="On time",K1230="Late",K1230="Very late"),1,0)</f>
        <v/>
      </c>
    </row>
    <row r="1231">
      <c r="A1231" s="10" t="inlineStr">
        <is>
          <t>DN319463</t>
        </is>
      </c>
      <c r="B1231" s="10" t="inlineStr">
        <is>
          <t>SO63383</t>
        </is>
      </c>
      <c r="C1231" s="10" t="inlineStr">
        <is>
          <t>C10536</t>
        </is>
      </c>
      <c r="D1231" s="10">
        <f>INDEX(Customers!$B:$B,MATCH(C1231,Customers!$A:$A,0))</f>
        <v/>
      </c>
      <c r="E1231" s="10">
        <f>INDEX(Customers!$D:$D,MATCH(C1231,Customers!$A:$A,0))</f>
        <v/>
      </c>
      <c r="F1231" s="10" t="inlineStr">
        <is>
          <t>Own trucks</t>
        </is>
      </c>
      <c r="G1231" s="5" t="n">
        <v>46276</v>
      </c>
      <c r="H1231" s="5" t="n">
        <v>46279</v>
      </c>
      <c r="I1231" s="5" t="n">
        <v>46279</v>
      </c>
      <c r="J1231" s="10" t="inlineStr">
        <is>
          <t>15:40</t>
        </is>
      </c>
      <c r="K1231" s="10" t="inlineStr">
        <is>
          <t>On time</t>
        </is>
      </c>
      <c r="L1231" s="6" t="n">
        <v>0</v>
      </c>
      <c r="M1231" s="10" t="n"/>
      <c r="N1231" s="6" t="n">
        <v>18</v>
      </c>
      <c r="O1231" s="6" t="n">
        <v>1476</v>
      </c>
      <c r="P1231" s="6" t="n">
        <v>1</v>
      </c>
      <c r="Q1231" s="6">
        <f>IF(OR(K1231="On time",K1231="Late",K1231="Very late"),1,0)</f>
        <v/>
      </c>
    </row>
    <row r="1232">
      <c r="A1232" s="10" t="inlineStr">
        <is>
          <t>DN319464</t>
        </is>
      </c>
      <c r="B1232" s="10" t="inlineStr">
        <is>
          <t>SO63384</t>
        </is>
      </c>
      <c r="C1232" s="10" t="inlineStr">
        <is>
          <t>C10589</t>
        </is>
      </c>
      <c r="D1232" s="10">
        <f>INDEX(Customers!$B:$B,MATCH(C1232,Customers!$A:$A,0))</f>
        <v/>
      </c>
      <c r="E1232" s="10">
        <f>INDEX(Customers!$D:$D,MATCH(C1232,Customers!$A:$A,0))</f>
        <v/>
      </c>
      <c r="F1232" s="10" t="inlineStr">
        <is>
          <t>Own trucks</t>
        </is>
      </c>
      <c r="G1232" s="5" t="n">
        <v>46276</v>
      </c>
      <c r="H1232" s="5" t="n">
        <v>46279</v>
      </c>
      <c r="I1232" s="5" t="n">
        <v>46280</v>
      </c>
      <c r="J1232" s="10" t="inlineStr">
        <is>
          <t>12:40</t>
        </is>
      </c>
      <c r="K1232" s="10" t="inlineStr">
        <is>
          <t>Late</t>
        </is>
      </c>
      <c r="L1232" s="6" t="n">
        <v>1</v>
      </c>
      <c r="M1232" s="10" t="inlineStr">
        <is>
          <t>Customer closed (failed attempt)</t>
        </is>
      </c>
      <c r="N1232" s="6" t="n">
        <v>11</v>
      </c>
      <c r="O1232" s="6" t="n">
        <v>1045</v>
      </c>
      <c r="P1232" s="6" t="n">
        <v>1</v>
      </c>
      <c r="Q1232" s="6">
        <f>IF(OR(K1232="On time",K1232="Late",K1232="Very late"),1,0)</f>
        <v/>
      </c>
    </row>
    <row r="1233">
      <c r="A1233" s="10" t="inlineStr">
        <is>
          <t>DN319465</t>
        </is>
      </c>
      <c r="B1233" s="10" t="inlineStr">
        <is>
          <t>SO63386</t>
        </is>
      </c>
      <c r="C1233" s="10" t="inlineStr">
        <is>
          <t>C10622</t>
        </is>
      </c>
      <c r="D1233" s="10">
        <f>INDEX(Customers!$B:$B,MATCH(C1233,Customers!$A:$A,0))</f>
        <v/>
      </c>
      <c r="E1233" s="10">
        <f>INDEX(Customers!$D:$D,MATCH(C1233,Customers!$A:$A,0))</f>
        <v/>
      </c>
      <c r="F1233" s="10" t="inlineStr">
        <is>
          <t>Own trucks</t>
        </is>
      </c>
      <c r="G1233" s="5" t="n">
        <v>46276</v>
      </c>
      <c r="H1233" s="5" t="n">
        <v>46279</v>
      </c>
      <c r="I1233" s="5" t="n">
        <v>46279</v>
      </c>
      <c r="J1233" s="10" t="inlineStr">
        <is>
          <t>07:40</t>
        </is>
      </c>
      <c r="K1233" s="10" t="inlineStr">
        <is>
          <t>On time</t>
        </is>
      </c>
      <c r="L1233" s="6" t="n">
        <v>0</v>
      </c>
      <c r="M1233" s="10" t="n"/>
      <c r="N1233" s="6" t="n">
        <v>19</v>
      </c>
      <c r="O1233" s="6" t="n">
        <v>1748</v>
      </c>
      <c r="P1233" s="6" t="n">
        <v>1</v>
      </c>
      <c r="Q1233" s="6">
        <f>IF(OR(K1233="On time",K1233="Late",K1233="Very late"),1,0)</f>
        <v/>
      </c>
    </row>
    <row r="1234">
      <c r="A1234" s="10" t="inlineStr">
        <is>
          <t>DN319466</t>
        </is>
      </c>
      <c r="B1234" s="10" t="inlineStr">
        <is>
          <t>SO63387</t>
        </is>
      </c>
      <c r="C1234" s="10" t="inlineStr">
        <is>
          <t>C10648</t>
        </is>
      </c>
      <c r="D1234" s="10">
        <f>INDEX(Customers!$B:$B,MATCH(C1234,Customers!$A:$A,0))</f>
        <v/>
      </c>
      <c r="E1234" s="10">
        <f>INDEX(Customers!$D:$D,MATCH(C1234,Customers!$A:$A,0))</f>
        <v/>
      </c>
      <c r="F1234" s="10" t="inlineStr">
        <is>
          <t>Own trucks</t>
        </is>
      </c>
      <c r="G1234" s="5" t="n">
        <v>46276</v>
      </c>
      <c r="H1234" s="5" t="n">
        <v>46279</v>
      </c>
      <c r="I1234" s="5" t="n">
        <v>46279</v>
      </c>
      <c r="J1234" s="10" t="inlineStr">
        <is>
          <t>15:20</t>
        </is>
      </c>
      <c r="K1234" s="10" t="inlineStr">
        <is>
          <t>On time</t>
        </is>
      </c>
      <c r="L1234" s="6" t="n">
        <v>0</v>
      </c>
      <c r="M1234" s="10" t="n"/>
      <c r="N1234" s="6" t="n">
        <v>2</v>
      </c>
      <c r="O1234" s="6" t="n">
        <v>278</v>
      </c>
      <c r="P1234" s="6" t="n">
        <v>1</v>
      </c>
      <c r="Q1234" s="6">
        <f>IF(OR(K1234="On time",K1234="Late",K1234="Very late"),1,0)</f>
        <v/>
      </c>
    </row>
    <row r="1235">
      <c r="A1235" s="10" t="inlineStr">
        <is>
          <t>DN319467</t>
        </is>
      </c>
      <c r="B1235" s="10" t="inlineStr">
        <is>
          <t>SO63388</t>
        </is>
      </c>
      <c r="C1235" s="10" t="inlineStr">
        <is>
          <t>C10676</t>
        </is>
      </c>
      <c r="D1235" s="10">
        <f>INDEX(Customers!$B:$B,MATCH(C1235,Customers!$A:$A,0))</f>
        <v/>
      </c>
      <c r="E1235" s="10">
        <f>INDEX(Customers!$D:$D,MATCH(C1235,Customers!$A:$A,0))</f>
        <v/>
      </c>
      <c r="F1235" s="10" t="inlineStr">
        <is>
          <t>Own trucks</t>
        </is>
      </c>
      <c r="G1235" s="5" t="n">
        <v>46276</v>
      </c>
      <c r="H1235" s="5" t="n">
        <v>46279</v>
      </c>
      <c r="I1235" s="5" t="n">
        <v>46279</v>
      </c>
      <c r="J1235" s="10" t="inlineStr">
        <is>
          <t>07:10</t>
        </is>
      </c>
      <c r="K1235" s="10" t="inlineStr">
        <is>
          <t>On time</t>
        </is>
      </c>
      <c r="L1235" s="6" t="n">
        <v>0</v>
      </c>
      <c r="M1235" s="10" t="n"/>
      <c r="N1235" s="6" t="n">
        <v>40</v>
      </c>
      <c r="O1235" s="6" t="n">
        <v>4440</v>
      </c>
      <c r="P1235" s="6" t="n">
        <v>1</v>
      </c>
      <c r="Q1235" s="6">
        <f>IF(OR(K1235="On time",K1235="Late",K1235="Very late"),1,0)</f>
        <v/>
      </c>
    </row>
    <row r="1236">
      <c r="A1236" s="10" t="inlineStr">
        <is>
          <t>DN319468</t>
        </is>
      </c>
      <c r="B1236" s="10" t="inlineStr">
        <is>
          <t>SO63390</t>
        </is>
      </c>
      <c r="C1236" s="10" t="inlineStr">
        <is>
          <t>C10684</t>
        </is>
      </c>
      <c r="D1236" s="10">
        <f>INDEX(Customers!$B:$B,MATCH(C1236,Customers!$A:$A,0))</f>
        <v/>
      </c>
      <c r="E1236" s="10">
        <f>INDEX(Customers!$D:$D,MATCH(C1236,Customers!$A:$A,0))</f>
        <v/>
      </c>
      <c r="F1236" s="10" t="inlineStr">
        <is>
          <t>Own trucks</t>
        </is>
      </c>
      <c r="G1236" s="5" t="n">
        <v>46276</v>
      </c>
      <c r="H1236" s="5" t="n">
        <v>46279</v>
      </c>
      <c r="I1236" s="5" t="n">
        <v>46279</v>
      </c>
      <c r="J1236" s="10" t="inlineStr">
        <is>
          <t>07:20</t>
        </is>
      </c>
      <c r="K1236" s="10" t="inlineStr">
        <is>
          <t>On time</t>
        </is>
      </c>
      <c r="L1236" s="6" t="n">
        <v>0</v>
      </c>
      <c r="M1236" s="10" t="n"/>
      <c r="N1236" s="6" t="n">
        <v>38</v>
      </c>
      <c r="O1236" s="6" t="n">
        <v>2356</v>
      </c>
      <c r="P1236" s="6" t="n">
        <v>1</v>
      </c>
      <c r="Q1236" s="6">
        <f>IF(OR(K1236="On time",K1236="Late",K1236="Very late"),1,0)</f>
        <v/>
      </c>
    </row>
    <row r="1237">
      <c r="A1237" s="10" t="inlineStr">
        <is>
          <t>DN319469</t>
        </is>
      </c>
      <c r="B1237" s="10" t="inlineStr">
        <is>
          <t>SO63391</t>
        </is>
      </c>
      <c r="C1237" s="10" t="inlineStr">
        <is>
          <t>C10796</t>
        </is>
      </c>
      <c r="D1237" s="10">
        <f>INDEX(Customers!$B:$B,MATCH(C1237,Customers!$A:$A,0))</f>
        <v/>
      </c>
      <c r="E1237" s="10">
        <f>INDEX(Customers!$D:$D,MATCH(C1237,Customers!$A:$A,0))</f>
        <v/>
      </c>
      <c r="F1237" s="10" t="inlineStr">
        <is>
          <t>Own trucks</t>
        </is>
      </c>
      <c r="G1237" s="5" t="n">
        <v>46276</v>
      </c>
      <c r="H1237" s="5" t="n">
        <v>46279</v>
      </c>
      <c r="I1237" s="5" t="n">
        <v>46279</v>
      </c>
      <c r="J1237" s="10" t="inlineStr">
        <is>
          <t>08:20</t>
        </is>
      </c>
      <c r="K1237" s="10" t="inlineStr">
        <is>
          <t>On time</t>
        </is>
      </c>
      <c r="L1237" s="6" t="n">
        <v>0</v>
      </c>
      <c r="M1237" s="10" t="n"/>
      <c r="N1237" s="6" t="n">
        <v>38</v>
      </c>
      <c r="O1237" s="6" t="n">
        <v>4104</v>
      </c>
      <c r="P1237" s="6" t="n">
        <v>1</v>
      </c>
      <c r="Q1237" s="6">
        <f>IF(OR(K1237="On time",K1237="Late",K1237="Very late"),1,0)</f>
        <v/>
      </c>
    </row>
    <row r="1238">
      <c r="A1238" s="10" t="inlineStr">
        <is>
          <t>DN319470</t>
        </is>
      </c>
      <c r="B1238" s="10" t="inlineStr">
        <is>
          <t>SO63392</t>
        </is>
      </c>
      <c r="C1238" s="10" t="inlineStr">
        <is>
          <t>C10915</t>
        </is>
      </c>
      <c r="D1238" s="10">
        <f>INDEX(Customers!$B:$B,MATCH(C1238,Customers!$A:$A,0))</f>
        <v/>
      </c>
      <c r="E1238" s="10">
        <f>INDEX(Customers!$D:$D,MATCH(C1238,Customers!$A:$A,0))</f>
        <v/>
      </c>
      <c r="F1238" s="10" t="inlineStr">
        <is>
          <t>Own trucks</t>
        </is>
      </c>
      <c r="G1238" s="5" t="n">
        <v>46276</v>
      </c>
      <c r="H1238" s="5" t="n">
        <v>46279</v>
      </c>
      <c r="I1238" s="5" t="n">
        <v>46279</v>
      </c>
      <c r="J1238" s="10" t="inlineStr">
        <is>
          <t>16:50</t>
        </is>
      </c>
      <c r="K1238" s="10" t="inlineStr">
        <is>
          <t>On time</t>
        </is>
      </c>
      <c r="L1238" s="6" t="n">
        <v>0</v>
      </c>
      <c r="M1238" s="10" t="n"/>
      <c r="N1238" s="6" t="n">
        <v>9</v>
      </c>
      <c r="O1238" s="6" t="n">
        <v>1071</v>
      </c>
      <c r="P1238" s="6" t="n">
        <v>1</v>
      </c>
      <c r="Q1238" s="6">
        <f>IF(OR(K1238="On time",K1238="Late",K1238="Very late"),1,0)</f>
        <v/>
      </c>
    </row>
    <row r="1239">
      <c r="A1239" s="10" t="inlineStr">
        <is>
          <t>DN319471</t>
        </is>
      </c>
      <c r="B1239" s="10" t="inlineStr">
        <is>
          <t>SO63394</t>
        </is>
      </c>
      <c r="C1239" s="10" t="inlineStr">
        <is>
          <t>C10982</t>
        </is>
      </c>
      <c r="D1239" s="10">
        <f>INDEX(Customers!$B:$B,MATCH(C1239,Customers!$A:$A,0))</f>
        <v/>
      </c>
      <c r="E1239" s="10">
        <f>INDEX(Customers!$D:$D,MATCH(C1239,Customers!$A:$A,0))</f>
        <v/>
      </c>
      <c r="F1239" s="10" t="inlineStr">
        <is>
          <t>Own trucks</t>
        </is>
      </c>
      <c r="G1239" s="5" t="n">
        <v>46276</v>
      </c>
      <c r="H1239" s="5" t="n">
        <v>46279</v>
      </c>
      <c r="I1239" s="5" t="n">
        <v>46279</v>
      </c>
      <c r="J1239" s="10" t="inlineStr">
        <is>
          <t>11:30</t>
        </is>
      </c>
      <c r="K1239" s="10" t="inlineStr">
        <is>
          <t>On time</t>
        </is>
      </c>
      <c r="L1239" s="6" t="n">
        <v>0</v>
      </c>
      <c r="M1239" s="10" t="n"/>
      <c r="N1239" s="6" t="n">
        <v>13</v>
      </c>
      <c r="O1239" s="6" t="n">
        <v>1170</v>
      </c>
      <c r="P1239" s="6" t="n">
        <v>1</v>
      </c>
      <c r="Q1239" s="6">
        <f>IF(OR(K1239="On time",K1239="Late",K1239="Very late"),1,0)</f>
        <v/>
      </c>
    </row>
    <row r="1240">
      <c r="A1240" s="10" t="inlineStr">
        <is>
          <t>DN319472</t>
        </is>
      </c>
      <c r="B1240" s="10" t="inlineStr">
        <is>
          <t>SO63395</t>
        </is>
      </c>
      <c r="C1240" s="10" t="inlineStr">
        <is>
          <t>C11049</t>
        </is>
      </c>
      <c r="D1240" s="10">
        <f>INDEX(Customers!$B:$B,MATCH(C1240,Customers!$A:$A,0))</f>
        <v/>
      </c>
      <c r="E1240" s="10">
        <f>INDEX(Customers!$D:$D,MATCH(C1240,Customers!$A:$A,0))</f>
        <v/>
      </c>
      <c r="F1240" s="10" t="inlineStr">
        <is>
          <t>Own trucks</t>
        </is>
      </c>
      <c r="G1240" s="5" t="n">
        <v>46276</v>
      </c>
      <c r="H1240" s="5" t="n">
        <v>46279</v>
      </c>
      <c r="I1240" s="5" t="n">
        <v>46279</v>
      </c>
      <c r="J1240" s="10" t="inlineStr">
        <is>
          <t>14:10</t>
        </is>
      </c>
      <c r="K1240" s="10" t="inlineStr">
        <is>
          <t>On time</t>
        </is>
      </c>
      <c r="L1240" s="6" t="n">
        <v>0</v>
      </c>
      <c r="M1240" s="10" t="n"/>
      <c r="N1240" s="6" t="n">
        <v>20</v>
      </c>
      <c r="O1240" s="6" t="n">
        <v>1540</v>
      </c>
      <c r="P1240" s="6" t="n">
        <v>1</v>
      </c>
      <c r="Q1240" s="6">
        <f>IF(OR(K1240="On time",K1240="Late",K1240="Very late"),1,0)</f>
        <v/>
      </c>
    </row>
    <row r="1241">
      <c r="A1241" s="10" t="inlineStr">
        <is>
          <t>DN319473</t>
        </is>
      </c>
      <c r="B1241" s="10" t="inlineStr">
        <is>
          <t>SO63396</t>
        </is>
      </c>
      <c r="C1241" s="10" t="inlineStr">
        <is>
          <t>C11107</t>
        </is>
      </c>
      <c r="D1241" s="10">
        <f>INDEX(Customers!$B:$B,MATCH(C1241,Customers!$A:$A,0))</f>
        <v/>
      </c>
      <c r="E1241" s="10">
        <f>INDEX(Customers!$D:$D,MATCH(C1241,Customers!$A:$A,0))</f>
        <v/>
      </c>
      <c r="F1241" s="10" t="inlineStr">
        <is>
          <t>Own trucks</t>
        </is>
      </c>
      <c r="G1241" s="5" t="n">
        <v>46276</v>
      </c>
      <c r="H1241" s="5" t="n">
        <v>46279</v>
      </c>
      <c r="I1241" s="5" t="n">
        <v>46279</v>
      </c>
      <c r="J1241" s="10" t="inlineStr">
        <is>
          <t>07:50</t>
        </is>
      </c>
      <c r="K1241" s="10" t="inlineStr">
        <is>
          <t>On time</t>
        </is>
      </c>
      <c r="L1241" s="6" t="n">
        <v>0</v>
      </c>
      <c r="M1241" s="10" t="n"/>
      <c r="N1241" s="6" t="n">
        <v>8</v>
      </c>
      <c r="O1241" s="6" t="n">
        <v>592</v>
      </c>
      <c r="P1241" s="6" t="n">
        <v>1</v>
      </c>
      <c r="Q1241" s="6">
        <f>IF(OR(K1241="On time",K1241="Late",K1241="Very late"),1,0)</f>
        <v/>
      </c>
    </row>
    <row r="1242">
      <c r="A1242" s="10" t="inlineStr">
        <is>
          <t>DN319474</t>
        </is>
      </c>
      <c r="B1242" s="10" t="inlineStr">
        <is>
          <t>SO63398</t>
        </is>
      </c>
      <c r="C1242" s="10" t="inlineStr">
        <is>
          <t>C11143</t>
        </is>
      </c>
      <c r="D1242" s="10">
        <f>INDEX(Customers!$B:$B,MATCH(C1242,Customers!$A:$A,0))</f>
        <v/>
      </c>
      <c r="E1242" s="10">
        <f>INDEX(Customers!$D:$D,MATCH(C1242,Customers!$A:$A,0))</f>
        <v/>
      </c>
      <c r="F1242" s="10" t="inlineStr">
        <is>
          <t>Own trucks</t>
        </is>
      </c>
      <c r="G1242" s="5" t="n">
        <v>46276</v>
      </c>
      <c r="H1242" s="5" t="n">
        <v>46279</v>
      </c>
      <c r="I1242" s="5" t="n">
        <v>46279</v>
      </c>
      <c r="J1242" s="10" t="inlineStr">
        <is>
          <t>08:40</t>
        </is>
      </c>
      <c r="K1242" s="10" t="inlineStr">
        <is>
          <t>On time</t>
        </is>
      </c>
      <c r="L1242" s="6" t="n">
        <v>0</v>
      </c>
      <c r="M1242" s="10" t="n"/>
      <c r="N1242" s="6" t="n">
        <v>18</v>
      </c>
      <c r="O1242" s="6" t="n">
        <v>1026</v>
      </c>
      <c r="P1242" s="6" t="n">
        <v>1</v>
      </c>
      <c r="Q1242" s="6">
        <f>IF(OR(K1242="On time",K1242="Late",K1242="Very late"),1,0)</f>
        <v/>
      </c>
    </row>
    <row r="1243">
      <c r="A1243" s="10" t="inlineStr">
        <is>
          <t>DN319475</t>
        </is>
      </c>
      <c r="B1243" s="10" t="inlineStr">
        <is>
          <t>SO63399</t>
        </is>
      </c>
      <c r="C1243" s="10" t="inlineStr">
        <is>
          <t>C11247</t>
        </is>
      </c>
      <c r="D1243" s="10">
        <f>INDEX(Customers!$B:$B,MATCH(C1243,Customers!$A:$A,0))</f>
        <v/>
      </c>
      <c r="E1243" s="10">
        <f>INDEX(Customers!$D:$D,MATCH(C1243,Customers!$A:$A,0))</f>
        <v/>
      </c>
      <c r="F1243" s="10" t="inlineStr">
        <is>
          <t>Own trucks</t>
        </is>
      </c>
      <c r="G1243" s="5" t="n">
        <v>46276</v>
      </c>
      <c r="H1243" s="5" t="n">
        <v>46279</v>
      </c>
      <c r="I1243" s="5" t="n">
        <v>46279</v>
      </c>
      <c r="J1243" s="10" t="inlineStr">
        <is>
          <t>15:50</t>
        </is>
      </c>
      <c r="K1243" s="10" t="inlineStr">
        <is>
          <t>On time</t>
        </is>
      </c>
      <c r="L1243" s="6" t="n">
        <v>0</v>
      </c>
      <c r="M1243" s="10" t="n"/>
      <c r="N1243" s="6" t="n">
        <v>29</v>
      </c>
      <c r="O1243" s="6" t="n">
        <v>3161</v>
      </c>
      <c r="P1243" s="6" t="n">
        <v>1</v>
      </c>
      <c r="Q1243" s="6">
        <f>IF(OR(K1243="On time",K1243="Late",K1243="Very late"),1,0)</f>
        <v/>
      </c>
    </row>
    <row r="1244">
      <c r="A1244" s="10" t="inlineStr">
        <is>
          <t>DN319476</t>
        </is>
      </c>
      <c r="B1244" s="10" t="inlineStr">
        <is>
          <t>SO63400</t>
        </is>
      </c>
      <c r="C1244" s="10" t="inlineStr">
        <is>
          <t>C11264</t>
        </is>
      </c>
      <c r="D1244" s="10">
        <f>INDEX(Customers!$B:$B,MATCH(C1244,Customers!$A:$A,0))</f>
        <v/>
      </c>
      <c r="E1244" s="10">
        <f>INDEX(Customers!$D:$D,MATCH(C1244,Customers!$A:$A,0))</f>
        <v/>
      </c>
      <c r="F1244" s="10" t="inlineStr">
        <is>
          <t>Own trucks</t>
        </is>
      </c>
      <c r="G1244" s="5" t="n">
        <v>46276</v>
      </c>
      <c r="H1244" s="5" t="n">
        <v>46279</v>
      </c>
      <c r="I1244" s="5" t="n">
        <v>46279</v>
      </c>
      <c r="J1244" s="10" t="inlineStr">
        <is>
          <t>09:20</t>
        </is>
      </c>
      <c r="K1244" s="10" t="inlineStr">
        <is>
          <t>On time</t>
        </is>
      </c>
      <c r="L1244" s="6" t="n">
        <v>0</v>
      </c>
      <c r="M1244" s="10" t="n"/>
      <c r="N1244" s="6" t="n">
        <v>8</v>
      </c>
      <c r="O1244" s="6" t="n">
        <v>624</v>
      </c>
      <c r="P1244" s="6" t="n">
        <v>1</v>
      </c>
      <c r="Q1244" s="6">
        <f>IF(OR(K1244="On time",K1244="Late",K1244="Very late"),1,0)</f>
        <v/>
      </c>
    </row>
    <row r="1245">
      <c r="A1245" s="10" t="inlineStr">
        <is>
          <t>DN319477</t>
        </is>
      </c>
      <c r="B1245" s="10" t="inlineStr">
        <is>
          <t>SO63401</t>
        </is>
      </c>
      <c r="C1245" s="10" t="inlineStr">
        <is>
          <t>C11314</t>
        </is>
      </c>
      <c r="D1245" s="10">
        <f>INDEX(Customers!$B:$B,MATCH(C1245,Customers!$A:$A,0))</f>
        <v/>
      </c>
      <c r="E1245" s="10">
        <f>INDEX(Customers!$D:$D,MATCH(C1245,Customers!$A:$A,0))</f>
        <v/>
      </c>
      <c r="F1245" s="10" t="inlineStr">
        <is>
          <t>Own trucks</t>
        </is>
      </c>
      <c r="G1245" s="5" t="n">
        <v>46276</v>
      </c>
      <c r="H1245" s="5" t="n">
        <v>46279</v>
      </c>
      <c r="I1245" s="5" t="n">
        <v>46279</v>
      </c>
      <c r="J1245" s="10" t="inlineStr">
        <is>
          <t>08:00</t>
        </is>
      </c>
      <c r="K1245" s="10" t="inlineStr">
        <is>
          <t>On time</t>
        </is>
      </c>
      <c r="L1245" s="6" t="n">
        <v>0</v>
      </c>
      <c r="M1245" s="10" t="n"/>
      <c r="N1245" s="6" t="n">
        <v>38</v>
      </c>
      <c r="O1245" s="6" t="n">
        <v>4788</v>
      </c>
      <c r="P1245" s="6" t="n">
        <v>1</v>
      </c>
      <c r="Q1245" s="6">
        <f>IF(OR(K1245="On time",K1245="Late",K1245="Very late"),1,0)</f>
        <v/>
      </c>
    </row>
    <row r="1246">
      <c r="A1246" s="10" t="inlineStr">
        <is>
          <t>DN319478</t>
        </is>
      </c>
      <c r="B1246" s="10" t="inlineStr">
        <is>
          <t>SO63403</t>
        </is>
      </c>
      <c r="C1246" s="10" t="inlineStr">
        <is>
          <t>C11518</t>
        </is>
      </c>
      <c r="D1246" s="10">
        <f>INDEX(Customers!$B:$B,MATCH(C1246,Customers!$A:$A,0))</f>
        <v/>
      </c>
      <c r="E1246" s="10">
        <f>INDEX(Customers!$D:$D,MATCH(C1246,Customers!$A:$A,0))</f>
        <v/>
      </c>
      <c r="F1246" s="10" t="inlineStr">
        <is>
          <t>Own trucks</t>
        </is>
      </c>
      <c r="G1246" s="5" t="n">
        <v>46276</v>
      </c>
      <c r="H1246" s="5" t="n">
        <v>46279</v>
      </c>
      <c r="I1246" s="5" t="n">
        <v>46279</v>
      </c>
      <c r="J1246" s="10" t="inlineStr">
        <is>
          <t>14:20</t>
        </is>
      </c>
      <c r="K1246" s="10" t="inlineStr">
        <is>
          <t>On time</t>
        </is>
      </c>
      <c r="L1246" s="6" t="n">
        <v>0</v>
      </c>
      <c r="M1246" s="10" t="n"/>
      <c r="N1246" s="6" t="n">
        <v>28</v>
      </c>
      <c r="O1246" s="6" t="n">
        <v>2520</v>
      </c>
      <c r="P1246" s="6" t="n">
        <v>1</v>
      </c>
      <c r="Q1246" s="6">
        <f>IF(OR(K1246="On time",K1246="Late",K1246="Very late"),1,0)</f>
        <v/>
      </c>
    </row>
    <row r="1247">
      <c r="A1247" s="10" t="inlineStr">
        <is>
          <t>DN319479</t>
        </is>
      </c>
      <c r="B1247" s="10" t="inlineStr">
        <is>
          <t>SO63404</t>
        </is>
      </c>
      <c r="C1247" s="10" t="inlineStr">
        <is>
          <t>C11579</t>
        </is>
      </c>
      <c r="D1247" s="10">
        <f>INDEX(Customers!$B:$B,MATCH(C1247,Customers!$A:$A,0))</f>
        <v/>
      </c>
      <c r="E1247" s="10">
        <f>INDEX(Customers!$D:$D,MATCH(C1247,Customers!$A:$A,0))</f>
        <v/>
      </c>
      <c r="F1247" s="10" t="inlineStr">
        <is>
          <t>Own trucks</t>
        </is>
      </c>
      <c r="G1247" s="5" t="n">
        <v>46276</v>
      </c>
      <c r="H1247" s="5" t="n">
        <v>46279</v>
      </c>
      <c r="I1247" s="5" t="n">
        <v>46279</v>
      </c>
      <c r="J1247" s="10" t="inlineStr">
        <is>
          <t>10:10</t>
        </is>
      </c>
      <c r="K1247" s="10" t="inlineStr">
        <is>
          <t>On time</t>
        </is>
      </c>
      <c r="L1247" s="6" t="n">
        <v>0</v>
      </c>
      <c r="M1247" s="10" t="n"/>
      <c r="N1247" s="6" t="n">
        <v>18</v>
      </c>
      <c r="O1247" s="6" t="n">
        <v>1458</v>
      </c>
      <c r="P1247" s="6" t="n">
        <v>1</v>
      </c>
      <c r="Q1247" s="6">
        <f>IF(OR(K1247="On time",K1247="Late",K1247="Very late"),1,0)</f>
        <v/>
      </c>
    </row>
    <row r="1248">
      <c r="A1248" s="10" t="inlineStr">
        <is>
          <t>DN319480</t>
        </is>
      </c>
      <c r="B1248" s="10" t="inlineStr">
        <is>
          <t>SO63405</t>
        </is>
      </c>
      <c r="C1248" s="10" t="inlineStr">
        <is>
          <t>C11666</t>
        </is>
      </c>
      <c r="D1248" s="10">
        <f>INDEX(Customers!$B:$B,MATCH(C1248,Customers!$A:$A,0))</f>
        <v/>
      </c>
      <c r="E1248" s="10">
        <f>INDEX(Customers!$D:$D,MATCH(C1248,Customers!$A:$A,0))</f>
        <v/>
      </c>
      <c r="F1248" s="10" t="inlineStr">
        <is>
          <t>Own trucks</t>
        </is>
      </c>
      <c r="G1248" s="5" t="n">
        <v>46276</v>
      </c>
      <c r="H1248" s="5" t="n">
        <v>46279</v>
      </c>
      <c r="I1248" s="5" t="n">
        <v>46279</v>
      </c>
      <c r="J1248" s="10" t="inlineStr">
        <is>
          <t>08:40</t>
        </is>
      </c>
      <c r="K1248" s="10" t="inlineStr">
        <is>
          <t>On time</t>
        </is>
      </c>
      <c r="L1248" s="6" t="n">
        <v>0</v>
      </c>
      <c r="M1248" s="10" t="n"/>
      <c r="N1248" s="6" t="n">
        <v>33</v>
      </c>
      <c r="O1248" s="6" t="n">
        <v>2541</v>
      </c>
      <c r="P1248" s="6" t="n">
        <v>0</v>
      </c>
      <c r="Q1248" s="6">
        <f>IF(OR(K1248="On time",K1248="Late",K1248="Very late"),1,0)</f>
        <v/>
      </c>
    </row>
    <row r="1249">
      <c r="A1249" s="10" t="inlineStr">
        <is>
          <t>DN319481</t>
        </is>
      </c>
      <c r="B1249" s="10" t="inlineStr">
        <is>
          <t>SO63406</t>
        </is>
      </c>
      <c r="C1249" s="10" t="inlineStr">
        <is>
          <t>C11790</t>
        </is>
      </c>
      <c r="D1249" s="10">
        <f>INDEX(Customers!$B:$B,MATCH(C1249,Customers!$A:$A,0))</f>
        <v/>
      </c>
      <c r="E1249" s="10">
        <f>INDEX(Customers!$D:$D,MATCH(C1249,Customers!$A:$A,0))</f>
        <v/>
      </c>
      <c r="F1249" s="10" t="inlineStr">
        <is>
          <t>Carrier A</t>
        </is>
      </c>
      <c r="G1249" s="5" t="n">
        <v>46276</v>
      </c>
      <c r="H1249" s="5" t="n">
        <v>46279</v>
      </c>
      <c r="I1249" s="5" t="n">
        <v>46280</v>
      </c>
      <c r="J1249" s="10" t="inlineStr">
        <is>
          <t>15:10</t>
        </is>
      </c>
      <c r="K1249" s="10" t="inlineStr">
        <is>
          <t>Late</t>
        </is>
      </c>
      <c r="L1249" s="6" t="n">
        <v>1</v>
      </c>
      <c r="M1249" s="10" t="inlineStr">
        <is>
          <t>Run overloaded</t>
        </is>
      </c>
      <c r="N1249" s="6" t="n">
        <v>20</v>
      </c>
      <c r="O1249" s="6" t="n">
        <v>2240</v>
      </c>
      <c r="P1249" s="6" t="n">
        <v>1</v>
      </c>
      <c r="Q1249" s="6">
        <f>IF(OR(K1249="On time",K1249="Late",K1249="Very late"),1,0)</f>
        <v/>
      </c>
    </row>
    <row r="1250">
      <c r="A1250" s="10" t="inlineStr">
        <is>
          <t>DN319482</t>
        </is>
      </c>
      <c r="B1250" s="10" t="inlineStr">
        <is>
          <t>SO63408</t>
        </is>
      </c>
      <c r="C1250" s="10" t="inlineStr">
        <is>
          <t>C11971</t>
        </is>
      </c>
      <c r="D1250" s="10">
        <f>INDEX(Customers!$B:$B,MATCH(C1250,Customers!$A:$A,0))</f>
        <v/>
      </c>
      <c r="E1250" s="10">
        <f>INDEX(Customers!$D:$D,MATCH(C1250,Customers!$A:$A,0))</f>
        <v/>
      </c>
      <c r="F1250" s="10" t="inlineStr">
        <is>
          <t>Own trucks</t>
        </is>
      </c>
      <c r="G1250" s="5" t="n">
        <v>46276</v>
      </c>
      <c r="H1250" s="5" t="n">
        <v>46279</v>
      </c>
      <c r="I1250" s="5" t="n">
        <v>46279</v>
      </c>
      <c r="J1250" s="10" t="inlineStr">
        <is>
          <t>12:40</t>
        </is>
      </c>
      <c r="K1250" s="10" t="inlineStr">
        <is>
          <t>On time</t>
        </is>
      </c>
      <c r="L1250" s="6" t="n">
        <v>0</v>
      </c>
      <c r="M1250" s="10" t="n"/>
      <c r="N1250" s="6" t="n">
        <v>16</v>
      </c>
      <c r="O1250" s="6" t="n">
        <v>1472</v>
      </c>
      <c r="P1250" s="6" t="n">
        <v>1</v>
      </c>
      <c r="Q1250" s="6">
        <f>IF(OR(K1250="On time",K1250="Late",K1250="Very late"),1,0)</f>
        <v/>
      </c>
    </row>
    <row r="1251">
      <c r="A1251" s="10" t="inlineStr">
        <is>
          <t>DN319483</t>
        </is>
      </c>
      <c r="B1251" s="10" t="inlineStr">
        <is>
          <t>SO63409</t>
        </is>
      </c>
      <c r="C1251" s="10" t="inlineStr">
        <is>
          <t>C12037</t>
        </is>
      </c>
      <c r="D1251" s="10">
        <f>INDEX(Customers!$B:$B,MATCH(C1251,Customers!$A:$A,0))</f>
        <v/>
      </c>
      <c r="E1251" s="10">
        <f>INDEX(Customers!$D:$D,MATCH(C1251,Customers!$A:$A,0))</f>
        <v/>
      </c>
      <c r="F1251" s="10" t="inlineStr">
        <is>
          <t>Own trucks</t>
        </is>
      </c>
      <c r="G1251" s="5" t="n">
        <v>46276</v>
      </c>
      <c r="H1251" s="5" t="n">
        <v>46279</v>
      </c>
      <c r="I1251" s="5" t="n">
        <v>46279</v>
      </c>
      <c r="J1251" s="10" t="inlineStr">
        <is>
          <t>11:10</t>
        </is>
      </c>
      <c r="K1251" s="10" t="inlineStr">
        <is>
          <t>On time</t>
        </is>
      </c>
      <c r="L1251" s="6" t="n">
        <v>0</v>
      </c>
      <c r="M1251" s="10" t="n"/>
      <c r="N1251" s="6" t="n">
        <v>36</v>
      </c>
      <c r="O1251" s="6" t="n">
        <v>4500</v>
      </c>
      <c r="P1251" s="6" t="n">
        <v>1</v>
      </c>
      <c r="Q1251" s="6">
        <f>IF(OR(K1251="On time",K1251="Late",K1251="Very late"),1,0)</f>
        <v/>
      </c>
    </row>
    <row r="1252">
      <c r="A1252" s="10" t="inlineStr">
        <is>
          <t>DN319484</t>
        </is>
      </c>
      <c r="B1252" s="10" t="inlineStr">
        <is>
          <t>SO63410</t>
        </is>
      </c>
      <c r="C1252" s="10" t="inlineStr">
        <is>
          <t>C12103</t>
        </is>
      </c>
      <c r="D1252" s="10">
        <f>INDEX(Customers!$B:$B,MATCH(C1252,Customers!$A:$A,0))</f>
        <v/>
      </c>
      <c r="E1252" s="10">
        <f>INDEX(Customers!$D:$D,MATCH(C1252,Customers!$A:$A,0))</f>
        <v/>
      </c>
      <c r="F1252" s="10" t="inlineStr">
        <is>
          <t>Own trucks</t>
        </is>
      </c>
      <c r="G1252" s="5" t="n">
        <v>46276</v>
      </c>
      <c r="H1252" s="5" t="n">
        <v>46279</v>
      </c>
      <c r="I1252" s="5" t="n">
        <v>46279</v>
      </c>
      <c r="J1252" s="10" t="inlineStr">
        <is>
          <t>10:50</t>
        </is>
      </c>
      <c r="K1252" s="10" t="inlineStr">
        <is>
          <t>On time</t>
        </is>
      </c>
      <c r="L1252" s="6" t="n">
        <v>0</v>
      </c>
      <c r="M1252" s="10" t="n"/>
      <c r="N1252" s="6" t="n">
        <v>23</v>
      </c>
      <c r="O1252" s="6" t="n">
        <v>1495</v>
      </c>
      <c r="P1252" s="6" t="n">
        <v>1</v>
      </c>
      <c r="Q1252" s="6">
        <f>IF(OR(K1252="On time",K1252="Late",K1252="Very late"),1,0)</f>
        <v/>
      </c>
    </row>
    <row r="1253">
      <c r="A1253" s="10" t="inlineStr">
        <is>
          <t>DN319485</t>
        </is>
      </c>
      <c r="B1253" s="10" t="inlineStr">
        <is>
          <t>SO63411</t>
        </is>
      </c>
      <c r="C1253" s="10" t="inlineStr">
        <is>
          <t>C12183</t>
        </is>
      </c>
      <c r="D1253" s="10">
        <f>INDEX(Customers!$B:$B,MATCH(C1253,Customers!$A:$A,0))</f>
        <v/>
      </c>
      <c r="E1253" s="10">
        <f>INDEX(Customers!$D:$D,MATCH(C1253,Customers!$A:$A,0))</f>
        <v/>
      </c>
      <c r="F1253" s="10" t="inlineStr">
        <is>
          <t>Carrier B</t>
        </is>
      </c>
      <c r="G1253" s="5" t="n">
        <v>46276</v>
      </c>
      <c r="H1253" s="5" t="n">
        <v>46279</v>
      </c>
      <c r="I1253" s="5" t="n">
        <v>46279</v>
      </c>
      <c r="J1253" s="10" t="inlineStr">
        <is>
          <t>08:30</t>
        </is>
      </c>
      <c r="K1253" s="10" t="inlineStr">
        <is>
          <t>On time</t>
        </is>
      </c>
      <c r="L1253" s="6" t="n">
        <v>0</v>
      </c>
      <c r="M1253" s="10" t="n"/>
      <c r="N1253" s="6" t="n">
        <v>10</v>
      </c>
      <c r="O1253" s="6" t="n">
        <v>1200</v>
      </c>
      <c r="P1253" s="6" t="n">
        <v>1</v>
      </c>
      <c r="Q1253" s="6">
        <f>IF(OR(K1253="On time",K1253="Late",K1253="Very late"),1,0)</f>
        <v/>
      </c>
    </row>
    <row r="1254">
      <c r="A1254" s="10" t="inlineStr">
        <is>
          <t>DN319486</t>
        </is>
      </c>
      <c r="B1254" s="10" t="inlineStr">
        <is>
          <t>SO63412</t>
        </is>
      </c>
      <c r="C1254" s="10" t="inlineStr">
        <is>
          <t>C12239</t>
        </is>
      </c>
      <c r="D1254" s="10">
        <f>INDEX(Customers!$B:$B,MATCH(C1254,Customers!$A:$A,0))</f>
        <v/>
      </c>
      <c r="E1254" s="10">
        <f>INDEX(Customers!$D:$D,MATCH(C1254,Customers!$A:$A,0))</f>
        <v/>
      </c>
      <c r="F1254" s="10" t="inlineStr">
        <is>
          <t>Carrier B</t>
        </is>
      </c>
      <c r="G1254" s="5" t="n">
        <v>46276</v>
      </c>
      <c r="H1254" s="5" t="n">
        <v>46279</v>
      </c>
      <c r="I1254" s="5" t="n">
        <v>46279</v>
      </c>
      <c r="J1254" s="10" t="inlineStr">
        <is>
          <t>14:20</t>
        </is>
      </c>
      <c r="K1254" s="10" t="inlineStr">
        <is>
          <t>On time</t>
        </is>
      </c>
      <c r="L1254" s="6" t="n">
        <v>0</v>
      </c>
      <c r="M1254" s="10" t="n"/>
      <c r="N1254" s="6" t="n">
        <v>39</v>
      </c>
      <c r="O1254" s="6" t="n">
        <v>4563</v>
      </c>
      <c r="P1254" s="6" t="n">
        <v>1</v>
      </c>
      <c r="Q1254" s="6">
        <f>IF(OR(K1254="On time",K1254="Late",K1254="Very late"),1,0)</f>
        <v/>
      </c>
    </row>
    <row r="1255">
      <c r="A1255" s="10" t="inlineStr">
        <is>
          <t>DN319487</t>
        </is>
      </c>
      <c r="B1255" s="10" t="inlineStr">
        <is>
          <t>SO63413</t>
        </is>
      </c>
      <c r="C1255" s="10" t="inlineStr">
        <is>
          <t>C12262</t>
        </is>
      </c>
      <c r="D1255" s="10">
        <f>INDEX(Customers!$B:$B,MATCH(C1255,Customers!$A:$A,0))</f>
        <v/>
      </c>
      <c r="E1255" s="10">
        <f>INDEX(Customers!$D:$D,MATCH(C1255,Customers!$A:$A,0))</f>
        <v/>
      </c>
      <c r="F1255" s="10" t="inlineStr">
        <is>
          <t>Carrier B</t>
        </is>
      </c>
      <c r="G1255" s="5" t="n">
        <v>46276</v>
      </c>
      <c r="H1255" s="5" t="n">
        <v>46279</v>
      </c>
      <c r="I1255" s="5" t="n">
        <v>46279</v>
      </c>
      <c r="J1255" s="10" t="inlineStr">
        <is>
          <t>15:00</t>
        </is>
      </c>
      <c r="K1255" s="10" t="inlineStr">
        <is>
          <t>On time</t>
        </is>
      </c>
      <c r="L1255" s="6" t="n">
        <v>0</v>
      </c>
      <c r="M1255" s="10" t="n"/>
      <c r="N1255" s="6" t="n">
        <v>36</v>
      </c>
      <c r="O1255" s="6" t="n">
        <v>3420</v>
      </c>
      <c r="P1255" s="6" t="n">
        <v>1</v>
      </c>
      <c r="Q1255" s="6">
        <f>IF(OR(K1255="On time",K1255="Late",K1255="Very late"),1,0)</f>
        <v/>
      </c>
    </row>
    <row r="1256">
      <c r="A1256" s="10" t="inlineStr">
        <is>
          <t>DN319488</t>
        </is>
      </c>
      <c r="B1256" s="10" t="inlineStr">
        <is>
          <t>SO63414</t>
        </is>
      </c>
      <c r="C1256" s="10" t="inlineStr">
        <is>
          <t>C12305</t>
        </is>
      </c>
      <c r="D1256" s="10">
        <f>INDEX(Customers!$B:$B,MATCH(C1256,Customers!$A:$A,0))</f>
        <v/>
      </c>
      <c r="E1256" s="10">
        <f>INDEX(Customers!$D:$D,MATCH(C1256,Customers!$A:$A,0))</f>
        <v/>
      </c>
      <c r="F1256" s="10" t="inlineStr">
        <is>
          <t>Carrier B</t>
        </is>
      </c>
      <c r="G1256" s="5" t="n">
        <v>46276</v>
      </c>
      <c r="H1256" s="5" t="n">
        <v>46279</v>
      </c>
      <c r="I1256" s="5" t="n">
        <v>46280</v>
      </c>
      <c r="J1256" s="10" t="inlineStr">
        <is>
          <t>15:20</t>
        </is>
      </c>
      <c r="K1256" s="10" t="inlineStr">
        <is>
          <t>Late</t>
        </is>
      </c>
      <c r="L1256" s="6" t="n">
        <v>1</v>
      </c>
      <c r="M1256" s="10" t="inlineStr">
        <is>
          <t>Carrier delay</t>
        </is>
      </c>
      <c r="N1256" s="6" t="n">
        <v>7</v>
      </c>
      <c r="O1256" s="6" t="n">
        <v>756</v>
      </c>
      <c r="P1256" s="6" t="n">
        <v>1</v>
      </c>
      <c r="Q1256" s="6">
        <f>IF(OR(K1256="On time",K1256="Late",K1256="Very late"),1,0)</f>
        <v/>
      </c>
    </row>
    <row r="1257">
      <c r="A1257" s="10" t="inlineStr">
        <is>
          <t>DN319489</t>
        </is>
      </c>
      <c r="B1257" s="10" t="inlineStr">
        <is>
          <t>SO63415</t>
        </is>
      </c>
      <c r="C1257" s="10" t="inlineStr">
        <is>
          <t>C12371</t>
        </is>
      </c>
      <c r="D1257" s="10">
        <f>INDEX(Customers!$B:$B,MATCH(C1257,Customers!$A:$A,0))</f>
        <v/>
      </c>
      <c r="E1257" s="10">
        <f>INDEX(Customers!$D:$D,MATCH(C1257,Customers!$A:$A,0))</f>
        <v/>
      </c>
      <c r="F1257" s="10" t="inlineStr">
        <is>
          <t>Carrier A</t>
        </is>
      </c>
      <c r="G1257" s="5" t="n">
        <v>46276</v>
      </c>
      <c r="H1257" s="5" t="n">
        <v>46279</v>
      </c>
      <c r="I1257" s="5" t="n">
        <v>46279</v>
      </c>
      <c r="J1257" s="10" t="inlineStr">
        <is>
          <t>13:20</t>
        </is>
      </c>
      <c r="K1257" s="10" t="inlineStr">
        <is>
          <t>On time</t>
        </is>
      </c>
      <c r="L1257" s="6" t="n">
        <v>0</v>
      </c>
      <c r="M1257" s="10" t="n"/>
      <c r="N1257" s="6" t="n">
        <v>8</v>
      </c>
      <c r="O1257" s="6" t="n">
        <v>1088</v>
      </c>
      <c r="P1257" s="6" t="n">
        <v>1</v>
      </c>
      <c r="Q1257" s="6">
        <f>IF(OR(K1257="On time",K1257="Late",K1257="Very late"),1,0)</f>
        <v/>
      </c>
    </row>
    <row r="1258">
      <c r="A1258" s="10" t="inlineStr">
        <is>
          <t>DN319490</t>
        </is>
      </c>
      <c r="B1258" s="10" t="inlineStr">
        <is>
          <t>SO63416</t>
        </is>
      </c>
      <c r="C1258" s="10" t="inlineStr">
        <is>
          <t>C12389</t>
        </is>
      </c>
      <c r="D1258" s="10">
        <f>INDEX(Customers!$B:$B,MATCH(C1258,Customers!$A:$A,0))</f>
        <v/>
      </c>
      <c r="E1258" s="10">
        <f>INDEX(Customers!$D:$D,MATCH(C1258,Customers!$A:$A,0))</f>
        <v/>
      </c>
      <c r="F1258" s="10" t="inlineStr">
        <is>
          <t>Carrier A</t>
        </is>
      </c>
      <c r="G1258" s="5" t="n">
        <v>46276</v>
      </c>
      <c r="H1258" s="5" t="n">
        <v>46279</v>
      </c>
      <c r="I1258" s="5" t="n">
        <v>46279</v>
      </c>
      <c r="J1258" s="10" t="inlineStr">
        <is>
          <t>07:10</t>
        </is>
      </c>
      <c r="K1258" s="10" t="inlineStr">
        <is>
          <t>On time</t>
        </is>
      </c>
      <c r="L1258" s="6" t="n">
        <v>0</v>
      </c>
      <c r="M1258" s="10" t="n"/>
      <c r="N1258" s="6" t="n">
        <v>25</v>
      </c>
      <c r="O1258" s="6" t="n">
        <v>2625</v>
      </c>
      <c r="P1258" s="6" t="n">
        <v>1</v>
      </c>
      <c r="Q1258" s="6">
        <f>IF(OR(K1258="On time",K1258="Late",K1258="Very late"),1,0)</f>
        <v/>
      </c>
    </row>
    <row r="1259">
      <c r="A1259" s="10" t="inlineStr">
        <is>
          <t>DN319491</t>
        </is>
      </c>
      <c r="B1259" s="10" t="inlineStr">
        <is>
          <t>SO63417</t>
        </is>
      </c>
      <c r="C1259" s="10" t="inlineStr">
        <is>
          <t>C12420</t>
        </is>
      </c>
      <c r="D1259" s="10">
        <f>INDEX(Customers!$B:$B,MATCH(C1259,Customers!$A:$A,0))</f>
        <v/>
      </c>
      <c r="E1259" s="10">
        <f>INDEX(Customers!$D:$D,MATCH(C1259,Customers!$A:$A,0))</f>
        <v/>
      </c>
      <c r="F1259" s="10" t="inlineStr">
        <is>
          <t>Carrier A</t>
        </is>
      </c>
      <c r="G1259" s="5" t="n">
        <v>46276</v>
      </c>
      <c r="H1259" s="5" t="n">
        <v>46279</v>
      </c>
      <c r="I1259" s="5" t="n">
        <v>46279</v>
      </c>
      <c r="J1259" s="10" t="inlineStr">
        <is>
          <t>11:50</t>
        </is>
      </c>
      <c r="K1259" s="10" t="inlineStr">
        <is>
          <t>On time</t>
        </is>
      </c>
      <c r="L1259" s="6" t="n">
        <v>0</v>
      </c>
      <c r="M1259" s="10" t="n"/>
      <c r="N1259" s="6" t="n">
        <v>36</v>
      </c>
      <c r="O1259" s="6" t="n">
        <v>2304</v>
      </c>
      <c r="P1259" s="6" t="n">
        <v>1</v>
      </c>
      <c r="Q1259" s="6">
        <f>IF(OR(K1259="On time",K1259="Late",K1259="Very late"),1,0)</f>
        <v/>
      </c>
    </row>
    <row r="1260">
      <c r="A1260" s="10" t="inlineStr">
        <is>
          <t>DN319492</t>
        </is>
      </c>
      <c r="B1260" s="10" t="inlineStr">
        <is>
          <t>SO63419</t>
        </is>
      </c>
      <c r="C1260" s="10" t="inlineStr">
        <is>
          <t>C12527</t>
        </is>
      </c>
      <c r="D1260" s="10">
        <f>INDEX(Customers!$B:$B,MATCH(C1260,Customers!$A:$A,0))</f>
        <v/>
      </c>
      <c r="E1260" s="10">
        <f>INDEX(Customers!$D:$D,MATCH(C1260,Customers!$A:$A,0))</f>
        <v/>
      </c>
      <c r="F1260" s="10" t="inlineStr">
        <is>
          <t>Carrier A</t>
        </is>
      </c>
      <c r="G1260" s="5" t="n">
        <v>46276</v>
      </c>
      <c r="H1260" s="5" t="n">
        <v>46279</v>
      </c>
      <c r="I1260" s="5" t="n">
        <v>46280</v>
      </c>
      <c r="J1260" s="10" t="inlineStr">
        <is>
          <t>13:00</t>
        </is>
      </c>
      <c r="K1260" s="10" t="inlineStr">
        <is>
          <t>Late</t>
        </is>
      </c>
      <c r="L1260" s="6" t="n">
        <v>1</v>
      </c>
      <c r="M1260" s="10" t="inlineStr">
        <is>
          <t>Carrier delay</t>
        </is>
      </c>
      <c r="N1260" s="6" t="n">
        <v>25</v>
      </c>
      <c r="O1260" s="6" t="n">
        <v>1900</v>
      </c>
      <c r="P1260" s="6" t="n">
        <v>1</v>
      </c>
      <c r="Q1260" s="6">
        <f>IF(OR(K1260="On time",K1260="Late",K1260="Very late"),1,0)</f>
        <v/>
      </c>
    </row>
    <row r="1261">
      <c r="A1261" s="10" t="inlineStr">
        <is>
          <t>DN319493</t>
        </is>
      </c>
      <c r="B1261" s="10" t="inlineStr">
        <is>
          <t>SO63420</t>
        </is>
      </c>
      <c r="C1261" s="10" t="inlineStr">
        <is>
          <t>C12543</t>
        </is>
      </c>
      <c r="D1261" s="10">
        <f>INDEX(Customers!$B:$B,MATCH(C1261,Customers!$A:$A,0))</f>
        <v/>
      </c>
      <c r="E1261" s="10">
        <f>INDEX(Customers!$D:$D,MATCH(C1261,Customers!$A:$A,0))</f>
        <v/>
      </c>
      <c r="F1261" s="10" t="inlineStr">
        <is>
          <t>Carrier B</t>
        </is>
      </c>
      <c r="G1261" s="5" t="n">
        <v>46275</v>
      </c>
      <c r="H1261" s="5" t="n">
        <v>46279</v>
      </c>
      <c r="I1261" s="5" t="n">
        <v>46279</v>
      </c>
      <c r="J1261" s="10" t="inlineStr">
        <is>
          <t>10:10</t>
        </is>
      </c>
      <c r="K1261" s="10" t="inlineStr">
        <is>
          <t>On time</t>
        </is>
      </c>
      <c r="L1261" s="6" t="n">
        <v>0</v>
      </c>
      <c r="M1261" s="10" t="n"/>
      <c r="N1261" s="6" t="n">
        <v>19</v>
      </c>
      <c r="O1261" s="6" t="n">
        <v>1216</v>
      </c>
      <c r="P1261" s="6" t="n">
        <v>1</v>
      </c>
      <c r="Q1261" s="6">
        <f>IF(OR(K1261="On time",K1261="Late",K1261="Very late"),1,0)</f>
        <v/>
      </c>
    </row>
    <row r="1262">
      <c r="A1262" s="10" t="inlineStr">
        <is>
          <t>DN319494</t>
        </is>
      </c>
      <c r="B1262" s="10" t="inlineStr">
        <is>
          <t>SO63421</t>
        </is>
      </c>
      <c r="C1262" s="10" t="inlineStr">
        <is>
          <t>C12617</t>
        </is>
      </c>
      <c r="D1262" s="10">
        <f>INDEX(Customers!$B:$B,MATCH(C1262,Customers!$A:$A,0))</f>
        <v/>
      </c>
      <c r="E1262" s="10">
        <f>INDEX(Customers!$D:$D,MATCH(C1262,Customers!$A:$A,0))</f>
        <v/>
      </c>
      <c r="F1262" s="10" t="inlineStr">
        <is>
          <t>Carrier B</t>
        </is>
      </c>
      <c r="G1262" s="5" t="n">
        <v>46275</v>
      </c>
      <c r="H1262" s="5" t="n">
        <v>46279</v>
      </c>
      <c r="I1262" s="5" t="n">
        <v>46279</v>
      </c>
      <c r="J1262" s="10" t="inlineStr">
        <is>
          <t>07:00</t>
        </is>
      </c>
      <c r="K1262" s="10" t="inlineStr">
        <is>
          <t>On time</t>
        </is>
      </c>
      <c r="L1262" s="6" t="n">
        <v>0</v>
      </c>
      <c r="M1262" s="10" t="n"/>
      <c r="N1262" s="6" t="n">
        <v>16</v>
      </c>
      <c r="O1262" s="6" t="n">
        <v>1824</v>
      </c>
      <c r="P1262" s="6" t="n">
        <v>1</v>
      </c>
      <c r="Q1262" s="6">
        <f>IF(OR(K1262="On time",K1262="Late",K1262="Very late"),1,0)</f>
        <v/>
      </c>
    </row>
    <row r="1263">
      <c r="A1263" s="10" t="inlineStr">
        <is>
          <t>DN319495</t>
        </is>
      </c>
      <c r="B1263" s="10" t="inlineStr">
        <is>
          <t>SO63422</t>
        </is>
      </c>
      <c r="C1263" s="10" t="inlineStr">
        <is>
          <t>C12631</t>
        </is>
      </c>
      <c r="D1263" s="10">
        <f>INDEX(Customers!$B:$B,MATCH(C1263,Customers!$A:$A,0))</f>
        <v/>
      </c>
      <c r="E1263" s="10">
        <f>INDEX(Customers!$D:$D,MATCH(C1263,Customers!$A:$A,0))</f>
        <v/>
      </c>
      <c r="F1263" s="10" t="inlineStr">
        <is>
          <t>Carrier B</t>
        </is>
      </c>
      <c r="G1263" s="5" t="n">
        <v>46275</v>
      </c>
      <c r="H1263" s="5" t="n">
        <v>46279</v>
      </c>
      <c r="I1263" s="5" t="n">
        <v>46279</v>
      </c>
      <c r="J1263" s="10" t="inlineStr">
        <is>
          <t>14:10</t>
        </is>
      </c>
      <c r="K1263" s="10" t="inlineStr">
        <is>
          <t>On time</t>
        </is>
      </c>
      <c r="L1263" s="6" t="n">
        <v>0</v>
      </c>
      <c r="M1263" s="10" t="n"/>
      <c r="N1263" s="6" t="n">
        <v>4</v>
      </c>
      <c r="O1263" s="6" t="n">
        <v>404</v>
      </c>
      <c r="P1263" s="6" t="n">
        <v>1</v>
      </c>
      <c r="Q1263" s="6">
        <f>IF(OR(K1263="On time",K1263="Late",K1263="Very late"),1,0)</f>
        <v/>
      </c>
    </row>
    <row r="1264">
      <c r="A1264" s="10" t="inlineStr">
        <is>
          <t>DN319496</t>
        </is>
      </c>
      <c r="B1264" s="10" t="inlineStr">
        <is>
          <t>SO63423</t>
        </is>
      </c>
      <c r="C1264" s="10" t="inlineStr">
        <is>
          <t>C12639</t>
        </is>
      </c>
      <c r="D1264" s="10">
        <f>INDEX(Customers!$B:$B,MATCH(C1264,Customers!$A:$A,0))</f>
        <v/>
      </c>
      <c r="E1264" s="10">
        <f>INDEX(Customers!$D:$D,MATCH(C1264,Customers!$A:$A,0))</f>
        <v/>
      </c>
      <c r="F1264" s="10" t="inlineStr">
        <is>
          <t>Carrier B</t>
        </is>
      </c>
      <c r="G1264" s="5" t="n">
        <v>46275</v>
      </c>
      <c r="H1264" s="5" t="n">
        <v>46279</v>
      </c>
      <c r="I1264" s="5" t="n">
        <v>46279</v>
      </c>
      <c r="J1264" s="10" t="inlineStr">
        <is>
          <t>07:30</t>
        </is>
      </c>
      <c r="K1264" s="10" t="inlineStr">
        <is>
          <t>On time</t>
        </is>
      </c>
      <c r="L1264" s="6" t="n">
        <v>0</v>
      </c>
      <c r="M1264" s="10" t="n"/>
      <c r="N1264" s="6" t="n">
        <v>13</v>
      </c>
      <c r="O1264" s="6" t="n">
        <v>832</v>
      </c>
      <c r="P1264" s="6" t="n">
        <v>1</v>
      </c>
      <c r="Q1264" s="6">
        <f>IF(OR(K1264="On time",K1264="Late",K1264="Very late"),1,0)</f>
        <v/>
      </c>
    </row>
    <row r="1265">
      <c r="A1265" s="10" t="inlineStr">
        <is>
          <t>DN319497</t>
        </is>
      </c>
      <c r="B1265" s="10" t="inlineStr">
        <is>
          <t>SO63424</t>
        </is>
      </c>
      <c r="C1265" s="10" t="inlineStr">
        <is>
          <t>C12675</t>
        </is>
      </c>
      <c r="D1265" s="10">
        <f>INDEX(Customers!$B:$B,MATCH(C1265,Customers!$A:$A,0))</f>
        <v/>
      </c>
      <c r="E1265" s="10">
        <f>INDEX(Customers!$D:$D,MATCH(C1265,Customers!$A:$A,0))</f>
        <v/>
      </c>
      <c r="F1265" s="10" t="inlineStr">
        <is>
          <t>Carrier B</t>
        </is>
      </c>
      <c r="G1265" s="5" t="n">
        <v>46275</v>
      </c>
      <c r="H1265" s="5" t="n">
        <v>46279</v>
      </c>
      <c r="I1265" s="5" t="n">
        <v>46279</v>
      </c>
      <c r="J1265" s="10" t="inlineStr">
        <is>
          <t>15:40</t>
        </is>
      </c>
      <c r="K1265" s="10" t="inlineStr">
        <is>
          <t>On time</t>
        </is>
      </c>
      <c r="L1265" s="6" t="n">
        <v>0</v>
      </c>
      <c r="M1265" s="10" t="n"/>
      <c r="N1265" s="6" t="n">
        <v>37</v>
      </c>
      <c r="O1265" s="6" t="n">
        <v>2886</v>
      </c>
      <c r="P1265" s="6" t="n">
        <v>1</v>
      </c>
      <c r="Q1265" s="6">
        <f>IF(OR(K1265="On time",K1265="Late",K1265="Very late"),1,0)</f>
        <v/>
      </c>
    </row>
    <row r="1266">
      <c r="A1266" s="10" t="inlineStr">
        <is>
          <t>DN319498</t>
        </is>
      </c>
      <c r="B1266" s="10" t="inlineStr">
        <is>
          <t>SO63425</t>
        </is>
      </c>
      <c r="C1266" s="10" t="inlineStr">
        <is>
          <t>C10268</t>
        </is>
      </c>
      <c r="D1266" s="10">
        <f>INDEX(Customers!$B:$B,MATCH(C1266,Customers!$A:$A,0))</f>
        <v/>
      </c>
      <c r="E1266" s="10">
        <f>INDEX(Customers!$D:$D,MATCH(C1266,Customers!$A:$A,0))</f>
        <v/>
      </c>
      <c r="F1266" s="10" t="inlineStr">
        <is>
          <t>Own trucks</t>
        </is>
      </c>
      <c r="G1266" s="5" t="n">
        <v>46279</v>
      </c>
      <c r="H1266" s="5" t="n">
        <v>46280</v>
      </c>
      <c r="I1266" s="5" t="n">
        <v>46280</v>
      </c>
      <c r="J1266" s="10" t="inlineStr">
        <is>
          <t>15:20</t>
        </is>
      </c>
      <c r="K1266" s="10" t="inlineStr">
        <is>
          <t>On time</t>
        </is>
      </c>
      <c r="L1266" s="6" t="n">
        <v>0</v>
      </c>
      <c r="M1266" s="10" t="n"/>
      <c r="N1266" s="6" t="n">
        <v>15</v>
      </c>
      <c r="O1266" s="6" t="n">
        <v>855</v>
      </c>
      <c r="P1266" s="6" t="n">
        <v>1</v>
      </c>
      <c r="Q1266" s="6">
        <f>IF(OR(K1266="On time",K1266="Late",K1266="Very late"),1,0)</f>
        <v/>
      </c>
    </row>
    <row r="1267">
      <c r="A1267" s="10" t="inlineStr">
        <is>
          <t>DN319499</t>
        </is>
      </c>
      <c r="B1267" s="10" t="inlineStr">
        <is>
          <t>SO63426</t>
        </is>
      </c>
      <c r="C1267" s="10" t="inlineStr">
        <is>
          <t>C10322</t>
        </is>
      </c>
      <c r="D1267" s="10">
        <f>INDEX(Customers!$B:$B,MATCH(C1267,Customers!$A:$A,0))</f>
        <v/>
      </c>
      <c r="E1267" s="10">
        <f>INDEX(Customers!$D:$D,MATCH(C1267,Customers!$A:$A,0))</f>
        <v/>
      </c>
      <c r="F1267" s="10" t="inlineStr">
        <is>
          <t>Same-day courier</t>
        </is>
      </c>
      <c r="G1267" s="5" t="n">
        <v>46279</v>
      </c>
      <c r="H1267" s="5" t="n">
        <v>46280</v>
      </c>
      <c r="I1267" s="5" t="n">
        <v>46280</v>
      </c>
      <c r="J1267" s="10" t="inlineStr">
        <is>
          <t>07:20</t>
        </is>
      </c>
      <c r="K1267" s="10" t="inlineStr">
        <is>
          <t>On time</t>
        </is>
      </c>
      <c r="L1267" s="6" t="n">
        <v>0</v>
      </c>
      <c r="M1267" s="10" t="n"/>
      <c r="N1267" s="6" t="n">
        <v>3</v>
      </c>
      <c r="O1267" s="6" t="n">
        <v>408</v>
      </c>
      <c r="P1267" s="6" t="n">
        <v>1</v>
      </c>
      <c r="Q1267" s="6">
        <f>IF(OR(K1267="On time",K1267="Late",K1267="Very late"),1,0)</f>
        <v/>
      </c>
    </row>
    <row r="1268">
      <c r="A1268" s="10" t="inlineStr">
        <is>
          <t>DN319500</t>
        </is>
      </c>
      <c r="B1268" s="10" t="inlineStr">
        <is>
          <t>SO63428</t>
        </is>
      </c>
      <c r="C1268" s="10" t="inlineStr">
        <is>
          <t>C10343</t>
        </is>
      </c>
      <c r="D1268" s="10">
        <f>INDEX(Customers!$B:$B,MATCH(C1268,Customers!$A:$A,0))</f>
        <v/>
      </c>
      <c r="E1268" s="10">
        <f>INDEX(Customers!$D:$D,MATCH(C1268,Customers!$A:$A,0))</f>
        <v/>
      </c>
      <c r="F1268" s="10" t="inlineStr">
        <is>
          <t>Own trucks</t>
        </is>
      </c>
      <c r="G1268" s="5" t="n">
        <v>46279</v>
      </c>
      <c r="H1268" s="5" t="n">
        <v>46280</v>
      </c>
      <c r="I1268" s="5" t="n">
        <v>46280</v>
      </c>
      <c r="J1268" s="10" t="inlineStr">
        <is>
          <t>10:10</t>
        </is>
      </c>
      <c r="K1268" s="10" t="inlineStr">
        <is>
          <t>On time</t>
        </is>
      </c>
      <c r="L1268" s="6" t="n">
        <v>0</v>
      </c>
      <c r="M1268" s="10" t="n"/>
      <c r="N1268" s="6" t="n">
        <v>21</v>
      </c>
      <c r="O1268" s="6" t="n">
        <v>2793</v>
      </c>
      <c r="P1268" s="6" t="n">
        <v>1</v>
      </c>
      <c r="Q1268" s="6">
        <f>IF(OR(K1268="On time",K1268="Late",K1268="Very late"),1,0)</f>
        <v/>
      </c>
    </row>
    <row r="1269">
      <c r="A1269" s="10" t="inlineStr">
        <is>
          <t>DN319501</t>
        </is>
      </c>
      <c r="B1269" s="10" t="inlineStr">
        <is>
          <t>SO63429</t>
        </is>
      </c>
      <c r="C1269" s="10" t="inlineStr">
        <is>
          <t>C10446</t>
        </is>
      </c>
      <c r="D1269" s="10">
        <f>INDEX(Customers!$B:$B,MATCH(C1269,Customers!$A:$A,0))</f>
        <v/>
      </c>
      <c r="E1269" s="10">
        <f>INDEX(Customers!$D:$D,MATCH(C1269,Customers!$A:$A,0))</f>
        <v/>
      </c>
      <c r="F1269" s="10" t="inlineStr">
        <is>
          <t>Own trucks</t>
        </is>
      </c>
      <c r="G1269" s="5" t="n">
        <v>46279</v>
      </c>
      <c r="H1269" s="5" t="n">
        <v>46280</v>
      </c>
      <c r="I1269" s="5" t="n">
        <v>46280</v>
      </c>
      <c r="J1269" s="10" t="inlineStr">
        <is>
          <t>07:30</t>
        </is>
      </c>
      <c r="K1269" s="10" t="inlineStr">
        <is>
          <t>On time</t>
        </is>
      </c>
      <c r="L1269" s="6" t="n">
        <v>0</v>
      </c>
      <c r="M1269" s="10" t="n"/>
      <c r="N1269" s="6" t="n">
        <v>36</v>
      </c>
      <c r="O1269" s="6" t="n">
        <v>3528</v>
      </c>
      <c r="P1269" s="6" t="n">
        <v>1</v>
      </c>
      <c r="Q1269" s="6">
        <f>IF(OR(K1269="On time",K1269="Late",K1269="Very late"),1,0)</f>
        <v/>
      </c>
    </row>
    <row r="1270">
      <c r="A1270" s="10" t="inlineStr">
        <is>
          <t>DN319502</t>
        </is>
      </c>
      <c r="B1270" s="10" t="inlineStr">
        <is>
          <t>SO63430</t>
        </is>
      </c>
      <c r="C1270" s="10" t="inlineStr">
        <is>
          <t>C10515</t>
        </is>
      </c>
      <c r="D1270" s="10">
        <f>INDEX(Customers!$B:$B,MATCH(C1270,Customers!$A:$A,0))</f>
        <v/>
      </c>
      <c r="E1270" s="10">
        <f>INDEX(Customers!$D:$D,MATCH(C1270,Customers!$A:$A,0))</f>
        <v/>
      </c>
      <c r="F1270" s="10" t="inlineStr">
        <is>
          <t>Own trucks</t>
        </is>
      </c>
      <c r="G1270" s="5" t="n">
        <v>46279</v>
      </c>
      <c r="H1270" s="5" t="n">
        <v>46280</v>
      </c>
      <c r="I1270" s="5" t="n">
        <v>46280</v>
      </c>
      <c r="J1270" s="10" t="inlineStr">
        <is>
          <t>12:50</t>
        </is>
      </c>
      <c r="K1270" s="10" t="inlineStr">
        <is>
          <t>On time</t>
        </is>
      </c>
      <c r="L1270" s="6" t="n">
        <v>0</v>
      </c>
      <c r="M1270" s="10" t="n"/>
      <c r="N1270" s="6" t="n">
        <v>36</v>
      </c>
      <c r="O1270" s="6" t="n">
        <v>3456</v>
      </c>
      <c r="P1270" s="6" t="n">
        <v>1</v>
      </c>
      <c r="Q1270" s="6">
        <f>IF(OR(K1270="On time",K1270="Late",K1270="Very late"),1,0)</f>
        <v/>
      </c>
    </row>
    <row r="1271">
      <c r="A1271" s="10" t="inlineStr">
        <is>
          <t>DN319503</t>
        </is>
      </c>
      <c r="B1271" s="10" t="inlineStr">
        <is>
          <t>SO63431</t>
        </is>
      </c>
      <c r="C1271" s="10" t="inlineStr">
        <is>
          <t>C10522</t>
        </is>
      </c>
      <c r="D1271" s="10">
        <f>INDEX(Customers!$B:$B,MATCH(C1271,Customers!$A:$A,0))</f>
        <v/>
      </c>
      <c r="E1271" s="10">
        <f>INDEX(Customers!$D:$D,MATCH(C1271,Customers!$A:$A,0))</f>
        <v/>
      </c>
      <c r="F1271" s="10" t="inlineStr">
        <is>
          <t>Own trucks</t>
        </is>
      </c>
      <c r="G1271" s="5" t="n">
        <v>46279</v>
      </c>
      <c r="H1271" s="5" t="n">
        <v>46280</v>
      </c>
      <c r="I1271" s="5" t="n">
        <v>46280</v>
      </c>
      <c r="J1271" s="10" t="inlineStr">
        <is>
          <t>08:30</t>
        </is>
      </c>
      <c r="K1271" s="10" t="inlineStr">
        <is>
          <t>On time</t>
        </is>
      </c>
      <c r="L1271" s="6" t="n">
        <v>0</v>
      </c>
      <c r="M1271" s="10" t="n"/>
      <c r="N1271" s="6" t="n">
        <v>5</v>
      </c>
      <c r="O1271" s="6" t="n">
        <v>645</v>
      </c>
      <c r="P1271" s="6" t="n">
        <v>1</v>
      </c>
      <c r="Q1271" s="6">
        <f>IF(OR(K1271="On time",K1271="Late",K1271="Very late"),1,0)</f>
        <v/>
      </c>
    </row>
    <row r="1272">
      <c r="A1272" s="10" t="inlineStr">
        <is>
          <t>DN319504</t>
        </is>
      </c>
      <c r="B1272" s="10" t="inlineStr">
        <is>
          <t>SO63432</t>
        </is>
      </c>
      <c r="C1272" s="10" t="inlineStr">
        <is>
          <t>C10536</t>
        </is>
      </c>
      <c r="D1272" s="10">
        <f>INDEX(Customers!$B:$B,MATCH(C1272,Customers!$A:$A,0))</f>
        <v/>
      </c>
      <c r="E1272" s="10">
        <f>INDEX(Customers!$D:$D,MATCH(C1272,Customers!$A:$A,0))</f>
        <v/>
      </c>
      <c r="F1272" s="10" t="inlineStr">
        <is>
          <t>Own trucks</t>
        </is>
      </c>
      <c r="G1272" s="5" t="n">
        <v>46279</v>
      </c>
      <c r="H1272" s="5" t="n">
        <v>46280</v>
      </c>
      <c r="I1272" s="5" t="n">
        <v>46280</v>
      </c>
      <c r="J1272" s="10" t="inlineStr">
        <is>
          <t>14:30</t>
        </is>
      </c>
      <c r="K1272" s="10" t="inlineStr">
        <is>
          <t>On time</t>
        </is>
      </c>
      <c r="L1272" s="6" t="n">
        <v>0</v>
      </c>
      <c r="M1272" s="10" t="n"/>
      <c r="N1272" s="6" t="n">
        <v>23</v>
      </c>
      <c r="O1272" s="6" t="n">
        <v>1886</v>
      </c>
      <c r="P1272" s="6" t="n">
        <v>1</v>
      </c>
      <c r="Q1272" s="6">
        <f>IF(OR(K1272="On time",K1272="Late",K1272="Very late"),1,0)</f>
        <v/>
      </c>
    </row>
    <row r="1273">
      <c r="A1273" s="10" t="inlineStr">
        <is>
          <t>DN319505</t>
        </is>
      </c>
      <c r="B1273" s="10" t="inlineStr">
        <is>
          <t>SO63433</t>
        </is>
      </c>
      <c r="C1273" s="10" t="inlineStr">
        <is>
          <t>C10589</t>
        </is>
      </c>
      <c r="D1273" s="10">
        <f>INDEX(Customers!$B:$B,MATCH(C1273,Customers!$A:$A,0))</f>
        <v/>
      </c>
      <c r="E1273" s="10">
        <f>INDEX(Customers!$D:$D,MATCH(C1273,Customers!$A:$A,0))</f>
        <v/>
      </c>
      <c r="F1273" s="10" t="inlineStr">
        <is>
          <t>Own trucks</t>
        </is>
      </c>
      <c r="G1273" s="5" t="n">
        <v>46279</v>
      </c>
      <c r="H1273" s="5" t="n">
        <v>46280</v>
      </c>
      <c r="I1273" s="5" t="n">
        <v>46280</v>
      </c>
      <c r="J1273" s="10" t="inlineStr">
        <is>
          <t>13:40</t>
        </is>
      </c>
      <c r="K1273" s="10" t="inlineStr">
        <is>
          <t>On time</t>
        </is>
      </c>
      <c r="L1273" s="6" t="n">
        <v>0</v>
      </c>
      <c r="M1273" s="10" t="n"/>
      <c r="N1273" s="6" t="n">
        <v>15</v>
      </c>
      <c r="O1273" s="6" t="n">
        <v>1335</v>
      </c>
      <c r="P1273" s="6" t="n">
        <v>1</v>
      </c>
      <c r="Q1273" s="6">
        <f>IF(OR(K1273="On time",K1273="Late",K1273="Very late"),1,0)</f>
        <v/>
      </c>
    </row>
    <row r="1274">
      <c r="A1274" s="10" t="inlineStr">
        <is>
          <t>DN319506</t>
        </is>
      </c>
      <c r="B1274" s="10" t="inlineStr">
        <is>
          <t>SO63434</t>
        </is>
      </c>
      <c r="C1274" s="10" t="inlineStr">
        <is>
          <t>C10622</t>
        </is>
      </c>
      <c r="D1274" s="10">
        <f>INDEX(Customers!$B:$B,MATCH(C1274,Customers!$A:$A,0))</f>
        <v/>
      </c>
      <c r="E1274" s="10">
        <f>INDEX(Customers!$D:$D,MATCH(C1274,Customers!$A:$A,0))</f>
        <v/>
      </c>
      <c r="F1274" s="10" t="inlineStr">
        <is>
          <t>Own trucks</t>
        </is>
      </c>
      <c r="G1274" s="5" t="n">
        <v>46279</v>
      </c>
      <c r="H1274" s="5" t="n">
        <v>46280</v>
      </c>
      <c r="I1274" s="5" t="n">
        <v>46280</v>
      </c>
      <c r="J1274" s="10" t="inlineStr">
        <is>
          <t>16:50</t>
        </is>
      </c>
      <c r="K1274" s="10" t="inlineStr">
        <is>
          <t>On time</t>
        </is>
      </c>
      <c r="L1274" s="6" t="n">
        <v>0</v>
      </c>
      <c r="M1274" s="10" t="n"/>
      <c r="N1274" s="6" t="n">
        <v>15</v>
      </c>
      <c r="O1274" s="6" t="n">
        <v>825</v>
      </c>
      <c r="P1274" s="6" t="n">
        <v>1</v>
      </c>
      <c r="Q1274" s="6">
        <f>IF(OR(K1274="On time",K1274="Late",K1274="Very late"),1,0)</f>
        <v/>
      </c>
    </row>
    <row r="1275">
      <c r="A1275" s="10" t="inlineStr">
        <is>
          <t>DN319507</t>
        </is>
      </c>
      <c r="B1275" s="10" t="inlineStr">
        <is>
          <t>SO63436</t>
        </is>
      </c>
      <c r="C1275" s="10" t="inlineStr">
        <is>
          <t>C10648</t>
        </is>
      </c>
      <c r="D1275" s="10">
        <f>INDEX(Customers!$B:$B,MATCH(C1275,Customers!$A:$A,0))</f>
        <v/>
      </c>
      <c r="E1275" s="10">
        <f>INDEX(Customers!$D:$D,MATCH(C1275,Customers!$A:$A,0))</f>
        <v/>
      </c>
      <c r="F1275" s="10" t="inlineStr">
        <is>
          <t>Own trucks</t>
        </is>
      </c>
      <c r="G1275" s="5" t="n">
        <v>46279</v>
      </c>
      <c r="H1275" s="5" t="n">
        <v>46280</v>
      </c>
      <c r="I1275" s="5" t="n">
        <v>46280</v>
      </c>
      <c r="J1275" s="10" t="inlineStr">
        <is>
          <t>10:50</t>
        </is>
      </c>
      <c r="K1275" s="10" t="inlineStr">
        <is>
          <t>On time</t>
        </is>
      </c>
      <c r="L1275" s="6" t="n">
        <v>0</v>
      </c>
      <c r="M1275" s="10" t="n"/>
      <c r="N1275" s="6" t="n">
        <v>9</v>
      </c>
      <c r="O1275" s="6" t="n">
        <v>1017</v>
      </c>
      <c r="P1275" s="6" t="n">
        <v>1</v>
      </c>
      <c r="Q1275" s="6">
        <f>IF(OR(K1275="On time",K1275="Late",K1275="Very late"),1,0)</f>
        <v/>
      </c>
    </row>
    <row r="1276">
      <c r="A1276" s="10" t="inlineStr">
        <is>
          <t>DN319508</t>
        </is>
      </c>
      <c r="B1276" s="10" t="inlineStr">
        <is>
          <t>SO63438</t>
        </is>
      </c>
      <c r="C1276" s="10" t="inlineStr">
        <is>
          <t>C10676</t>
        </is>
      </c>
      <c r="D1276" s="10">
        <f>INDEX(Customers!$B:$B,MATCH(C1276,Customers!$A:$A,0))</f>
        <v/>
      </c>
      <c r="E1276" s="10">
        <f>INDEX(Customers!$D:$D,MATCH(C1276,Customers!$A:$A,0))</f>
        <v/>
      </c>
      <c r="F1276" s="10" t="inlineStr">
        <is>
          <t>Own trucks</t>
        </is>
      </c>
      <c r="G1276" s="5" t="n">
        <v>46279</v>
      </c>
      <c r="H1276" s="5" t="n">
        <v>46280</v>
      </c>
      <c r="I1276" s="5" t="n">
        <v>46280</v>
      </c>
      <c r="J1276" s="10" t="inlineStr">
        <is>
          <t>09:00</t>
        </is>
      </c>
      <c r="K1276" s="10" t="inlineStr">
        <is>
          <t>On time</t>
        </is>
      </c>
      <c r="L1276" s="6" t="n">
        <v>0</v>
      </c>
      <c r="M1276" s="10" t="n"/>
      <c r="N1276" s="6" t="n">
        <v>38</v>
      </c>
      <c r="O1276" s="6" t="n">
        <v>4370</v>
      </c>
      <c r="P1276" s="6" t="n">
        <v>1</v>
      </c>
      <c r="Q1276" s="6">
        <f>IF(OR(K1276="On time",K1276="Late",K1276="Very late"),1,0)</f>
        <v/>
      </c>
    </row>
    <row r="1277">
      <c r="A1277" s="10" t="inlineStr">
        <is>
          <t>DN319509</t>
        </is>
      </c>
      <c r="B1277" s="10" t="inlineStr">
        <is>
          <t>SO63440</t>
        </is>
      </c>
      <c r="C1277" s="10" t="inlineStr">
        <is>
          <t>C10796</t>
        </is>
      </c>
      <c r="D1277" s="10">
        <f>INDEX(Customers!$B:$B,MATCH(C1277,Customers!$A:$A,0))</f>
        <v/>
      </c>
      <c r="E1277" s="10">
        <f>INDEX(Customers!$D:$D,MATCH(C1277,Customers!$A:$A,0))</f>
        <v/>
      </c>
      <c r="F1277" s="10" t="inlineStr">
        <is>
          <t>Own trucks</t>
        </is>
      </c>
      <c r="G1277" s="5" t="n">
        <v>46279</v>
      </c>
      <c r="H1277" s="5" t="n">
        <v>46280</v>
      </c>
      <c r="I1277" s="5" t="n">
        <v>46280</v>
      </c>
      <c r="J1277" s="10" t="inlineStr">
        <is>
          <t>13:30</t>
        </is>
      </c>
      <c r="K1277" s="10" t="inlineStr">
        <is>
          <t>On time</t>
        </is>
      </c>
      <c r="L1277" s="6" t="n">
        <v>0</v>
      </c>
      <c r="M1277" s="10" t="n"/>
      <c r="N1277" s="6" t="n">
        <v>29</v>
      </c>
      <c r="O1277" s="6" t="n">
        <v>3741</v>
      </c>
      <c r="P1277" s="6" t="n">
        <v>1</v>
      </c>
      <c r="Q1277" s="6">
        <f>IF(OR(K1277="On time",K1277="Late",K1277="Very late"),1,0)</f>
        <v/>
      </c>
    </row>
    <row r="1278">
      <c r="A1278" s="10" t="inlineStr">
        <is>
          <t>DN319510</t>
        </is>
      </c>
      <c r="B1278" s="10" t="inlineStr">
        <is>
          <t>SO63441</t>
        </is>
      </c>
      <c r="C1278" s="10" t="inlineStr">
        <is>
          <t>C10847</t>
        </is>
      </c>
      <c r="D1278" s="10">
        <f>INDEX(Customers!$B:$B,MATCH(C1278,Customers!$A:$A,0))</f>
        <v/>
      </c>
      <c r="E1278" s="10">
        <f>INDEX(Customers!$D:$D,MATCH(C1278,Customers!$A:$A,0))</f>
        <v/>
      </c>
      <c r="F1278" s="10" t="inlineStr">
        <is>
          <t>Own trucks</t>
        </is>
      </c>
      <c r="G1278" s="5" t="n">
        <v>46279</v>
      </c>
      <c r="H1278" s="5" t="n">
        <v>46280</v>
      </c>
      <c r="I1278" s="5" t="n">
        <v>46280</v>
      </c>
      <c r="J1278" s="10" t="inlineStr">
        <is>
          <t>11:10</t>
        </is>
      </c>
      <c r="K1278" s="10" t="inlineStr">
        <is>
          <t>On time</t>
        </is>
      </c>
      <c r="L1278" s="6" t="n">
        <v>0</v>
      </c>
      <c r="M1278" s="10" t="n"/>
      <c r="N1278" s="6" t="n">
        <v>22</v>
      </c>
      <c r="O1278" s="6" t="n">
        <v>1958</v>
      </c>
      <c r="P1278" s="6" t="n">
        <v>1</v>
      </c>
      <c r="Q1278" s="6">
        <f>IF(OR(K1278="On time",K1278="Late",K1278="Very late"),1,0)</f>
        <v/>
      </c>
    </row>
    <row r="1279">
      <c r="A1279" s="10" t="inlineStr">
        <is>
          <t>DN319511</t>
        </is>
      </c>
      <c r="B1279" s="10" t="inlineStr">
        <is>
          <t>SO63443</t>
        </is>
      </c>
      <c r="C1279" s="10" t="inlineStr">
        <is>
          <t>C10982</t>
        </is>
      </c>
      <c r="D1279" s="10">
        <f>INDEX(Customers!$B:$B,MATCH(C1279,Customers!$A:$A,0))</f>
        <v/>
      </c>
      <c r="E1279" s="10">
        <f>INDEX(Customers!$D:$D,MATCH(C1279,Customers!$A:$A,0))</f>
        <v/>
      </c>
      <c r="F1279" s="10" t="inlineStr">
        <is>
          <t>Own trucks</t>
        </is>
      </c>
      <c r="G1279" s="5" t="n">
        <v>46279</v>
      </c>
      <c r="H1279" s="5" t="n">
        <v>46280</v>
      </c>
      <c r="I1279" s="5" t="n">
        <v>46280</v>
      </c>
      <c r="J1279" s="10" t="inlineStr">
        <is>
          <t>14:00</t>
        </is>
      </c>
      <c r="K1279" s="10" t="inlineStr">
        <is>
          <t>On time</t>
        </is>
      </c>
      <c r="L1279" s="6" t="n">
        <v>0</v>
      </c>
      <c r="M1279" s="10" t="n"/>
      <c r="N1279" s="6" t="n">
        <v>5</v>
      </c>
      <c r="O1279" s="6" t="n">
        <v>565</v>
      </c>
      <c r="P1279" s="6" t="n">
        <v>1</v>
      </c>
      <c r="Q1279" s="6">
        <f>IF(OR(K1279="On time",K1279="Late",K1279="Very late"),1,0)</f>
        <v/>
      </c>
    </row>
    <row r="1280">
      <c r="A1280" s="10" t="inlineStr">
        <is>
          <t>DN319512</t>
        </is>
      </c>
      <c r="B1280" s="10" t="inlineStr">
        <is>
          <t>SO63444</t>
        </is>
      </c>
      <c r="C1280" s="10" t="inlineStr">
        <is>
          <t>C11049</t>
        </is>
      </c>
      <c r="D1280" s="10">
        <f>INDEX(Customers!$B:$B,MATCH(C1280,Customers!$A:$A,0))</f>
        <v/>
      </c>
      <c r="E1280" s="10">
        <f>INDEX(Customers!$D:$D,MATCH(C1280,Customers!$A:$A,0))</f>
        <v/>
      </c>
      <c r="F1280" s="10" t="inlineStr">
        <is>
          <t>Own trucks</t>
        </is>
      </c>
      <c r="G1280" s="5" t="n">
        <v>46279</v>
      </c>
      <c r="H1280" s="5" t="n">
        <v>46280</v>
      </c>
      <c r="I1280" s="5" t="n">
        <v>46280</v>
      </c>
      <c r="J1280" s="10" t="inlineStr">
        <is>
          <t>09:40</t>
        </is>
      </c>
      <c r="K1280" s="10" t="inlineStr">
        <is>
          <t>On time</t>
        </is>
      </c>
      <c r="L1280" s="6" t="n">
        <v>0</v>
      </c>
      <c r="M1280" s="10" t="n"/>
      <c r="N1280" s="6" t="n">
        <v>36</v>
      </c>
      <c r="O1280" s="6" t="n">
        <v>3852</v>
      </c>
      <c r="P1280" s="6" t="n">
        <v>1</v>
      </c>
      <c r="Q1280" s="6">
        <f>IF(OR(K1280="On time",K1280="Late",K1280="Very late"),1,0)</f>
        <v/>
      </c>
    </row>
    <row r="1281">
      <c r="A1281" s="10" t="inlineStr">
        <is>
          <t>DN319513</t>
        </is>
      </c>
      <c r="B1281" s="10" t="inlineStr">
        <is>
          <t>SO63445</t>
        </is>
      </c>
      <c r="C1281" s="10" t="inlineStr">
        <is>
          <t>C11107</t>
        </is>
      </c>
      <c r="D1281" s="10">
        <f>INDEX(Customers!$B:$B,MATCH(C1281,Customers!$A:$A,0))</f>
        <v/>
      </c>
      <c r="E1281" s="10">
        <f>INDEX(Customers!$D:$D,MATCH(C1281,Customers!$A:$A,0))</f>
        <v/>
      </c>
      <c r="F1281" s="10" t="inlineStr">
        <is>
          <t>Own trucks</t>
        </is>
      </c>
      <c r="G1281" s="5" t="n">
        <v>46279</v>
      </c>
      <c r="H1281" s="5" t="n">
        <v>46280</v>
      </c>
      <c r="I1281" s="5" t="n">
        <v>46280</v>
      </c>
      <c r="J1281" s="10" t="inlineStr">
        <is>
          <t>16:20</t>
        </is>
      </c>
      <c r="K1281" s="10" t="inlineStr">
        <is>
          <t>On time</t>
        </is>
      </c>
      <c r="L1281" s="6" t="n">
        <v>0</v>
      </c>
      <c r="M1281" s="10" t="n"/>
      <c r="N1281" s="6" t="n">
        <v>3</v>
      </c>
      <c r="O1281" s="6" t="n">
        <v>252</v>
      </c>
      <c r="P1281" s="6" t="n">
        <v>1</v>
      </c>
      <c r="Q1281" s="6">
        <f>IF(OR(K1281="On time",K1281="Late",K1281="Very late"),1,0)</f>
        <v/>
      </c>
    </row>
    <row r="1282">
      <c r="A1282" s="10" t="inlineStr">
        <is>
          <t>DN319514</t>
        </is>
      </c>
      <c r="B1282" s="10" t="inlineStr">
        <is>
          <t>SO63446</t>
        </is>
      </c>
      <c r="C1282" s="10" t="inlineStr">
        <is>
          <t>C11143</t>
        </is>
      </c>
      <c r="D1282" s="10">
        <f>INDEX(Customers!$B:$B,MATCH(C1282,Customers!$A:$A,0))</f>
        <v/>
      </c>
      <c r="E1282" s="10">
        <f>INDEX(Customers!$D:$D,MATCH(C1282,Customers!$A:$A,0))</f>
        <v/>
      </c>
      <c r="F1282" s="10" t="inlineStr">
        <is>
          <t>Own trucks</t>
        </is>
      </c>
      <c r="G1282" s="5" t="n">
        <v>46279</v>
      </c>
      <c r="H1282" s="5" t="n">
        <v>46280</v>
      </c>
      <c r="I1282" s="5" t="n">
        <v>46280</v>
      </c>
      <c r="J1282" s="10" t="inlineStr">
        <is>
          <t>07:50</t>
        </is>
      </c>
      <c r="K1282" s="10" t="inlineStr">
        <is>
          <t>On time</t>
        </is>
      </c>
      <c r="L1282" s="6" t="n">
        <v>0</v>
      </c>
      <c r="M1282" s="10" t="n"/>
      <c r="N1282" s="6" t="n">
        <v>21</v>
      </c>
      <c r="O1282" s="6" t="n">
        <v>1260</v>
      </c>
      <c r="P1282" s="6" t="n">
        <v>1</v>
      </c>
      <c r="Q1282" s="6">
        <f>IF(OR(K1282="On time",K1282="Late",K1282="Very late"),1,0)</f>
        <v/>
      </c>
    </row>
    <row r="1283">
      <c r="A1283" s="10" t="inlineStr">
        <is>
          <t>DN319515</t>
        </is>
      </c>
      <c r="B1283" s="10" t="inlineStr">
        <is>
          <t>SO63447</t>
        </is>
      </c>
      <c r="C1283" s="10" t="inlineStr">
        <is>
          <t>C11247</t>
        </is>
      </c>
      <c r="D1283" s="10">
        <f>INDEX(Customers!$B:$B,MATCH(C1283,Customers!$A:$A,0))</f>
        <v/>
      </c>
      <c r="E1283" s="10">
        <f>INDEX(Customers!$D:$D,MATCH(C1283,Customers!$A:$A,0))</f>
        <v/>
      </c>
      <c r="F1283" s="10" t="inlineStr">
        <is>
          <t>Own trucks</t>
        </is>
      </c>
      <c r="G1283" s="5" t="n">
        <v>46279</v>
      </c>
      <c r="H1283" s="5" t="n">
        <v>46280</v>
      </c>
      <c r="I1283" s="5" t="n">
        <v>46280</v>
      </c>
      <c r="J1283" s="10" t="inlineStr">
        <is>
          <t>15:10</t>
        </is>
      </c>
      <c r="K1283" s="10" t="inlineStr">
        <is>
          <t>On time</t>
        </is>
      </c>
      <c r="L1283" s="6" t="n">
        <v>0</v>
      </c>
      <c r="M1283" s="10" t="n"/>
      <c r="N1283" s="6" t="n">
        <v>6</v>
      </c>
      <c r="O1283" s="6" t="n">
        <v>786</v>
      </c>
      <c r="P1283" s="6" t="n">
        <v>1</v>
      </c>
      <c r="Q1283" s="6">
        <f>IF(OR(K1283="On time",K1283="Late",K1283="Very late"),1,0)</f>
        <v/>
      </c>
    </row>
    <row r="1284">
      <c r="A1284" s="10" t="inlineStr">
        <is>
          <t>DN319516</t>
        </is>
      </c>
      <c r="B1284" s="10" t="inlineStr">
        <is>
          <t>SO63448</t>
        </is>
      </c>
      <c r="C1284" s="10" t="inlineStr">
        <is>
          <t>C11264</t>
        </is>
      </c>
      <c r="D1284" s="10">
        <f>INDEX(Customers!$B:$B,MATCH(C1284,Customers!$A:$A,0))</f>
        <v/>
      </c>
      <c r="E1284" s="10">
        <f>INDEX(Customers!$D:$D,MATCH(C1284,Customers!$A:$A,0))</f>
        <v/>
      </c>
      <c r="F1284" s="10" t="inlineStr">
        <is>
          <t>Own trucks</t>
        </is>
      </c>
      <c r="G1284" s="5" t="n">
        <v>46279</v>
      </c>
      <c r="H1284" s="5" t="n">
        <v>46280</v>
      </c>
      <c r="I1284" s="5" t="n">
        <v>46280</v>
      </c>
      <c r="J1284" s="10" t="inlineStr">
        <is>
          <t>16:20</t>
        </is>
      </c>
      <c r="K1284" s="10" t="inlineStr">
        <is>
          <t>On time</t>
        </is>
      </c>
      <c r="L1284" s="6" t="n">
        <v>0</v>
      </c>
      <c r="M1284" s="10" t="n"/>
      <c r="N1284" s="6" t="n">
        <v>3</v>
      </c>
      <c r="O1284" s="6" t="n">
        <v>276</v>
      </c>
      <c r="P1284" s="6" t="n">
        <v>1</v>
      </c>
      <c r="Q1284" s="6">
        <f>IF(OR(K1284="On time",K1284="Late",K1284="Very late"),1,0)</f>
        <v/>
      </c>
    </row>
    <row r="1285">
      <c r="A1285" s="10" t="inlineStr">
        <is>
          <t>DN319517</t>
        </is>
      </c>
      <c r="B1285" s="10" t="inlineStr">
        <is>
          <t>SO63449</t>
        </is>
      </c>
      <c r="C1285" s="10" t="inlineStr">
        <is>
          <t>C11314</t>
        </is>
      </c>
      <c r="D1285" s="10">
        <f>INDEX(Customers!$B:$B,MATCH(C1285,Customers!$A:$A,0))</f>
        <v/>
      </c>
      <c r="E1285" s="10">
        <f>INDEX(Customers!$D:$D,MATCH(C1285,Customers!$A:$A,0))</f>
        <v/>
      </c>
      <c r="F1285" s="10" t="inlineStr">
        <is>
          <t>Own trucks</t>
        </is>
      </c>
      <c r="G1285" s="5" t="n">
        <v>46279</v>
      </c>
      <c r="H1285" s="5" t="n">
        <v>46280</v>
      </c>
      <c r="I1285" s="5" t="n">
        <v>46280</v>
      </c>
      <c r="J1285" s="10" t="inlineStr">
        <is>
          <t>14:40</t>
        </is>
      </c>
      <c r="K1285" s="10" t="inlineStr">
        <is>
          <t>On time</t>
        </is>
      </c>
      <c r="L1285" s="6" t="n">
        <v>0</v>
      </c>
      <c r="M1285" s="10" t="n"/>
      <c r="N1285" s="6" t="n">
        <v>36</v>
      </c>
      <c r="O1285" s="6" t="n">
        <v>5040</v>
      </c>
      <c r="P1285" s="6" t="n">
        <v>1</v>
      </c>
      <c r="Q1285" s="6">
        <f>IF(OR(K1285="On time",K1285="Late",K1285="Very late"),1,0)</f>
        <v/>
      </c>
    </row>
    <row r="1286">
      <c r="A1286" s="10" t="inlineStr">
        <is>
          <t>DN319518</t>
        </is>
      </c>
      <c r="B1286" s="10" t="inlineStr">
        <is>
          <t>SO63450</t>
        </is>
      </c>
      <c r="C1286" s="10" t="inlineStr">
        <is>
          <t>C11333</t>
        </is>
      </c>
      <c r="D1286" s="10">
        <f>INDEX(Customers!$B:$B,MATCH(C1286,Customers!$A:$A,0))</f>
        <v/>
      </c>
      <c r="E1286" s="10">
        <f>INDEX(Customers!$D:$D,MATCH(C1286,Customers!$A:$A,0))</f>
        <v/>
      </c>
      <c r="F1286" s="10" t="inlineStr">
        <is>
          <t>Own trucks</t>
        </is>
      </c>
      <c r="G1286" s="5" t="n">
        <v>46279</v>
      </c>
      <c r="H1286" s="5" t="n">
        <v>46280</v>
      </c>
      <c r="I1286" s="5" t="n">
        <v>46280</v>
      </c>
      <c r="J1286" s="10" t="inlineStr">
        <is>
          <t>07:40</t>
        </is>
      </c>
      <c r="K1286" s="10" t="inlineStr">
        <is>
          <t>On time</t>
        </is>
      </c>
      <c r="L1286" s="6" t="n">
        <v>0</v>
      </c>
      <c r="M1286" s="10" t="n"/>
      <c r="N1286" s="6" t="n">
        <v>31</v>
      </c>
      <c r="O1286" s="6" t="n">
        <v>1860</v>
      </c>
      <c r="P1286" s="6" t="n">
        <v>1</v>
      </c>
      <c r="Q1286" s="6">
        <f>IF(OR(K1286="On time",K1286="Late",K1286="Very late"),1,0)</f>
        <v/>
      </c>
    </row>
    <row r="1287">
      <c r="A1287" s="10" t="inlineStr">
        <is>
          <t>DN319519</t>
        </is>
      </c>
      <c r="B1287" s="10" t="inlineStr">
        <is>
          <t>SO63451</t>
        </is>
      </c>
      <c r="C1287" s="10" t="inlineStr">
        <is>
          <t>C11579</t>
        </is>
      </c>
      <c r="D1287" s="10">
        <f>INDEX(Customers!$B:$B,MATCH(C1287,Customers!$A:$A,0))</f>
        <v/>
      </c>
      <c r="E1287" s="10">
        <f>INDEX(Customers!$D:$D,MATCH(C1287,Customers!$A:$A,0))</f>
        <v/>
      </c>
      <c r="F1287" s="10" t="inlineStr">
        <is>
          <t>Own trucks</t>
        </is>
      </c>
      <c r="G1287" s="5" t="n">
        <v>46279</v>
      </c>
      <c r="H1287" s="5" t="n">
        <v>46280</v>
      </c>
      <c r="I1287" s="5" t="n">
        <v>46280</v>
      </c>
      <c r="J1287" s="10" t="inlineStr">
        <is>
          <t>12:20</t>
        </is>
      </c>
      <c r="K1287" s="10" t="inlineStr">
        <is>
          <t>On time</t>
        </is>
      </c>
      <c r="L1287" s="6" t="n">
        <v>0</v>
      </c>
      <c r="M1287" s="10" t="n"/>
      <c r="N1287" s="6" t="n">
        <v>3</v>
      </c>
      <c r="O1287" s="6" t="n">
        <v>183</v>
      </c>
      <c r="P1287" s="6" t="n">
        <v>1</v>
      </c>
      <c r="Q1287" s="6">
        <f>IF(OR(K1287="On time",K1287="Late",K1287="Very late"),1,0)</f>
        <v/>
      </c>
    </row>
    <row r="1288">
      <c r="A1288" s="10" t="inlineStr">
        <is>
          <t>DN319520</t>
        </is>
      </c>
      <c r="B1288" s="10" t="inlineStr">
        <is>
          <t>SO63453</t>
        </is>
      </c>
      <c r="C1288" s="10" t="inlineStr">
        <is>
          <t>C11616</t>
        </is>
      </c>
      <c r="D1288" s="10">
        <f>INDEX(Customers!$B:$B,MATCH(C1288,Customers!$A:$A,0))</f>
        <v/>
      </c>
      <c r="E1288" s="10">
        <f>INDEX(Customers!$D:$D,MATCH(C1288,Customers!$A:$A,0))</f>
        <v/>
      </c>
      <c r="F1288" s="10" t="inlineStr">
        <is>
          <t>Own trucks</t>
        </is>
      </c>
      <c r="G1288" s="5" t="n">
        <v>46279</v>
      </c>
      <c r="H1288" s="5" t="n">
        <v>46280</v>
      </c>
      <c r="I1288" s="5" t="n">
        <v>46280</v>
      </c>
      <c r="J1288" s="10" t="inlineStr">
        <is>
          <t>09:00</t>
        </is>
      </c>
      <c r="K1288" s="10" t="inlineStr">
        <is>
          <t>On time</t>
        </is>
      </c>
      <c r="L1288" s="6" t="n">
        <v>0</v>
      </c>
      <c r="M1288" s="10" t="n"/>
      <c r="N1288" s="6" t="n">
        <v>39</v>
      </c>
      <c r="O1288" s="6" t="n">
        <v>4485</v>
      </c>
      <c r="P1288" s="6" t="n">
        <v>1</v>
      </c>
      <c r="Q1288" s="6">
        <f>IF(OR(K1288="On time",K1288="Late",K1288="Very late"),1,0)</f>
        <v/>
      </c>
    </row>
    <row r="1289">
      <c r="A1289" s="10" t="inlineStr">
        <is>
          <t>DN319521</t>
        </is>
      </c>
      <c r="B1289" s="10" t="inlineStr">
        <is>
          <t>SO63454</t>
        </is>
      </c>
      <c r="C1289" s="10" t="inlineStr">
        <is>
          <t>C11666</t>
        </is>
      </c>
      <c r="D1289" s="10">
        <f>INDEX(Customers!$B:$B,MATCH(C1289,Customers!$A:$A,0))</f>
        <v/>
      </c>
      <c r="E1289" s="10">
        <f>INDEX(Customers!$D:$D,MATCH(C1289,Customers!$A:$A,0))</f>
        <v/>
      </c>
      <c r="F1289" s="10" t="inlineStr">
        <is>
          <t>Own trucks</t>
        </is>
      </c>
      <c r="G1289" s="5" t="n">
        <v>46279</v>
      </c>
      <c r="H1289" s="5" t="n">
        <v>46280</v>
      </c>
      <c r="I1289" s="5" t="n">
        <v>46280</v>
      </c>
      <c r="J1289" s="10" t="inlineStr">
        <is>
          <t>07:00</t>
        </is>
      </c>
      <c r="K1289" s="10" t="inlineStr">
        <is>
          <t>On time</t>
        </is>
      </c>
      <c r="L1289" s="6" t="n">
        <v>0</v>
      </c>
      <c r="M1289" s="10" t="n"/>
      <c r="N1289" s="6" t="n">
        <v>15</v>
      </c>
      <c r="O1289" s="6" t="n">
        <v>1185</v>
      </c>
      <c r="P1289" s="6" t="n">
        <v>1</v>
      </c>
      <c r="Q1289" s="6">
        <f>IF(OR(K1289="On time",K1289="Late",K1289="Very late"),1,0)</f>
        <v/>
      </c>
    </row>
    <row r="1290">
      <c r="A1290" s="10" t="inlineStr">
        <is>
          <t>DN319522</t>
        </is>
      </c>
      <c r="B1290" s="10" t="inlineStr">
        <is>
          <t>SO63455</t>
        </is>
      </c>
      <c r="C1290" s="10" t="inlineStr">
        <is>
          <t>C11718</t>
        </is>
      </c>
      <c r="D1290" s="10">
        <f>INDEX(Customers!$B:$B,MATCH(C1290,Customers!$A:$A,0))</f>
        <v/>
      </c>
      <c r="E1290" s="10">
        <f>INDEX(Customers!$D:$D,MATCH(C1290,Customers!$A:$A,0))</f>
        <v/>
      </c>
      <c r="F1290" s="10" t="inlineStr">
        <is>
          <t>Own trucks</t>
        </is>
      </c>
      <c r="G1290" s="5" t="n">
        <v>46279</v>
      </c>
      <c r="H1290" s="5" t="n">
        <v>46280</v>
      </c>
      <c r="I1290" s="5" t="n">
        <v>46280</v>
      </c>
      <c r="J1290" s="10" t="inlineStr">
        <is>
          <t>09:40</t>
        </is>
      </c>
      <c r="K1290" s="10" t="inlineStr">
        <is>
          <t>On time</t>
        </is>
      </c>
      <c r="L1290" s="6" t="n">
        <v>0</v>
      </c>
      <c r="M1290" s="10" t="n"/>
      <c r="N1290" s="6" t="n">
        <v>37</v>
      </c>
      <c r="O1290" s="6" t="n">
        <v>3182</v>
      </c>
      <c r="P1290" s="6" t="n">
        <v>1</v>
      </c>
      <c r="Q1290" s="6">
        <f>IF(OR(K1290="On time",K1290="Late",K1290="Very late"),1,0)</f>
        <v/>
      </c>
    </row>
    <row r="1291">
      <c r="A1291" s="10" t="inlineStr">
        <is>
          <t>DN319523</t>
        </is>
      </c>
      <c r="B1291" s="10" t="inlineStr">
        <is>
          <t>SO63456</t>
        </is>
      </c>
      <c r="C1291" s="10" t="inlineStr">
        <is>
          <t>C11745</t>
        </is>
      </c>
      <c r="D1291" s="10">
        <f>INDEX(Customers!$B:$B,MATCH(C1291,Customers!$A:$A,0))</f>
        <v/>
      </c>
      <c r="E1291" s="10">
        <f>INDEX(Customers!$D:$D,MATCH(C1291,Customers!$A:$A,0))</f>
        <v/>
      </c>
      <c r="F1291" s="10" t="inlineStr">
        <is>
          <t>Own trucks</t>
        </is>
      </c>
      <c r="G1291" s="5" t="n">
        <v>46279</v>
      </c>
      <c r="H1291" s="5" t="n">
        <v>46280</v>
      </c>
      <c r="I1291" s="5" t="n">
        <v>46280</v>
      </c>
      <c r="J1291" s="10" t="inlineStr">
        <is>
          <t>14:00</t>
        </is>
      </c>
      <c r="K1291" s="10" t="inlineStr">
        <is>
          <t>On time</t>
        </is>
      </c>
      <c r="L1291" s="6" t="n">
        <v>0</v>
      </c>
      <c r="M1291" s="10" t="n"/>
      <c r="N1291" s="6" t="n">
        <v>35</v>
      </c>
      <c r="O1291" s="6" t="n">
        <v>2765</v>
      </c>
      <c r="P1291" s="6" t="n">
        <v>0</v>
      </c>
      <c r="Q1291" s="6">
        <f>IF(OR(K1291="On time",K1291="Late",K1291="Very late"),1,0)</f>
        <v/>
      </c>
    </row>
    <row r="1292">
      <c r="A1292" s="10" t="inlineStr">
        <is>
          <t>DN319524</t>
        </is>
      </c>
      <c r="B1292" s="10" t="inlineStr">
        <is>
          <t>SO63457</t>
        </is>
      </c>
      <c r="C1292" s="10" t="inlineStr">
        <is>
          <t>C11790</t>
        </is>
      </c>
      <c r="D1292" s="10">
        <f>INDEX(Customers!$B:$B,MATCH(C1292,Customers!$A:$A,0))</f>
        <v/>
      </c>
      <c r="E1292" s="10">
        <f>INDEX(Customers!$D:$D,MATCH(C1292,Customers!$A:$A,0))</f>
        <v/>
      </c>
      <c r="F1292" s="10" t="inlineStr">
        <is>
          <t>Carrier A</t>
        </is>
      </c>
      <c r="G1292" s="5" t="n">
        <v>46279</v>
      </c>
      <c r="H1292" s="5" t="n">
        <v>46280</v>
      </c>
      <c r="I1292" s="5" t="n">
        <v>46280</v>
      </c>
      <c r="J1292" s="10" t="inlineStr">
        <is>
          <t>16:50</t>
        </is>
      </c>
      <c r="K1292" s="10" t="inlineStr">
        <is>
          <t>On time</t>
        </is>
      </c>
      <c r="L1292" s="6" t="n">
        <v>0</v>
      </c>
      <c r="M1292" s="10" t="n"/>
      <c r="N1292" s="6" t="n">
        <v>28</v>
      </c>
      <c r="O1292" s="6" t="n">
        <v>1596</v>
      </c>
      <c r="P1292" s="6" t="n">
        <v>1</v>
      </c>
      <c r="Q1292" s="6">
        <f>IF(OR(K1292="On time",K1292="Late",K1292="Very late"),1,0)</f>
        <v/>
      </c>
    </row>
    <row r="1293">
      <c r="A1293" s="10" t="inlineStr">
        <is>
          <t>DN319525</t>
        </is>
      </c>
      <c r="B1293" s="10" t="inlineStr">
        <is>
          <t>SO63458</t>
        </is>
      </c>
      <c r="C1293" s="10" t="inlineStr">
        <is>
          <t>C11858</t>
        </is>
      </c>
      <c r="D1293" s="10">
        <f>INDEX(Customers!$B:$B,MATCH(C1293,Customers!$A:$A,0))</f>
        <v/>
      </c>
      <c r="E1293" s="10">
        <f>INDEX(Customers!$D:$D,MATCH(C1293,Customers!$A:$A,0))</f>
        <v/>
      </c>
      <c r="F1293" s="10" t="inlineStr">
        <is>
          <t>Carrier A</t>
        </is>
      </c>
      <c r="G1293" s="5" t="n">
        <v>46279</v>
      </c>
      <c r="H1293" s="5" t="n">
        <v>46280</v>
      </c>
      <c r="I1293" s="5" t="n">
        <v>46280</v>
      </c>
      <c r="J1293" s="10" t="inlineStr">
        <is>
          <t>13:10</t>
        </is>
      </c>
      <c r="K1293" s="10" t="inlineStr">
        <is>
          <t>On time</t>
        </is>
      </c>
      <c r="L1293" s="6" t="n">
        <v>0</v>
      </c>
      <c r="M1293" s="10" t="n"/>
      <c r="N1293" s="6" t="n">
        <v>13</v>
      </c>
      <c r="O1293" s="6" t="n">
        <v>858</v>
      </c>
      <c r="P1293" s="6" t="n">
        <v>1</v>
      </c>
      <c r="Q1293" s="6">
        <f>IF(OR(K1293="On time",K1293="Late",K1293="Very late"),1,0)</f>
        <v/>
      </c>
    </row>
    <row r="1294">
      <c r="A1294" s="10" t="inlineStr">
        <is>
          <t>DN319527</t>
        </is>
      </c>
      <c r="B1294" s="10" t="inlineStr">
        <is>
          <t>SO63460</t>
        </is>
      </c>
      <c r="C1294" s="10" t="inlineStr">
        <is>
          <t>C11866</t>
        </is>
      </c>
      <c r="D1294" s="10">
        <f>INDEX(Customers!$B:$B,MATCH(C1294,Customers!$A:$A,0))</f>
        <v/>
      </c>
      <c r="E1294" s="10">
        <f>INDEX(Customers!$D:$D,MATCH(C1294,Customers!$A:$A,0))</f>
        <v/>
      </c>
      <c r="F1294" s="10" t="inlineStr">
        <is>
          <t>Carrier A</t>
        </is>
      </c>
      <c r="G1294" s="5" t="n">
        <v>46279</v>
      </c>
      <c r="H1294" s="5" t="n">
        <v>46280</v>
      </c>
      <c r="I1294" s="5" t="n">
        <v>46280</v>
      </c>
      <c r="J1294" s="10" t="inlineStr">
        <is>
          <t>07:50</t>
        </is>
      </c>
      <c r="K1294" s="10" t="inlineStr">
        <is>
          <t>On time</t>
        </is>
      </c>
      <c r="L1294" s="6" t="n">
        <v>0</v>
      </c>
      <c r="M1294" s="10" t="n"/>
      <c r="N1294" s="6" t="n">
        <v>10</v>
      </c>
      <c r="O1294" s="6" t="n">
        <v>580</v>
      </c>
      <c r="P1294" s="6" t="n">
        <v>0</v>
      </c>
      <c r="Q1294" s="6">
        <f>IF(OR(K1294="On time",K1294="Late",K1294="Very late"),1,0)</f>
        <v/>
      </c>
    </row>
    <row r="1295">
      <c r="A1295" s="10" t="inlineStr">
        <is>
          <t>DN319528</t>
        </is>
      </c>
      <c r="B1295" s="10" t="inlineStr">
        <is>
          <t>SO63461</t>
        </is>
      </c>
      <c r="C1295" s="10" t="inlineStr">
        <is>
          <t>C11910</t>
        </is>
      </c>
      <c r="D1295" s="10">
        <f>INDEX(Customers!$B:$B,MATCH(C1295,Customers!$A:$A,0))</f>
        <v/>
      </c>
      <c r="E1295" s="10">
        <f>INDEX(Customers!$D:$D,MATCH(C1295,Customers!$A:$A,0))</f>
        <v/>
      </c>
      <c r="F1295" s="10" t="inlineStr">
        <is>
          <t>Carrier A</t>
        </is>
      </c>
      <c r="G1295" s="5" t="n">
        <v>46279</v>
      </c>
      <c r="H1295" s="5" t="n">
        <v>46280</v>
      </c>
      <c r="I1295" s="5" t="n">
        <v>46280</v>
      </c>
      <c r="J1295" s="10" t="inlineStr">
        <is>
          <t>12:00</t>
        </is>
      </c>
      <c r="K1295" s="10" t="inlineStr">
        <is>
          <t>On time</t>
        </is>
      </c>
      <c r="L1295" s="6" t="n">
        <v>0</v>
      </c>
      <c r="M1295" s="10" t="n"/>
      <c r="N1295" s="6" t="n">
        <v>28</v>
      </c>
      <c r="O1295" s="6" t="n">
        <v>3752</v>
      </c>
      <c r="P1295" s="6" t="n">
        <v>1</v>
      </c>
      <c r="Q1295" s="6">
        <f>IF(OR(K1295="On time",K1295="Late",K1295="Very late"),1,0)</f>
        <v/>
      </c>
    </row>
    <row r="1296">
      <c r="A1296" s="10" t="inlineStr">
        <is>
          <t>DN319529</t>
        </is>
      </c>
      <c r="B1296" s="10" t="inlineStr">
        <is>
          <t>SO63462</t>
        </is>
      </c>
      <c r="C1296" s="10" t="inlineStr">
        <is>
          <t>C11971</t>
        </is>
      </c>
      <c r="D1296" s="10">
        <f>INDEX(Customers!$B:$B,MATCH(C1296,Customers!$A:$A,0))</f>
        <v/>
      </c>
      <c r="E1296" s="10">
        <f>INDEX(Customers!$D:$D,MATCH(C1296,Customers!$A:$A,0))</f>
        <v/>
      </c>
      <c r="F1296" s="10" t="inlineStr">
        <is>
          <t>Own trucks</t>
        </is>
      </c>
      <c r="G1296" s="5" t="n">
        <v>46279</v>
      </c>
      <c r="H1296" s="5" t="n">
        <v>46280</v>
      </c>
      <c r="I1296" s="5" t="n">
        <v>46280</v>
      </c>
      <c r="J1296" s="10" t="inlineStr">
        <is>
          <t>13:10</t>
        </is>
      </c>
      <c r="K1296" s="10" t="inlineStr">
        <is>
          <t>On time</t>
        </is>
      </c>
      <c r="L1296" s="6" t="n">
        <v>0</v>
      </c>
      <c r="M1296" s="10" t="n"/>
      <c r="N1296" s="6" t="n">
        <v>20</v>
      </c>
      <c r="O1296" s="6" t="n">
        <v>1540</v>
      </c>
      <c r="P1296" s="6" t="n">
        <v>1</v>
      </c>
      <c r="Q1296" s="6">
        <f>IF(OR(K1296="On time",K1296="Late",K1296="Very late"),1,0)</f>
        <v/>
      </c>
    </row>
    <row r="1297">
      <c r="A1297" s="10" t="inlineStr">
        <is>
          <t>DN319530</t>
        </is>
      </c>
      <c r="B1297" s="10" t="inlineStr">
        <is>
          <t>SO63463</t>
        </is>
      </c>
      <c r="C1297" s="10" t="inlineStr">
        <is>
          <t>C11982</t>
        </is>
      </c>
      <c r="D1297" s="10">
        <f>INDEX(Customers!$B:$B,MATCH(C1297,Customers!$A:$A,0))</f>
        <v/>
      </c>
      <c r="E1297" s="10">
        <f>INDEX(Customers!$D:$D,MATCH(C1297,Customers!$A:$A,0))</f>
        <v/>
      </c>
      <c r="F1297" s="10" t="inlineStr">
        <is>
          <t>Own trucks</t>
        </is>
      </c>
      <c r="G1297" s="5" t="n">
        <v>46279</v>
      </c>
      <c r="H1297" s="5" t="n">
        <v>46280</v>
      </c>
      <c r="I1297" s="5" t="n">
        <v>46280</v>
      </c>
      <c r="J1297" s="10" t="inlineStr">
        <is>
          <t>14:10</t>
        </is>
      </c>
      <c r="K1297" s="10" t="inlineStr">
        <is>
          <t>On time</t>
        </is>
      </c>
      <c r="L1297" s="6" t="n">
        <v>0</v>
      </c>
      <c r="M1297" s="10" t="n"/>
      <c r="N1297" s="6" t="n">
        <v>9</v>
      </c>
      <c r="O1297" s="6" t="n">
        <v>585</v>
      </c>
      <c r="P1297" s="6" t="n">
        <v>1</v>
      </c>
      <c r="Q1297" s="6">
        <f>IF(OR(K1297="On time",K1297="Late",K1297="Very late"),1,0)</f>
        <v/>
      </c>
    </row>
    <row r="1298">
      <c r="A1298" s="10" t="inlineStr">
        <is>
          <t>DN319531</t>
        </is>
      </c>
      <c r="B1298" s="10" t="inlineStr">
        <is>
          <t>SO63465</t>
        </is>
      </c>
      <c r="C1298" s="10" t="inlineStr">
        <is>
          <t>C12103</t>
        </is>
      </c>
      <c r="D1298" s="10">
        <f>INDEX(Customers!$B:$B,MATCH(C1298,Customers!$A:$A,0))</f>
        <v/>
      </c>
      <c r="E1298" s="10">
        <f>INDEX(Customers!$D:$D,MATCH(C1298,Customers!$A:$A,0))</f>
        <v/>
      </c>
      <c r="F1298" s="10" t="inlineStr">
        <is>
          <t>Own trucks</t>
        </is>
      </c>
      <c r="G1298" s="5" t="n">
        <v>46279</v>
      </c>
      <c r="H1298" s="5" t="n">
        <v>46280</v>
      </c>
      <c r="I1298" s="5" t="n">
        <v>46280</v>
      </c>
      <c r="J1298" s="10" t="inlineStr">
        <is>
          <t>08:30</t>
        </is>
      </c>
      <c r="K1298" s="10" t="inlineStr">
        <is>
          <t>On time</t>
        </is>
      </c>
      <c r="L1298" s="6" t="n">
        <v>0</v>
      </c>
      <c r="M1298" s="10" t="n"/>
      <c r="N1298" s="6" t="n">
        <v>39</v>
      </c>
      <c r="O1298" s="6" t="n">
        <v>2925</v>
      </c>
      <c r="P1298" s="6" t="n">
        <v>1</v>
      </c>
      <c r="Q1298" s="6">
        <f>IF(OR(K1298="On time",K1298="Late",K1298="Very late"),1,0)</f>
        <v/>
      </c>
    </row>
    <row r="1299">
      <c r="A1299" s="10" t="inlineStr">
        <is>
          <t>DN319532</t>
        </is>
      </c>
      <c r="B1299" s="10" t="inlineStr">
        <is>
          <t>SO63467</t>
        </is>
      </c>
      <c r="C1299" s="10" t="inlineStr">
        <is>
          <t>C12239</t>
        </is>
      </c>
      <c r="D1299" s="10">
        <f>INDEX(Customers!$B:$B,MATCH(C1299,Customers!$A:$A,0))</f>
        <v/>
      </c>
      <c r="E1299" s="10">
        <f>INDEX(Customers!$D:$D,MATCH(C1299,Customers!$A:$A,0))</f>
        <v/>
      </c>
      <c r="F1299" s="10" t="inlineStr">
        <is>
          <t>Carrier B</t>
        </is>
      </c>
      <c r="G1299" s="5" t="n">
        <v>46279</v>
      </c>
      <c r="H1299" s="5" t="n">
        <v>46280</v>
      </c>
      <c r="I1299" s="5" t="n">
        <v>46280</v>
      </c>
      <c r="J1299" s="10" t="inlineStr">
        <is>
          <t>10:10</t>
        </is>
      </c>
      <c r="K1299" s="10" t="inlineStr">
        <is>
          <t>On time</t>
        </is>
      </c>
      <c r="L1299" s="6" t="n">
        <v>0</v>
      </c>
      <c r="M1299" s="10" t="n"/>
      <c r="N1299" s="6" t="n">
        <v>5</v>
      </c>
      <c r="O1299" s="6" t="n">
        <v>330</v>
      </c>
      <c r="P1299" s="6" t="n">
        <v>1</v>
      </c>
      <c r="Q1299" s="6">
        <f>IF(OR(K1299="On time",K1299="Late",K1299="Very late"),1,0)</f>
        <v/>
      </c>
    </row>
    <row r="1300">
      <c r="A1300" s="10" t="inlineStr">
        <is>
          <t>DN319533</t>
        </is>
      </c>
      <c r="B1300" s="10" t="inlineStr">
        <is>
          <t>SO63468</t>
        </is>
      </c>
      <c r="C1300" s="10" t="inlineStr">
        <is>
          <t>C12262</t>
        </is>
      </c>
      <c r="D1300" s="10">
        <f>INDEX(Customers!$B:$B,MATCH(C1300,Customers!$A:$A,0))</f>
        <v/>
      </c>
      <c r="E1300" s="10">
        <f>INDEX(Customers!$D:$D,MATCH(C1300,Customers!$A:$A,0))</f>
        <v/>
      </c>
      <c r="F1300" s="10" t="inlineStr">
        <is>
          <t>Carrier B</t>
        </is>
      </c>
      <c r="G1300" s="5" t="n">
        <v>46279</v>
      </c>
      <c r="H1300" s="5" t="n">
        <v>46280</v>
      </c>
      <c r="I1300" s="5" t="n">
        <v>46280</v>
      </c>
      <c r="J1300" s="10" t="inlineStr">
        <is>
          <t>08:30</t>
        </is>
      </c>
      <c r="K1300" s="10" t="inlineStr">
        <is>
          <t>On time</t>
        </is>
      </c>
      <c r="L1300" s="6" t="n">
        <v>0</v>
      </c>
      <c r="M1300" s="10" t="n"/>
      <c r="N1300" s="6" t="n">
        <v>15</v>
      </c>
      <c r="O1300" s="6" t="n">
        <v>1215</v>
      </c>
      <c r="P1300" s="6" t="n">
        <v>1</v>
      </c>
      <c r="Q1300" s="6">
        <f>IF(OR(K1300="On time",K1300="Late",K1300="Very late"),1,0)</f>
        <v/>
      </c>
    </row>
    <row r="1301">
      <c r="A1301" s="10" t="inlineStr">
        <is>
          <t>DN319534</t>
        </is>
      </c>
      <c r="B1301" s="10" t="inlineStr">
        <is>
          <t>SO63469</t>
        </is>
      </c>
      <c r="C1301" s="10" t="inlineStr">
        <is>
          <t>C12305</t>
        </is>
      </c>
      <c r="D1301" s="10">
        <f>INDEX(Customers!$B:$B,MATCH(C1301,Customers!$A:$A,0))</f>
        <v/>
      </c>
      <c r="E1301" s="10">
        <f>INDEX(Customers!$D:$D,MATCH(C1301,Customers!$A:$A,0))</f>
        <v/>
      </c>
      <c r="F1301" s="10" t="inlineStr">
        <is>
          <t>Carrier B</t>
        </is>
      </c>
      <c r="G1301" s="5" t="n">
        <v>46279</v>
      </c>
      <c r="H1301" s="5" t="n">
        <v>46280</v>
      </c>
      <c r="I1301" s="5" t="n">
        <v>46282</v>
      </c>
      <c r="J1301" s="10" t="inlineStr">
        <is>
          <t>12:00</t>
        </is>
      </c>
      <c r="K1301" s="10" t="inlineStr">
        <is>
          <t>Very late</t>
        </is>
      </c>
      <c r="L1301" s="6" t="n">
        <v>2</v>
      </c>
      <c r="M1301" s="10" t="inlineStr">
        <is>
          <t>Run overloaded</t>
        </is>
      </c>
      <c r="N1301" s="6" t="n">
        <v>7</v>
      </c>
      <c r="O1301" s="6" t="n">
        <v>700</v>
      </c>
      <c r="P1301" s="6" t="n">
        <v>1</v>
      </c>
      <c r="Q1301" s="6">
        <f>IF(OR(K1301="On time",K1301="Late",K1301="Very late"),1,0)</f>
        <v/>
      </c>
    </row>
    <row r="1302">
      <c r="A1302" s="10" t="inlineStr">
        <is>
          <t>DN319535</t>
        </is>
      </c>
      <c r="B1302" s="10" t="inlineStr">
        <is>
          <t>SO63471</t>
        </is>
      </c>
      <c r="C1302" s="10" t="inlineStr">
        <is>
          <t>C12389</t>
        </is>
      </c>
      <c r="D1302" s="10">
        <f>INDEX(Customers!$B:$B,MATCH(C1302,Customers!$A:$A,0))</f>
        <v/>
      </c>
      <c r="E1302" s="10">
        <f>INDEX(Customers!$D:$D,MATCH(C1302,Customers!$A:$A,0))</f>
        <v/>
      </c>
      <c r="F1302" s="10" t="inlineStr">
        <is>
          <t>Carrier A</t>
        </is>
      </c>
      <c r="G1302" s="5" t="n">
        <v>46279</v>
      </c>
      <c r="H1302" s="5" t="n">
        <v>46280</v>
      </c>
      <c r="I1302" s="5" t="n">
        <v>46280</v>
      </c>
      <c r="J1302" s="10" t="inlineStr">
        <is>
          <t>16:10</t>
        </is>
      </c>
      <c r="K1302" s="10" t="inlineStr">
        <is>
          <t>On time</t>
        </is>
      </c>
      <c r="L1302" s="6" t="n">
        <v>0</v>
      </c>
      <c r="M1302" s="10" t="n"/>
      <c r="N1302" s="6" t="n">
        <v>31</v>
      </c>
      <c r="O1302" s="6" t="n">
        <v>2387</v>
      </c>
      <c r="P1302" s="6" t="n">
        <v>1</v>
      </c>
      <c r="Q1302" s="6">
        <f>IF(OR(K1302="On time",K1302="Late",K1302="Very late"),1,0)</f>
        <v/>
      </c>
    </row>
    <row r="1303">
      <c r="A1303" s="10" t="inlineStr">
        <is>
          <t>DN319536</t>
        </is>
      </c>
      <c r="B1303" s="10" t="inlineStr">
        <is>
          <t>SO63473</t>
        </is>
      </c>
      <c r="C1303" s="10" t="inlineStr">
        <is>
          <t>C12420</t>
        </is>
      </c>
      <c r="D1303" s="10">
        <f>INDEX(Customers!$B:$B,MATCH(C1303,Customers!$A:$A,0))</f>
        <v/>
      </c>
      <c r="E1303" s="10">
        <f>INDEX(Customers!$D:$D,MATCH(C1303,Customers!$A:$A,0))</f>
        <v/>
      </c>
      <c r="F1303" s="10" t="inlineStr">
        <is>
          <t>Carrier A</t>
        </is>
      </c>
      <c r="G1303" s="5" t="n">
        <v>46279</v>
      </c>
      <c r="H1303" s="5" t="n">
        <v>46280</v>
      </c>
      <c r="I1303" s="5" t="n">
        <v>46280</v>
      </c>
      <c r="J1303" s="10" t="inlineStr">
        <is>
          <t>07:10</t>
        </is>
      </c>
      <c r="K1303" s="10" t="inlineStr">
        <is>
          <t>On time</t>
        </is>
      </c>
      <c r="L1303" s="6" t="n">
        <v>0</v>
      </c>
      <c r="M1303" s="10" t="n"/>
      <c r="N1303" s="6" t="n">
        <v>15</v>
      </c>
      <c r="O1303" s="6" t="n">
        <v>1110</v>
      </c>
      <c r="P1303" s="6" t="n">
        <v>1</v>
      </c>
      <c r="Q1303" s="6">
        <f>IF(OR(K1303="On time",K1303="Late",K1303="Very late"),1,0)</f>
        <v/>
      </c>
    </row>
    <row r="1304">
      <c r="A1304" s="10" t="inlineStr">
        <is>
          <t>DN319537</t>
        </is>
      </c>
      <c r="B1304" s="10" t="inlineStr">
        <is>
          <t>SO63474</t>
        </is>
      </c>
      <c r="C1304" s="10" t="inlineStr">
        <is>
          <t>C12527</t>
        </is>
      </c>
      <c r="D1304" s="10">
        <f>INDEX(Customers!$B:$B,MATCH(C1304,Customers!$A:$A,0))</f>
        <v/>
      </c>
      <c r="E1304" s="10">
        <f>INDEX(Customers!$D:$D,MATCH(C1304,Customers!$A:$A,0))</f>
        <v/>
      </c>
      <c r="F1304" s="10" t="inlineStr">
        <is>
          <t>Carrier A</t>
        </is>
      </c>
      <c r="G1304" s="5" t="n">
        <v>46279</v>
      </c>
      <c r="H1304" s="5" t="n">
        <v>46280</v>
      </c>
      <c r="I1304" s="5" t="n">
        <v>46280</v>
      </c>
      <c r="J1304" s="10" t="inlineStr">
        <is>
          <t>14:10</t>
        </is>
      </c>
      <c r="K1304" s="10" t="inlineStr">
        <is>
          <t>On time</t>
        </is>
      </c>
      <c r="L1304" s="6" t="n">
        <v>0</v>
      </c>
      <c r="M1304" s="10" t="n"/>
      <c r="N1304" s="6" t="n">
        <v>11</v>
      </c>
      <c r="O1304" s="6" t="n">
        <v>891</v>
      </c>
      <c r="P1304" s="6" t="n">
        <v>1</v>
      </c>
      <c r="Q1304" s="6">
        <f>IF(OR(K1304="On time",K1304="Late",K1304="Very late"),1,0)</f>
        <v/>
      </c>
    </row>
    <row r="1305">
      <c r="A1305" s="10" t="inlineStr">
        <is>
          <t>DN319538</t>
        </is>
      </c>
      <c r="B1305" s="10" t="inlineStr">
        <is>
          <t>SO63475</t>
        </is>
      </c>
      <c r="C1305" s="10" t="inlineStr">
        <is>
          <t>C12543</t>
        </is>
      </c>
      <c r="D1305" s="10">
        <f>INDEX(Customers!$B:$B,MATCH(C1305,Customers!$A:$A,0))</f>
        <v/>
      </c>
      <c r="E1305" s="10">
        <f>INDEX(Customers!$D:$D,MATCH(C1305,Customers!$A:$A,0))</f>
        <v/>
      </c>
      <c r="F1305" s="10" t="inlineStr">
        <is>
          <t>Carrier B</t>
        </is>
      </c>
      <c r="G1305" s="5" t="n">
        <v>46276</v>
      </c>
      <c r="H1305" s="5" t="n">
        <v>46280</v>
      </c>
      <c r="I1305" s="5" t="n">
        <v>46280</v>
      </c>
      <c r="J1305" s="10" t="inlineStr">
        <is>
          <t>14:40</t>
        </is>
      </c>
      <c r="K1305" s="10" t="inlineStr">
        <is>
          <t>On time</t>
        </is>
      </c>
      <c r="L1305" s="6" t="n">
        <v>0</v>
      </c>
      <c r="M1305" s="10" t="n"/>
      <c r="N1305" s="6" t="n">
        <v>22</v>
      </c>
      <c r="O1305" s="6" t="n">
        <v>2112</v>
      </c>
      <c r="P1305" s="6" t="n">
        <v>1</v>
      </c>
      <c r="Q1305" s="6">
        <f>IF(OR(K1305="On time",K1305="Late",K1305="Very late"),1,0)</f>
        <v/>
      </c>
    </row>
    <row r="1306">
      <c r="A1306" s="10" t="inlineStr">
        <is>
          <t>DN319539</t>
        </is>
      </c>
      <c r="B1306" s="10" t="inlineStr">
        <is>
          <t>SO63476</t>
        </is>
      </c>
      <c r="C1306" s="10" t="inlineStr">
        <is>
          <t>C12617</t>
        </is>
      </c>
      <c r="D1306" s="10">
        <f>INDEX(Customers!$B:$B,MATCH(C1306,Customers!$A:$A,0))</f>
        <v/>
      </c>
      <c r="E1306" s="10">
        <f>INDEX(Customers!$D:$D,MATCH(C1306,Customers!$A:$A,0))</f>
        <v/>
      </c>
      <c r="F1306" s="10" t="inlineStr">
        <is>
          <t>Carrier B</t>
        </is>
      </c>
      <c r="G1306" s="5" t="n">
        <v>46276</v>
      </c>
      <c r="H1306" s="5" t="n">
        <v>46280</v>
      </c>
      <c r="I1306" s="5" t="n">
        <v>46280</v>
      </c>
      <c r="J1306" s="10" t="inlineStr">
        <is>
          <t>14:50</t>
        </is>
      </c>
      <c r="K1306" s="10" t="inlineStr">
        <is>
          <t>On time</t>
        </is>
      </c>
      <c r="L1306" s="6" t="n">
        <v>0</v>
      </c>
      <c r="M1306" s="10" t="n"/>
      <c r="N1306" s="6" t="n">
        <v>15</v>
      </c>
      <c r="O1306" s="6" t="n">
        <v>1515</v>
      </c>
      <c r="P1306" s="6" t="n">
        <v>1</v>
      </c>
      <c r="Q1306" s="6">
        <f>IF(OR(K1306="On time",K1306="Late",K1306="Very late"),1,0)</f>
        <v/>
      </c>
    </row>
    <row r="1307">
      <c r="A1307" s="10" t="inlineStr">
        <is>
          <t>DN319540</t>
        </is>
      </c>
      <c r="B1307" s="10" t="inlineStr">
        <is>
          <t>SO63477</t>
        </is>
      </c>
      <c r="C1307" s="10" t="inlineStr">
        <is>
          <t>C12639</t>
        </is>
      </c>
      <c r="D1307" s="10">
        <f>INDEX(Customers!$B:$B,MATCH(C1307,Customers!$A:$A,0))</f>
        <v/>
      </c>
      <c r="E1307" s="10">
        <f>INDEX(Customers!$D:$D,MATCH(C1307,Customers!$A:$A,0))</f>
        <v/>
      </c>
      <c r="F1307" s="10" t="inlineStr">
        <is>
          <t>Carrier B</t>
        </is>
      </c>
      <c r="G1307" s="5" t="n">
        <v>46276</v>
      </c>
      <c r="H1307" s="5" t="n">
        <v>46280</v>
      </c>
      <c r="I1307" s="5" t="n">
        <v>46280</v>
      </c>
      <c r="J1307" s="10" t="inlineStr">
        <is>
          <t>15:50</t>
        </is>
      </c>
      <c r="K1307" s="10" t="inlineStr">
        <is>
          <t>On time</t>
        </is>
      </c>
      <c r="L1307" s="6" t="n">
        <v>0</v>
      </c>
      <c r="M1307" s="10" t="n"/>
      <c r="N1307" s="6" t="n">
        <v>37</v>
      </c>
      <c r="O1307" s="6" t="n">
        <v>3922</v>
      </c>
      <c r="P1307" s="6" t="n">
        <v>1</v>
      </c>
      <c r="Q1307" s="6">
        <f>IF(OR(K1307="On time",K1307="Late",K1307="Very late"),1,0)</f>
        <v/>
      </c>
    </row>
    <row r="1308">
      <c r="A1308" s="10" t="inlineStr">
        <is>
          <t>DN319541</t>
        </is>
      </c>
      <c r="B1308" s="10" t="inlineStr">
        <is>
          <t>SO63479</t>
        </is>
      </c>
      <c r="C1308" s="10" t="inlineStr">
        <is>
          <t>C12675</t>
        </is>
      </c>
      <c r="D1308" s="10">
        <f>INDEX(Customers!$B:$B,MATCH(C1308,Customers!$A:$A,0))</f>
        <v/>
      </c>
      <c r="E1308" s="10">
        <f>INDEX(Customers!$D:$D,MATCH(C1308,Customers!$A:$A,0))</f>
        <v/>
      </c>
      <c r="F1308" s="10" t="inlineStr">
        <is>
          <t>Carrier B</t>
        </is>
      </c>
      <c r="G1308" s="5" t="n">
        <v>46276</v>
      </c>
      <c r="H1308" s="5" t="n">
        <v>46280</v>
      </c>
      <c r="I1308" s="5" t="n">
        <v>46280</v>
      </c>
      <c r="J1308" s="10" t="inlineStr">
        <is>
          <t>11:30</t>
        </is>
      </c>
      <c r="K1308" s="10" t="inlineStr">
        <is>
          <t>On time</t>
        </is>
      </c>
      <c r="L1308" s="6" t="n">
        <v>0</v>
      </c>
      <c r="M1308" s="10" t="n"/>
      <c r="N1308" s="6" t="n">
        <v>10</v>
      </c>
      <c r="O1308" s="6" t="n">
        <v>660</v>
      </c>
      <c r="P1308" s="6" t="n">
        <v>1</v>
      </c>
      <c r="Q1308" s="6">
        <f>IF(OR(K1308="On time",K1308="Late",K1308="Very late"),1,0)</f>
        <v/>
      </c>
    </row>
    <row r="1309">
      <c r="A1309" s="10" t="inlineStr">
        <is>
          <t>DN319542</t>
        </is>
      </c>
      <c r="B1309" s="10" t="inlineStr">
        <is>
          <t>SO63480</t>
        </is>
      </c>
      <c r="C1309" s="10" t="inlineStr">
        <is>
          <t>C10268</t>
        </is>
      </c>
      <c r="D1309" s="10">
        <f>INDEX(Customers!$B:$B,MATCH(C1309,Customers!$A:$A,0))</f>
        <v/>
      </c>
      <c r="E1309" s="10">
        <f>INDEX(Customers!$D:$D,MATCH(C1309,Customers!$A:$A,0))</f>
        <v/>
      </c>
      <c r="F1309" s="10" t="inlineStr">
        <is>
          <t>Own trucks</t>
        </is>
      </c>
      <c r="G1309" s="5" t="n">
        <v>46280</v>
      </c>
      <c r="H1309" s="5" t="n">
        <v>46281</v>
      </c>
      <c r="I1309" s="5" t="n">
        <v>46281</v>
      </c>
      <c r="J1309" s="10" t="inlineStr">
        <is>
          <t>11:30</t>
        </is>
      </c>
      <c r="K1309" s="10" t="inlineStr">
        <is>
          <t>On time</t>
        </is>
      </c>
      <c r="L1309" s="6" t="n">
        <v>0</v>
      </c>
      <c r="M1309" s="10" t="n"/>
      <c r="N1309" s="6" t="n">
        <v>17</v>
      </c>
      <c r="O1309" s="6" t="n">
        <v>2159</v>
      </c>
      <c r="P1309" s="6" t="n">
        <v>1</v>
      </c>
      <c r="Q1309" s="6">
        <f>IF(OR(K1309="On time",K1309="Late",K1309="Very late"),1,0)</f>
        <v/>
      </c>
    </row>
    <row r="1310">
      <c r="A1310" s="10" t="inlineStr">
        <is>
          <t>DN319543</t>
        </is>
      </c>
      <c r="B1310" s="10" t="inlineStr">
        <is>
          <t>SO63482</t>
        </is>
      </c>
      <c r="C1310" s="10" t="inlineStr">
        <is>
          <t>C10322</t>
        </is>
      </c>
      <c r="D1310" s="10">
        <f>INDEX(Customers!$B:$B,MATCH(C1310,Customers!$A:$A,0))</f>
        <v/>
      </c>
      <c r="E1310" s="10">
        <f>INDEX(Customers!$D:$D,MATCH(C1310,Customers!$A:$A,0))</f>
        <v/>
      </c>
      <c r="F1310" s="10" t="inlineStr">
        <is>
          <t>Own trucks</t>
        </is>
      </c>
      <c r="G1310" s="5" t="n">
        <v>46280</v>
      </c>
      <c r="H1310" s="5" t="n">
        <v>46281</v>
      </c>
      <c r="I1310" s="5" t="n">
        <v>46281</v>
      </c>
      <c r="J1310" s="10" t="inlineStr">
        <is>
          <t>13:40</t>
        </is>
      </c>
      <c r="K1310" s="10" t="inlineStr">
        <is>
          <t>On time</t>
        </is>
      </c>
      <c r="L1310" s="6" t="n">
        <v>0</v>
      </c>
      <c r="M1310" s="10" t="n"/>
      <c r="N1310" s="6" t="n">
        <v>30</v>
      </c>
      <c r="O1310" s="6" t="n">
        <v>3990</v>
      </c>
      <c r="P1310" s="6" t="n">
        <v>1</v>
      </c>
      <c r="Q1310" s="6">
        <f>IF(OR(K1310="On time",K1310="Late",K1310="Very late"),1,0)</f>
        <v/>
      </c>
    </row>
    <row r="1311">
      <c r="A1311" s="10" t="inlineStr">
        <is>
          <t>DN319544</t>
        </is>
      </c>
      <c r="B1311" s="10" t="inlineStr">
        <is>
          <t>SO63484</t>
        </is>
      </c>
      <c r="C1311" s="10" t="inlineStr">
        <is>
          <t>C10343</t>
        </is>
      </c>
      <c r="D1311" s="10">
        <f>INDEX(Customers!$B:$B,MATCH(C1311,Customers!$A:$A,0))</f>
        <v/>
      </c>
      <c r="E1311" s="10">
        <f>INDEX(Customers!$D:$D,MATCH(C1311,Customers!$A:$A,0))</f>
        <v/>
      </c>
      <c r="F1311" s="10" t="inlineStr">
        <is>
          <t>Same-day courier</t>
        </is>
      </c>
      <c r="G1311" s="5" t="n">
        <v>46280</v>
      </c>
      <c r="H1311" s="5" t="n">
        <v>46281</v>
      </c>
      <c r="I1311" s="5" t="n">
        <v>46281</v>
      </c>
      <c r="J1311" s="10" t="inlineStr">
        <is>
          <t>15:40</t>
        </is>
      </c>
      <c r="K1311" s="10" t="inlineStr">
        <is>
          <t>On time</t>
        </is>
      </c>
      <c r="L1311" s="6" t="n">
        <v>0</v>
      </c>
      <c r="M1311" s="10" t="n"/>
      <c r="N1311" s="6" t="n">
        <v>9</v>
      </c>
      <c r="O1311" s="6" t="n">
        <v>1197</v>
      </c>
      <c r="P1311" s="6" t="n">
        <v>1</v>
      </c>
      <c r="Q1311" s="6">
        <f>IF(OR(K1311="On time",K1311="Late",K1311="Very late"),1,0)</f>
        <v/>
      </c>
    </row>
    <row r="1312">
      <c r="A1312" s="10" t="inlineStr">
        <is>
          <t>DN319546</t>
        </is>
      </c>
      <c r="B1312" s="10" t="inlineStr">
        <is>
          <t>SO63485</t>
        </is>
      </c>
      <c r="C1312" s="10" t="inlineStr">
        <is>
          <t>C10515</t>
        </is>
      </c>
      <c r="D1312" s="10">
        <f>INDEX(Customers!$B:$B,MATCH(C1312,Customers!$A:$A,0))</f>
        <v/>
      </c>
      <c r="E1312" s="10">
        <f>INDEX(Customers!$D:$D,MATCH(C1312,Customers!$A:$A,0))</f>
        <v/>
      </c>
      <c r="F1312" s="10" t="inlineStr">
        <is>
          <t>Own trucks</t>
        </is>
      </c>
      <c r="G1312" s="5" t="n">
        <v>46280</v>
      </c>
      <c r="H1312" s="5" t="n">
        <v>46281</v>
      </c>
      <c r="I1312" s="5" t="n">
        <v>46281</v>
      </c>
      <c r="J1312" s="10" t="inlineStr">
        <is>
          <t>12:10</t>
        </is>
      </c>
      <c r="K1312" s="10" t="inlineStr">
        <is>
          <t>On time</t>
        </is>
      </c>
      <c r="L1312" s="6" t="n">
        <v>0</v>
      </c>
      <c r="M1312" s="10" t="n"/>
      <c r="N1312" s="6" t="n">
        <v>9</v>
      </c>
      <c r="O1312" s="6" t="n">
        <v>558</v>
      </c>
      <c r="P1312" s="6" t="n">
        <v>1</v>
      </c>
      <c r="Q1312" s="6">
        <f>IF(OR(K1312="On time",K1312="Late",K1312="Very late"),1,0)</f>
        <v/>
      </c>
    </row>
    <row r="1313">
      <c r="A1313" s="10" t="inlineStr">
        <is>
          <t>DN319547</t>
        </is>
      </c>
      <c r="B1313" s="10" t="inlineStr">
        <is>
          <t>SO63487</t>
        </is>
      </c>
      <c r="C1313" s="10" t="inlineStr">
        <is>
          <t>C10536</t>
        </is>
      </c>
      <c r="D1313" s="10">
        <f>INDEX(Customers!$B:$B,MATCH(C1313,Customers!$A:$A,0))</f>
        <v/>
      </c>
      <c r="E1313" s="10">
        <f>INDEX(Customers!$D:$D,MATCH(C1313,Customers!$A:$A,0))</f>
        <v/>
      </c>
      <c r="F1313" s="10" t="inlineStr">
        <is>
          <t>Own trucks</t>
        </is>
      </c>
      <c r="G1313" s="5" t="n">
        <v>46280</v>
      </c>
      <c r="H1313" s="5" t="n">
        <v>46281</v>
      </c>
      <c r="I1313" s="5" t="n">
        <v>46281</v>
      </c>
      <c r="J1313" s="10" t="inlineStr">
        <is>
          <t>10:00</t>
        </is>
      </c>
      <c r="K1313" s="10" t="inlineStr">
        <is>
          <t>On time</t>
        </is>
      </c>
      <c r="L1313" s="6" t="n">
        <v>0</v>
      </c>
      <c r="M1313" s="10" t="n"/>
      <c r="N1313" s="6" t="n">
        <v>31</v>
      </c>
      <c r="O1313" s="6" t="n">
        <v>4309</v>
      </c>
      <c r="P1313" s="6" t="n">
        <v>1</v>
      </c>
      <c r="Q1313" s="6">
        <f>IF(OR(K1313="On time",K1313="Late",K1313="Very late"),1,0)</f>
        <v/>
      </c>
    </row>
    <row r="1314">
      <c r="A1314" s="10" t="inlineStr">
        <is>
          <t>DN319548</t>
        </is>
      </c>
      <c r="B1314" s="10" t="inlineStr">
        <is>
          <t>SO63489</t>
        </is>
      </c>
      <c r="C1314" s="10" t="inlineStr">
        <is>
          <t>C10589</t>
        </is>
      </c>
      <c r="D1314" s="10">
        <f>INDEX(Customers!$B:$B,MATCH(C1314,Customers!$A:$A,0))</f>
        <v/>
      </c>
      <c r="E1314" s="10">
        <f>INDEX(Customers!$D:$D,MATCH(C1314,Customers!$A:$A,0))</f>
        <v/>
      </c>
      <c r="F1314" s="10" t="inlineStr">
        <is>
          <t>Own trucks</t>
        </is>
      </c>
      <c r="G1314" s="5" t="n">
        <v>46280</v>
      </c>
      <c r="H1314" s="5" t="n">
        <v>46281</v>
      </c>
      <c r="I1314" s="5" t="n">
        <v>46281</v>
      </c>
      <c r="J1314" s="10" t="inlineStr">
        <is>
          <t>07:20</t>
        </is>
      </c>
      <c r="K1314" s="10" t="inlineStr">
        <is>
          <t>On time</t>
        </is>
      </c>
      <c r="L1314" s="6" t="n">
        <v>0</v>
      </c>
      <c r="M1314" s="10" t="n"/>
      <c r="N1314" s="6" t="n">
        <v>20</v>
      </c>
      <c r="O1314" s="6" t="n">
        <v>2320</v>
      </c>
      <c r="P1314" s="6" t="n">
        <v>1</v>
      </c>
      <c r="Q1314" s="6">
        <f>IF(OR(K1314="On time",K1314="Late",K1314="Very late"),1,0)</f>
        <v/>
      </c>
    </row>
    <row r="1315">
      <c r="A1315" s="10" t="inlineStr">
        <is>
          <t>DN319549</t>
        </is>
      </c>
      <c r="B1315" s="10" t="inlineStr">
        <is>
          <t>SO63490</t>
        </is>
      </c>
      <c r="C1315" s="10" t="inlineStr">
        <is>
          <t>C10676</t>
        </is>
      </c>
      <c r="D1315" s="10">
        <f>INDEX(Customers!$B:$B,MATCH(C1315,Customers!$A:$A,0))</f>
        <v/>
      </c>
      <c r="E1315" s="10">
        <f>INDEX(Customers!$D:$D,MATCH(C1315,Customers!$A:$A,0))</f>
        <v/>
      </c>
      <c r="F1315" s="10" t="inlineStr">
        <is>
          <t>Own trucks</t>
        </is>
      </c>
      <c r="G1315" s="5" t="n">
        <v>46280</v>
      </c>
      <c r="H1315" s="5" t="n">
        <v>46281</v>
      </c>
      <c r="I1315" s="5" t="n">
        <v>46281</v>
      </c>
      <c r="J1315" s="10" t="inlineStr">
        <is>
          <t>10:10</t>
        </is>
      </c>
      <c r="K1315" s="10" t="inlineStr">
        <is>
          <t>On time</t>
        </is>
      </c>
      <c r="L1315" s="6" t="n">
        <v>0</v>
      </c>
      <c r="M1315" s="10" t="n"/>
      <c r="N1315" s="6" t="n">
        <v>37</v>
      </c>
      <c r="O1315" s="6" t="n">
        <v>4514</v>
      </c>
      <c r="P1315" s="6" t="n">
        <v>1</v>
      </c>
      <c r="Q1315" s="6">
        <f>IF(OR(K1315="On time",K1315="Late",K1315="Very late"),1,0)</f>
        <v/>
      </c>
    </row>
    <row r="1316">
      <c r="A1316" s="10" t="inlineStr">
        <is>
          <t>DN319550</t>
        </is>
      </c>
      <c r="B1316" s="10" t="inlineStr">
        <is>
          <t>SO63491</t>
        </is>
      </c>
      <c r="C1316" s="10" t="inlineStr">
        <is>
          <t>C10689</t>
        </is>
      </c>
      <c r="D1316" s="10">
        <f>INDEX(Customers!$B:$B,MATCH(C1316,Customers!$A:$A,0))</f>
        <v/>
      </c>
      <c r="E1316" s="10">
        <f>INDEX(Customers!$D:$D,MATCH(C1316,Customers!$A:$A,0))</f>
        <v/>
      </c>
      <c r="F1316" s="10" t="inlineStr">
        <is>
          <t>Own trucks</t>
        </is>
      </c>
      <c r="G1316" s="5" t="n">
        <v>46280</v>
      </c>
      <c r="H1316" s="5" t="n">
        <v>46281</v>
      </c>
      <c r="I1316" s="5" t="n">
        <v>46281</v>
      </c>
      <c r="J1316" s="10" t="inlineStr">
        <is>
          <t>15:50</t>
        </is>
      </c>
      <c r="K1316" s="10" t="inlineStr">
        <is>
          <t>On time</t>
        </is>
      </c>
      <c r="L1316" s="6" t="n">
        <v>0</v>
      </c>
      <c r="M1316" s="10" t="n"/>
      <c r="N1316" s="6" t="n">
        <v>24</v>
      </c>
      <c r="O1316" s="6" t="n">
        <v>1776</v>
      </c>
      <c r="P1316" s="6" t="n">
        <v>1</v>
      </c>
      <c r="Q1316" s="6">
        <f>IF(OR(K1316="On time",K1316="Late",K1316="Very late"),1,0)</f>
        <v/>
      </c>
    </row>
    <row r="1317">
      <c r="A1317" s="10" t="inlineStr">
        <is>
          <t>DN319551</t>
        </is>
      </c>
      <c r="B1317" s="10" t="inlineStr">
        <is>
          <t>SO63492</t>
        </is>
      </c>
      <c r="C1317" s="10" t="inlineStr">
        <is>
          <t>C10847</t>
        </is>
      </c>
      <c r="D1317" s="10">
        <f>INDEX(Customers!$B:$B,MATCH(C1317,Customers!$A:$A,0))</f>
        <v/>
      </c>
      <c r="E1317" s="10">
        <f>INDEX(Customers!$D:$D,MATCH(C1317,Customers!$A:$A,0))</f>
        <v/>
      </c>
      <c r="F1317" s="10" t="inlineStr">
        <is>
          <t>Own trucks</t>
        </is>
      </c>
      <c r="G1317" s="5" t="n">
        <v>46280</v>
      </c>
      <c r="H1317" s="5" t="n">
        <v>46281</v>
      </c>
      <c r="I1317" s="5" t="n">
        <v>46281</v>
      </c>
      <c r="J1317" s="10" t="inlineStr">
        <is>
          <t>10:50</t>
        </is>
      </c>
      <c r="K1317" s="10" t="inlineStr">
        <is>
          <t>On time</t>
        </is>
      </c>
      <c r="L1317" s="6" t="n">
        <v>0</v>
      </c>
      <c r="M1317" s="10" t="n"/>
      <c r="N1317" s="6" t="n">
        <v>19</v>
      </c>
      <c r="O1317" s="6" t="n">
        <v>1862</v>
      </c>
      <c r="P1317" s="6" t="n">
        <v>1</v>
      </c>
      <c r="Q1317" s="6">
        <f>IF(OR(K1317="On time",K1317="Late",K1317="Very late"),1,0)</f>
        <v/>
      </c>
    </row>
    <row r="1318">
      <c r="A1318" s="10" t="inlineStr">
        <is>
          <t>DN319553</t>
        </is>
      </c>
      <c r="B1318" s="10" t="inlineStr">
        <is>
          <t>SO63494</t>
        </is>
      </c>
      <c r="C1318" s="10" t="inlineStr">
        <is>
          <t>C10915</t>
        </is>
      </c>
      <c r="D1318" s="10">
        <f>INDEX(Customers!$B:$B,MATCH(C1318,Customers!$A:$A,0))</f>
        <v/>
      </c>
      <c r="E1318" s="10">
        <f>INDEX(Customers!$D:$D,MATCH(C1318,Customers!$A:$A,0))</f>
        <v/>
      </c>
      <c r="F1318" s="10" t="inlineStr">
        <is>
          <t>Own trucks</t>
        </is>
      </c>
      <c r="G1318" s="5" t="n">
        <v>46280</v>
      </c>
      <c r="H1318" s="5" t="n">
        <v>46281</v>
      </c>
      <c r="I1318" s="5" t="n">
        <v>46281</v>
      </c>
      <c r="J1318" s="10" t="inlineStr">
        <is>
          <t>15:10</t>
        </is>
      </c>
      <c r="K1318" s="10" t="inlineStr">
        <is>
          <t>On time</t>
        </is>
      </c>
      <c r="L1318" s="6" t="n">
        <v>0</v>
      </c>
      <c r="M1318" s="10" t="n"/>
      <c r="N1318" s="6" t="n">
        <v>20</v>
      </c>
      <c r="O1318" s="6" t="n">
        <v>1700</v>
      </c>
      <c r="P1318" s="6" t="n">
        <v>1</v>
      </c>
      <c r="Q1318" s="6">
        <f>IF(OR(K1318="On time",K1318="Late",K1318="Very late"),1,0)</f>
        <v/>
      </c>
    </row>
    <row r="1319">
      <c r="A1319" s="10" t="inlineStr">
        <is>
          <t>DN319554</t>
        </is>
      </c>
      <c r="B1319" s="10" t="inlineStr">
        <is>
          <t>SO63495</t>
        </is>
      </c>
      <c r="C1319" s="10" t="inlineStr">
        <is>
          <t>C10982</t>
        </is>
      </c>
      <c r="D1319" s="10">
        <f>INDEX(Customers!$B:$B,MATCH(C1319,Customers!$A:$A,0))</f>
        <v/>
      </c>
      <c r="E1319" s="10">
        <f>INDEX(Customers!$D:$D,MATCH(C1319,Customers!$A:$A,0))</f>
        <v/>
      </c>
      <c r="F1319" s="10" t="inlineStr">
        <is>
          <t>Own trucks</t>
        </is>
      </c>
      <c r="G1319" s="5" t="n">
        <v>46280</v>
      </c>
      <c r="H1319" s="5" t="n">
        <v>46281</v>
      </c>
      <c r="I1319" s="5" t="n">
        <v>46281</v>
      </c>
      <c r="J1319" s="10" t="inlineStr">
        <is>
          <t>15:50</t>
        </is>
      </c>
      <c r="K1319" s="10" t="inlineStr">
        <is>
          <t>On time</t>
        </is>
      </c>
      <c r="L1319" s="6" t="n">
        <v>0</v>
      </c>
      <c r="M1319" s="10" t="n"/>
      <c r="N1319" s="6" t="n">
        <v>17</v>
      </c>
      <c r="O1319" s="6" t="n">
        <v>1700</v>
      </c>
      <c r="P1319" s="6" t="n">
        <v>1</v>
      </c>
      <c r="Q1319" s="6">
        <f>IF(OR(K1319="On time",K1319="Late",K1319="Very late"),1,0)</f>
        <v/>
      </c>
    </row>
    <row r="1320">
      <c r="A1320" s="10" t="inlineStr">
        <is>
          <t>DN319555</t>
        </is>
      </c>
      <c r="B1320" s="10" t="inlineStr">
        <is>
          <t>SO63496</t>
        </is>
      </c>
      <c r="C1320" s="10" t="inlineStr">
        <is>
          <t>C11107</t>
        </is>
      </c>
      <c r="D1320" s="10">
        <f>INDEX(Customers!$B:$B,MATCH(C1320,Customers!$A:$A,0))</f>
        <v/>
      </c>
      <c r="E1320" s="10">
        <f>INDEX(Customers!$D:$D,MATCH(C1320,Customers!$A:$A,0))</f>
        <v/>
      </c>
      <c r="F1320" s="10" t="inlineStr">
        <is>
          <t>Own trucks</t>
        </is>
      </c>
      <c r="G1320" s="5" t="n">
        <v>46280</v>
      </c>
      <c r="H1320" s="5" t="n">
        <v>46281</v>
      </c>
      <c r="I1320" s="5" t="n">
        <v>46281</v>
      </c>
      <c r="J1320" s="10" t="inlineStr">
        <is>
          <t>12:10</t>
        </is>
      </c>
      <c r="K1320" s="10" t="inlineStr">
        <is>
          <t>On time</t>
        </is>
      </c>
      <c r="L1320" s="6" t="n">
        <v>0</v>
      </c>
      <c r="M1320" s="10" t="n"/>
      <c r="N1320" s="6" t="n">
        <v>29</v>
      </c>
      <c r="O1320" s="6" t="n">
        <v>3364</v>
      </c>
      <c r="P1320" s="6" t="n">
        <v>1</v>
      </c>
      <c r="Q1320" s="6">
        <f>IF(OR(K1320="On time",K1320="Late",K1320="Very late"),1,0)</f>
        <v/>
      </c>
    </row>
    <row r="1321">
      <c r="A1321" s="10" t="inlineStr">
        <is>
          <t>DN319556</t>
        </is>
      </c>
      <c r="B1321" s="10" t="inlineStr">
        <is>
          <t>SO63497</t>
        </is>
      </c>
      <c r="C1321" s="10" t="inlineStr">
        <is>
          <t>C11186</t>
        </is>
      </c>
      <c r="D1321" s="10">
        <f>INDEX(Customers!$B:$B,MATCH(C1321,Customers!$A:$A,0))</f>
        <v/>
      </c>
      <c r="E1321" s="10">
        <f>INDEX(Customers!$D:$D,MATCH(C1321,Customers!$A:$A,0))</f>
        <v/>
      </c>
      <c r="F1321" s="10" t="inlineStr">
        <is>
          <t>Own trucks</t>
        </is>
      </c>
      <c r="G1321" s="5" t="n">
        <v>46280</v>
      </c>
      <c r="H1321" s="5" t="n">
        <v>46281</v>
      </c>
      <c r="I1321" s="5" t="n">
        <v>46281</v>
      </c>
      <c r="J1321" s="10" t="inlineStr">
        <is>
          <t>14:30</t>
        </is>
      </c>
      <c r="K1321" s="10" t="inlineStr">
        <is>
          <t>On time</t>
        </is>
      </c>
      <c r="L1321" s="6" t="n">
        <v>0</v>
      </c>
      <c r="M1321" s="10" t="n"/>
      <c r="N1321" s="6" t="n">
        <v>23</v>
      </c>
      <c r="O1321" s="6" t="n">
        <v>2783</v>
      </c>
      <c r="P1321" s="6" t="n">
        <v>1</v>
      </c>
      <c r="Q1321" s="6">
        <f>IF(OR(K1321="On time",K1321="Late",K1321="Very late"),1,0)</f>
        <v/>
      </c>
    </row>
    <row r="1322">
      <c r="A1322" s="10" t="inlineStr">
        <is>
          <t>DN319557</t>
        </is>
      </c>
      <c r="B1322" s="10" t="inlineStr">
        <is>
          <t>SO63498</t>
        </is>
      </c>
      <c r="C1322" s="10" t="inlineStr">
        <is>
          <t>C11264</t>
        </is>
      </c>
      <c r="D1322" s="10">
        <f>INDEX(Customers!$B:$B,MATCH(C1322,Customers!$A:$A,0))</f>
        <v/>
      </c>
      <c r="E1322" s="10">
        <f>INDEX(Customers!$D:$D,MATCH(C1322,Customers!$A:$A,0))</f>
        <v/>
      </c>
      <c r="F1322" s="10" t="inlineStr">
        <is>
          <t>Own trucks</t>
        </is>
      </c>
      <c r="G1322" s="5" t="n">
        <v>46280</v>
      </c>
      <c r="H1322" s="5" t="n">
        <v>46281</v>
      </c>
      <c r="I1322" s="5" t="n">
        <v>46281</v>
      </c>
      <c r="J1322" s="10" t="inlineStr">
        <is>
          <t>11:40</t>
        </is>
      </c>
      <c r="K1322" s="10" t="inlineStr">
        <is>
          <t>On time</t>
        </is>
      </c>
      <c r="L1322" s="6" t="n">
        <v>0</v>
      </c>
      <c r="M1322" s="10" t="n"/>
      <c r="N1322" s="6" t="n">
        <v>34</v>
      </c>
      <c r="O1322" s="6" t="n">
        <v>3196</v>
      </c>
      <c r="P1322" s="6" t="n">
        <v>1</v>
      </c>
      <c r="Q1322" s="6">
        <f>IF(OR(K1322="On time",K1322="Late",K1322="Very late"),1,0)</f>
        <v/>
      </c>
    </row>
    <row r="1323">
      <c r="A1323" s="10" t="inlineStr">
        <is>
          <t>DN319558</t>
        </is>
      </c>
      <c r="B1323" s="10" t="inlineStr">
        <is>
          <t>SO63499</t>
        </is>
      </c>
      <c r="C1323" s="10" t="inlineStr">
        <is>
          <t>C11314</t>
        </is>
      </c>
      <c r="D1323" s="10">
        <f>INDEX(Customers!$B:$B,MATCH(C1323,Customers!$A:$A,0))</f>
        <v/>
      </c>
      <c r="E1323" s="10">
        <f>INDEX(Customers!$D:$D,MATCH(C1323,Customers!$A:$A,0))</f>
        <v/>
      </c>
      <c r="F1323" s="10" t="inlineStr">
        <is>
          <t>Own trucks</t>
        </is>
      </c>
      <c r="G1323" s="5" t="n">
        <v>46280</v>
      </c>
      <c r="H1323" s="5" t="n">
        <v>46281</v>
      </c>
      <c r="I1323" s="5" t="n">
        <v>46281</v>
      </c>
      <c r="J1323" s="10" t="inlineStr">
        <is>
          <t>11:30</t>
        </is>
      </c>
      <c r="K1323" s="10" t="inlineStr">
        <is>
          <t>On time</t>
        </is>
      </c>
      <c r="L1323" s="6" t="n">
        <v>0</v>
      </c>
      <c r="M1323" s="10" t="n"/>
      <c r="N1323" s="6" t="n">
        <v>36</v>
      </c>
      <c r="O1323" s="6" t="n">
        <v>4212</v>
      </c>
      <c r="P1323" s="6" t="n">
        <v>1</v>
      </c>
      <c r="Q1323" s="6">
        <f>IF(OR(K1323="On time",K1323="Late",K1323="Very late"),1,0)</f>
        <v/>
      </c>
    </row>
    <row r="1324">
      <c r="A1324" s="10" t="inlineStr">
        <is>
          <t>DN319559</t>
        </is>
      </c>
      <c r="B1324" s="10" t="inlineStr">
        <is>
          <t>SO63500</t>
        </is>
      </c>
      <c r="C1324" s="10" t="inlineStr">
        <is>
          <t>C11333</t>
        </is>
      </c>
      <c r="D1324" s="10">
        <f>INDEX(Customers!$B:$B,MATCH(C1324,Customers!$A:$A,0))</f>
        <v/>
      </c>
      <c r="E1324" s="10">
        <f>INDEX(Customers!$D:$D,MATCH(C1324,Customers!$A:$A,0))</f>
        <v/>
      </c>
      <c r="F1324" s="10" t="inlineStr">
        <is>
          <t>Own trucks</t>
        </is>
      </c>
      <c r="G1324" s="5" t="n">
        <v>46280</v>
      </c>
      <c r="H1324" s="5" t="n">
        <v>46281</v>
      </c>
      <c r="I1324" s="5" t="n">
        <v>46282</v>
      </c>
      <c r="J1324" s="10" t="inlineStr">
        <is>
          <t>13:50</t>
        </is>
      </c>
      <c r="K1324" s="10" t="inlineStr">
        <is>
          <t>Late</t>
        </is>
      </c>
      <c r="L1324" s="6" t="n">
        <v>1</v>
      </c>
      <c r="M1324" s="10" t="inlineStr">
        <is>
          <t>Customer closed (failed attempt)</t>
        </is>
      </c>
      <c r="N1324" s="6" t="n">
        <v>11</v>
      </c>
      <c r="O1324" s="6" t="n">
        <v>1507</v>
      </c>
      <c r="P1324" s="6" t="n">
        <v>1</v>
      </c>
      <c r="Q1324" s="6">
        <f>IF(OR(K1324="On time",K1324="Late",K1324="Very late"),1,0)</f>
        <v/>
      </c>
    </row>
    <row r="1325">
      <c r="A1325" s="10" t="inlineStr">
        <is>
          <t>DN319560</t>
        </is>
      </c>
      <c r="B1325" s="10" t="inlineStr">
        <is>
          <t>SO63501</t>
        </is>
      </c>
      <c r="C1325" s="10" t="inlineStr">
        <is>
          <t>C11400</t>
        </is>
      </c>
      <c r="D1325" s="10">
        <f>INDEX(Customers!$B:$B,MATCH(C1325,Customers!$A:$A,0))</f>
        <v/>
      </c>
      <c r="E1325" s="10">
        <f>INDEX(Customers!$D:$D,MATCH(C1325,Customers!$A:$A,0))</f>
        <v/>
      </c>
      <c r="F1325" s="10" t="inlineStr">
        <is>
          <t>Own trucks</t>
        </is>
      </c>
      <c r="G1325" s="5" t="n">
        <v>46280</v>
      </c>
      <c r="H1325" s="5" t="n">
        <v>46281</v>
      </c>
      <c r="I1325" s="5" t="n">
        <v>46281</v>
      </c>
      <c r="J1325" s="10" t="inlineStr">
        <is>
          <t>13:10</t>
        </is>
      </c>
      <c r="K1325" s="10" t="inlineStr">
        <is>
          <t>On time</t>
        </is>
      </c>
      <c r="L1325" s="6" t="n">
        <v>0</v>
      </c>
      <c r="M1325" s="10" t="n"/>
      <c r="N1325" s="6" t="n">
        <v>7</v>
      </c>
      <c r="O1325" s="6" t="n">
        <v>959</v>
      </c>
      <c r="P1325" s="6" t="n">
        <v>1</v>
      </c>
      <c r="Q1325" s="6">
        <f>IF(OR(K1325="On time",K1325="Late",K1325="Very late"),1,0)</f>
        <v/>
      </c>
    </row>
    <row r="1326">
      <c r="A1326" s="10" t="inlineStr">
        <is>
          <t>DN319561</t>
        </is>
      </c>
      <c r="B1326" s="10" t="inlineStr">
        <is>
          <t>SO63502</t>
        </is>
      </c>
      <c r="C1326" s="10" t="inlineStr">
        <is>
          <t>C11463</t>
        </is>
      </c>
      <c r="D1326" s="10">
        <f>INDEX(Customers!$B:$B,MATCH(C1326,Customers!$A:$A,0))</f>
        <v/>
      </c>
      <c r="E1326" s="10">
        <f>INDEX(Customers!$D:$D,MATCH(C1326,Customers!$A:$A,0))</f>
        <v/>
      </c>
      <c r="F1326" s="10" t="inlineStr">
        <is>
          <t>Own trucks</t>
        </is>
      </c>
      <c r="G1326" s="5" t="n">
        <v>46280</v>
      </c>
      <c r="H1326" s="5" t="n">
        <v>46281</v>
      </c>
      <c r="I1326" s="5" t="n">
        <v>46281</v>
      </c>
      <c r="J1326" s="10" t="inlineStr">
        <is>
          <t>14:10</t>
        </is>
      </c>
      <c r="K1326" s="10" t="inlineStr">
        <is>
          <t>On time</t>
        </is>
      </c>
      <c r="L1326" s="6" t="n">
        <v>0</v>
      </c>
      <c r="M1326" s="10" t="n"/>
      <c r="N1326" s="6" t="n">
        <v>17</v>
      </c>
      <c r="O1326" s="6" t="n">
        <v>1360</v>
      </c>
      <c r="P1326" s="6" t="n">
        <v>1</v>
      </c>
      <c r="Q1326" s="6">
        <f>IF(OR(K1326="On time",K1326="Late",K1326="Very late"),1,0)</f>
        <v/>
      </c>
    </row>
    <row r="1327">
      <c r="A1327" s="10" t="inlineStr">
        <is>
          <t>DN319562</t>
        </is>
      </c>
      <c r="B1327" s="10" t="inlineStr">
        <is>
          <t>SO63504</t>
        </is>
      </c>
      <c r="C1327" s="10" t="inlineStr">
        <is>
          <t>C11518</t>
        </is>
      </c>
      <c r="D1327" s="10">
        <f>INDEX(Customers!$B:$B,MATCH(C1327,Customers!$A:$A,0))</f>
        <v/>
      </c>
      <c r="E1327" s="10">
        <f>INDEX(Customers!$D:$D,MATCH(C1327,Customers!$A:$A,0))</f>
        <v/>
      </c>
      <c r="F1327" s="10" t="inlineStr">
        <is>
          <t>Own trucks</t>
        </is>
      </c>
      <c r="G1327" s="5" t="n">
        <v>46280</v>
      </c>
      <c r="H1327" s="5" t="n">
        <v>46281</v>
      </c>
      <c r="I1327" s="5" t="n">
        <v>46281</v>
      </c>
      <c r="J1327" s="10" t="inlineStr">
        <is>
          <t>10:40</t>
        </is>
      </c>
      <c r="K1327" s="10" t="inlineStr">
        <is>
          <t>On time</t>
        </is>
      </c>
      <c r="L1327" s="6" t="n">
        <v>0</v>
      </c>
      <c r="M1327" s="10" t="n"/>
      <c r="N1327" s="6" t="n">
        <v>4</v>
      </c>
      <c r="O1327" s="6" t="n">
        <v>324</v>
      </c>
      <c r="P1327" s="6" t="n">
        <v>1</v>
      </c>
      <c r="Q1327" s="6">
        <f>IF(OR(K1327="On time",K1327="Late",K1327="Very late"),1,0)</f>
        <v/>
      </c>
    </row>
    <row r="1328">
      <c r="A1328" s="10" t="inlineStr">
        <is>
          <t>DN319563</t>
        </is>
      </c>
      <c r="B1328" s="10" t="inlineStr">
        <is>
          <t>SO63505</t>
        </is>
      </c>
      <c r="C1328" s="10" t="inlineStr">
        <is>
          <t>C11579</t>
        </is>
      </c>
      <c r="D1328" s="10">
        <f>INDEX(Customers!$B:$B,MATCH(C1328,Customers!$A:$A,0))</f>
        <v/>
      </c>
      <c r="E1328" s="10">
        <f>INDEX(Customers!$D:$D,MATCH(C1328,Customers!$A:$A,0))</f>
        <v/>
      </c>
      <c r="F1328" s="10" t="inlineStr">
        <is>
          <t>Own trucks</t>
        </is>
      </c>
      <c r="G1328" s="5" t="n">
        <v>46280</v>
      </c>
      <c r="H1328" s="5" t="n">
        <v>46281</v>
      </c>
      <c r="I1328" s="5" t="n">
        <v>46281</v>
      </c>
      <c r="J1328" s="10" t="inlineStr">
        <is>
          <t>07:20</t>
        </is>
      </c>
      <c r="K1328" s="10" t="inlineStr">
        <is>
          <t>On time</t>
        </is>
      </c>
      <c r="L1328" s="6" t="n">
        <v>0</v>
      </c>
      <c r="M1328" s="10" t="n"/>
      <c r="N1328" s="6" t="n">
        <v>28</v>
      </c>
      <c r="O1328" s="6" t="n">
        <v>3696</v>
      </c>
      <c r="P1328" s="6" t="n">
        <v>1</v>
      </c>
      <c r="Q1328" s="6">
        <f>IF(OR(K1328="On time",K1328="Late",K1328="Very late"),1,0)</f>
        <v/>
      </c>
    </row>
    <row r="1329">
      <c r="A1329" s="10" t="inlineStr">
        <is>
          <t>DN319564</t>
        </is>
      </c>
      <c r="B1329" s="10" t="inlineStr">
        <is>
          <t>SO63506</t>
        </is>
      </c>
      <c r="C1329" s="10" t="inlineStr">
        <is>
          <t>C11616</t>
        </is>
      </c>
      <c r="D1329" s="10">
        <f>INDEX(Customers!$B:$B,MATCH(C1329,Customers!$A:$A,0))</f>
        <v/>
      </c>
      <c r="E1329" s="10">
        <f>INDEX(Customers!$D:$D,MATCH(C1329,Customers!$A:$A,0))</f>
        <v/>
      </c>
      <c r="F1329" s="10" t="inlineStr">
        <is>
          <t>Own trucks</t>
        </is>
      </c>
      <c r="G1329" s="5" t="n">
        <v>46280</v>
      </c>
      <c r="H1329" s="5" t="n">
        <v>46281</v>
      </c>
      <c r="I1329" s="5" t="n">
        <v>46281</v>
      </c>
      <c r="J1329" s="10" t="inlineStr">
        <is>
          <t>16:50</t>
        </is>
      </c>
      <c r="K1329" s="10" t="inlineStr">
        <is>
          <t>On time</t>
        </is>
      </c>
      <c r="L1329" s="6" t="n">
        <v>0</v>
      </c>
      <c r="M1329" s="10" t="n"/>
      <c r="N1329" s="6" t="n">
        <v>13</v>
      </c>
      <c r="O1329" s="6" t="n">
        <v>962</v>
      </c>
      <c r="P1329" s="6" t="n">
        <v>1</v>
      </c>
      <c r="Q1329" s="6">
        <f>IF(OR(K1329="On time",K1329="Late",K1329="Very late"),1,0)</f>
        <v/>
      </c>
    </row>
    <row r="1330">
      <c r="A1330" s="10" t="inlineStr">
        <is>
          <t>DN319565</t>
        </is>
      </c>
      <c r="B1330" s="10" t="inlineStr">
        <is>
          <t>SO63507</t>
        </is>
      </c>
      <c r="C1330" s="10" t="inlineStr">
        <is>
          <t>C11666</t>
        </is>
      </c>
      <c r="D1330" s="10">
        <f>INDEX(Customers!$B:$B,MATCH(C1330,Customers!$A:$A,0))</f>
        <v/>
      </c>
      <c r="E1330" s="10">
        <f>INDEX(Customers!$D:$D,MATCH(C1330,Customers!$A:$A,0))</f>
        <v/>
      </c>
      <c r="F1330" s="10" t="inlineStr">
        <is>
          <t>Own trucks</t>
        </is>
      </c>
      <c r="G1330" s="5" t="n">
        <v>46280</v>
      </c>
      <c r="H1330" s="5" t="n">
        <v>46281</v>
      </c>
      <c r="I1330" s="5" t="n">
        <v>46281</v>
      </c>
      <c r="J1330" s="10" t="inlineStr">
        <is>
          <t>16:30</t>
        </is>
      </c>
      <c r="K1330" s="10" t="inlineStr">
        <is>
          <t>On time</t>
        </is>
      </c>
      <c r="L1330" s="6" t="n">
        <v>0</v>
      </c>
      <c r="M1330" s="10" t="n"/>
      <c r="N1330" s="6" t="n">
        <v>8</v>
      </c>
      <c r="O1330" s="6" t="n">
        <v>896</v>
      </c>
      <c r="P1330" s="6" t="n">
        <v>1</v>
      </c>
      <c r="Q1330" s="6">
        <f>IF(OR(K1330="On time",K1330="Late",K1330="Very late"),1,0)</f>
        <v/>
      </c>
    </row>
    <row r="1331">
      <c r="A1331" s="10" t="inlineStr">
        <is>
          <t>DN319566</t>
        </is>
      </c>
      <c r="B1331" s="10" t="inlineStr">
        <is>
          <t>SO63508</t>
        </is>
      </c>
      <c r="C1331" s="10" t="inlineStr">
        <is>
          <t>C11745</t>
        </is>
      </c>
      <c r="D1331" s="10">
        <f>INDEX(Customers!$B:$B,MATCH(C1331,Customers!$A:$A,0))</f>
        <v/>
      </c>
      <c r="E1331" s="10">
        <f>INDEX(Customers!$D:$D,MATCH(C1331,Customers!$A:$A,0))</f>
        <v/>
      </c>
      <c r="F1331" s="10" t="inlineStr">
        <is>
          <t>Own trucks</t>
        </is>
      </c>
      <c r="G1331" s="5" t="n">
        <v>46280</v>
      </c>
      <c r="H1331" s="5" t="n">
        <v>46281</v>
      </c>
      <c r="I1331" s="5" t="n">
        <v>46281</v>
      </c>
      <c r="J1331" s="10" t="inlineStr">
        <is>
          <t>14:00</t>
        </is>
      </c>
      <c r="K1331" s="10" t="inlineStr">
        <is>
          <t>On time</t>
        </is>
      </c>
      <c r="L1331" s="6" t="n">
        <v>0</v>
      </c>
      <c r="M1331" s="10" t="n"/>
      <c r="N1331" s="6" t="n">
        <v>15</v>
      </c>
      <c r="O1331" s="6" t="n">
        <v>1530</v>
      </c>
      <c r="P1331" s="6" t="n">
        <v>1</v>
      </c>
      <c r="Q1331" s="6">
        <f>IF(OR(K1331="On time",K1331="Late",K1331="Very late"),1,0)</f>
        <v/>
      </c>
    </row>
    <row r="1332">
      <c r="A1332" s="10" t="inlineStr">
        <is>
          <t>DN319567</t>
        </is>
      </c>
      <c r="B1332" s="10" t="inlineStr">
        <is>
          <t>SO63509</t>
        </is>
      </c>
      <c r="C1332" s="10" t="inlineStr">
        <is>
          <t>C11866</t>
        </is>
      </c>
      <c r="D1332" s="10">
        <f>INDEX(Customers!$B:$B,MATCH(C1332,Customers!$A:$A,0))</f>
        <v/>
      </c>
      <c r="E1332" s="10">
        <f>INDEX(Customers!$D:$D,MATCH(C1332,Customers!$A:$A,0))</f>
        <v/>
      </c>
      <c r="F1332" s="10" t="inlineStr">
        <is>
          <t>Carrier A</t>
        </is>
      </c>
      <c r="G1332" s="5" t="n">
        <v>46280</v>
      </c>
      <c r="H1332" s="5" t="n">
        <v>46281</v>
      </c>
      <c r="I1332" s="5" t="n">
        <v>46281</v>
      </c>
      <c r="J1332" s="10" t="inlineStr">
        <is>
          <t>10:00</t>
        </is>
      </c>
      <c r="K1332" s="10" t="inlineStr">
        <is>
          <t>On time</t>
        </is>
      </c>
      <c r="L1332" s="6" t="n">
        <v>0</v>
      </c>
      <c r="M1332" s="10" t="n"/>
      <c r="N1332" s="6" t="n">
        <v>14</v>
      </c>
      <c r="O1332" s="6" t="n">
        <v>1232</v>
      </c>
      <c r="P1332" s="6" t="n">
        <v>1</v>
      </c>
      <c r="Q1332" s="6">
        <f>IF(OR(K1332="On time",K1332="Late",K1332="Very late"),1,0)</f>
        <v/>
      </c>
    </row>
    <row r="1333">
      <c r="A1333" s="10" t="inlineStr">
        <is>
          <t>DN319568</t>
        </is>
      </c>
      <c r="B1333" s="10" t="inlineStr">
        <is>
          <t>SO63511</t>
        </is>
      </c>
      <c r="C1333" s="10" t="inlineStr">
        <is>
          <t>C11950</t>
        </is>
      </c>
      <c r="D1333" s="10">
        <f>INDEX(Customers!$B:$B,MATCH(C1333,Customers!$A:$A,0))</f>
        <v/>
      </c>
      <c r="E1333" s="10">
        <f>INDEX(Customers!$D:$D,MATCH(C1333,Customers!$A:$A,0))</f>
        <v/>
      </c>
      <c r="F1333" s="10" t="inlineStr">
        <is>
          <t>Carrier A</t>
        </is>
      </c>
      <c r="G1333" s="5" t="n">
        <v>46280</v>
      </c>
      <c r="H1333" s="5" t="n">
        <v>46281</v>
      </c>
      <c r="I1333" s="5" t="n">
        <v>46281</v>
      </c>
      <c r="J1333" s="10" t="inlineStr">
        <is>
          <t>09:10</t>
        </is>
      </c>
      <c r="K1333" s="10" t="inlineStr">
        <is>
          <t>On time</t>
        </is>
      </c>
      <c r="L1333" s="6" t="n">
        <v>0</v>
      </c>
      <c r="M1333" s="10" t="n"/>
      <c r="N1333" s="6" t="n">
        <v>37</v>
      </c>
      <c r="O1333" s="6" t="n">
        <v>4662</v>
      </c>
      <c r="P1333" s="6" t="n">
        <v>1</v>
      </c>
      <c r="Q1333" s="6">
        <f>IF(OR(K1333="On time",K1333="Late",K1333="Very late"),1,0)</f>
        <v/>
      </c>
    </row>
    <row r="1334">
      <c r="A1334" s="10" t="inlineStr">
        <is>
          <t>DN319569</t>
        </is>
      </c>
      <c r="B1334" s="10" t="inlineStr">
        <is>
          <t>SO63513</t>
        </is>
      </c>
      <c r="C1334" s="10" t="inlineStr">
        <is>
          <t>C11971</t>
        </is>
      </c>
      <c r="D1334" s="10">
        <f>INDEX(Customers!$B:$B,MATCH(C1334,Customers!$A:$A,0))</f>
        <v/>
      </c>
      <c r="E1334" s="10">
        <f>INDEX(Customers!$D:$D,MATCH(C1334,Customers!$A:$A,0))</f>
        <v/>
      </c>
      <c r="F1334" s="10" t="inlineStr">
        <is>
          <t>Own trucks</t>
        </is>
      </c>
      <c r="G1334" s="5" t="n">
        <v>46280</v>
      </c>
      <c r="H1334" s="5" t="n">
        <v>46281</v>
      </c>
      <c r="I1334" s="5" t="n">
        <v>46281</v>
      </c>
      <c r="J1334" s="10" t="inlineStr">
        <is>
          <t>14:40</t>
        </is>
      </c>
      <c r="K1334" s="10" t="inlineStr">
        <is>
          <t>On time</t>
        </is>
      </c>
      <c r="L1334" s="6" t="n">
        <v>0</v>
      </c>
      <c r="M1334" s="10" t="n"/>
      <c r="N1334" s="6" t="n">
        <v>8</v>
      </c>
      <c r="O1334" s="6" t="n">
        <v>512</v>
      </c>
      <c r="P1334" s="6" t="n">
        <v>1</v>
      </c>
      <c r="Q1334" s="6">
        <f>IF(OR(K1334="On time",K1334="Late",K1334="Very late"),1,0)</f>
        <v/>
      </c>
    </row>
    <row r="1335">
      <c r="A1335" s="10" t="inlineStr">
        <is>
          <t>DN319570</t>
        </is>
      </c>
      <c r="B1335" s="10" t="inlineStr">
        <is>
          <t>SO63514</t>
        </is>
      </c>
      <c r="C1335" s="10" t="inlineStr">
        <is>
          <t>C12037</t>
        </is>
      </c>
      <c r="D1335" s="10">
        <f>INDEX(Customers!$B:$B,MATCH(C1335,Customers!$A:$A,0))</f>
        <v/>
      </c>
      <c r="E1335" s="10">
        <f>INDEX(Customers!$D:$D,MATCH(C1335,Customers!$A:$A,0))</f>
        <v/>
      </c>
      <c r="F1335" s="10" t="inlineStr">
        <is>
          <t>Own trucks</t>
        </is>
      </c>
      <c r="G1335" s="5" t="n">
        <v>46280</v>
      </c>
      <c r="H1335" s="5" t="n">
        <v>46281</v>
      </c>
      <c r="I1335" s="5" t="n">
        <v>46281</v>
      </c>
      <c r="J1335" s="10" t="inlineStr">
        <is>
          <t>15:30</t>
        </is>
      </c>
      <c r="K1335" s="10" t="inlineStr">
        <is>
          <t>On time</t>
        </is>
      </c>
      <c r="L1335" s="6" t="n">
        <v>0</v>
      </c>
      <c r="M1335" s="10" t="n"/>
      <c r="N1335" s="6" t="n">
        <v>6</v>
      </c>
      <c r="O1335" s="6" t="n">
        <v>720</v>
      </c>
      <c r="P1335" s="6" t="n">
        <v>1</v>
      </c>
      <c r="Q1335" s="6">
        <f>IF(OR(K1335="On time",K1335="Late",K1335="Very late"),1,0)</f>
        <v/>
      </c>
    </row>
    <row r="1336">
      <c r="A1336" s="10" t="inlineStr">
        <is>
          <t>DN319571</t>
        </is>
      </c>
      <c r="B1336" s="10" t="inlineStr">
        <is>
          <t>SO63515</t>
        </is>
      </c>
      <c r="C1336" s="10" t="inlineStr">
        <is>
          <t>C12103</t>
        </is>
      </c>
      <c r="D1336" s="10">
        <f>INDEX(Customers!$B:$B,MATCH(C1336,Customers!$A:$A,0))</f>
        <v/>
      </c>
      <c r="E1336" s="10">
        <f>INDEX(Customers!$D:$D,MATCH(C1336,Customers!$A:$A,0))</f>
        <v/>
      </c>
      <c r="F1336" s="10" t="inlineStr">
        <is>
          <t>Own trucks</t>
        </is>
      </c>
      <c r="G1336" s="5" t="n">
        <v>46280</v>
      </c>
      <c r="H1336" s="5" t="n">
        <v>46281</v>
      </c>
      <c r="I1336" s="5" t="n">
        <v>46281</v>
      </c>
      <c r="J1336" s="10" t="inlineStr">
        <is>
          <t>15:50</t>
        </is>
      </c>
      <c r="K1336" s="10" t="inlineStr">
        <is>
          <t>On time</t>
        </is>
      </c>
      <c r="L1336" s="6" t="n">
        <v>0</v>
      </c>
      <c r="M1336" s="10" t="n"/>
      <c r="N1336" s="6" t="n">
        <v>9</v>
      </c>
      <c r="O1336" s="6" t="n">
        <v>1161</v>
      </c>
      <c r="P1336" s="6" t="n">
        <v>1</v>
      </c>
      <c r="Q1336" s="6">
        <f>IF(OR(K1336="On time",K1336="Late",K1336="Very late"),1,0)</f>
        <v/>
      </c>
    </row>
    <row r="1337">
      <c r="A1337" s="10" t="inlineStr">
        <is>
          <t>DN319572</t>
        </is>
      </c>
      <c r="B1337" s="10" t="inlineStr">
        <is>
          <t>SO63517</t>
        </is>
      </c>
      <c r="C1337" s="10" t="inlineStr">
        <is>
          <t>C12117</t>
        </is>
      </c>
      <c r="D1337" s="10">
        <f>INDEX(Customers!$B:$B,MATCH(C1337,Customers!$A:$A,0))</f>
        <v/>
      </c>
      <c r="E1337" s="10">
        <f>INDEX(Customers!$D:$D,MATCH(C1337,Customers!$A:$A,0))</f>
        <v/>
      </c>
      <c r="F1337" s="10" t="inlineStr">
        <is>
          <t>Own trucks</t>
        </is>
      </c>
      <c r="G1337" s="5" t="n">
        <v>46280</v>
      </c>
      <c r="H1337" s="5" t="n">
        <v>46281</v>
      </c>
      <c r="I1337" s="5" t="n">
        <v>46281</v>
      </c>
      <c r="J1337" s="10" t="inlineStr">
        <is>
          <t>08:10</t>
        </is>
      </c>
      <c r="K1337" s="10" t="inlineStr">
        <is>
          <t>On time</t>
        </is>
      </c>
      <c r="L1337" s="6" t="n">
        <v>0</v>
      </c>
      <c r="M1337" s="10" t="n"/>
      <c r="N1337" s="6" t="n">
        <v>13</v>
      </c>
      <c r="O1337" s="6" t="n">
        <v>1651</v>
      </c>
      <c r="P1337" s="6" t="n">
        <v>1</v>
      </c>
      <c r="Q1337" s="6">
        <f>IF(OR(K1337="On time",K1337="Late",K1337="Very late"),1,0)</f>
        <v/>
      </c>
    </row>
    <row r="1338">
      <c r="A1338" s="10" t="inlineStr">
        <is>
          <t>DN319573</t>
        </is>
      </c>
      <c r="B1338" s="10" t="inlineStr">
        <is>
          <t>SO63519</t>
        </is>
      </c>
      <c r="C1338" s="10" t="inlineStr">
        <is>
          <t>C12262</t>
        </is>
      </c>
      <c r="D1338" s="10">
        <f>INDEX(Customers!$B:$B,MATCH(C1338,Customers!$A:$A,0))</f>
        <v/>
      </c>
      <c r="E1338" s="10">
        <f>INDEX(Customers!$D:$D,MATCH(C1338,Customers!$A:$A,0))</f>
        <v/>
      </c>
      <c r="F1338" s="10" t="inlineStr">
        <is>
          <t>Carrier B</t>
        </is>
      </c>
      <c r="G1338" s="5" t="n">
        <v>46280</v>
      </c>
      <c r="H1338" s="5" t="n">
        <v>46281</v>
      </c>
      <c r="I1338" s="5" t="n">
        <v>46281</v>
      </c>
      <c r="J1338" s="10" t="inlineStr">
        <is>
          <t>09:40</t>
        </is>
      </c>
      <c r="K1338" s="10" t="inlineStr">
        <is>
          <t>On time</t>
        </is>
      </c>
      <c r="L1338" s="6" t="n">
        <v>0</v>
      </c>
      <c r="M1338" s="10" t="n"/>
      <c r="N1338" s="6" t="n">
        <v>24</v>
      </c>
      <c r="O1338" s="6" t="n">
        <v>1464</v>
      </c>
      <c r="P1338" s="6" t="n">
        <v>1</v>
      </c>
      <c r="Q1338" s="6">
        <f>IF(OR(K1338="On time",K1338="Late",K1338="Very late"),1,0)</f>
        <v/>
      </c>
    </row>
    <row r="1339">
      <c r="A1339" s="10" t="inlineStr">
        <is>
          <t>DN319574</t>
        </is>
      </c>
      <c r="B1339" s="10" t="inlineStr">
        <is>
          <t>SO63520</t>
        </is>
      </c>
      <c r="C1339" s="10" t="inlineStr">
        <is>
          <t>C12365</t>
        </is>
      </c>
      <c r="D1339" s="10">
        <f>INDEX(Customers!$B:$B,MATCH(C1339,Customers!$A:$A,0))</f>
        <v/>
      </c>
      <c r="E1339" s="10">
        <f>INDEX(Customers!$D:$D,MATCH(C1339,Customers!$A:$A,0))</f>
        <v/>
      </c>
      <c r="F1339" s="10" t="inlineStr">
        <is>
          <t>Carrier B</t>
        </is>
      </c>
      <c r="G1339" s="5" t="n">
        <v>46280</v>
      </c>
      <c r="H1339" s="5" t="n">
        <v>46281</v>
      </c>
      <c r="I1339" s="5" t="n">
        <v>46281</v>
      </c>
      <c r="J1339" s="10" t="inlineStr">
        <is>
          <t>13:10</t>
        </is>
      </c>
      <c r="K1339" s="10" t="inlineStr">
        <is>
          <t>On time</t>
        </is>
      </c>
      <c r="L1339" s="6" t="n">
        <v>0</v>
      </c>
      <c r="M1339" s="10" t="n"/>
      <c r="N1339" s="6" t="n">
        <v>29</v>
      </c>
      <c r="O1339" s="6" t="n">
        <v>3915</v>
      </c>
      <c r="P1339" s="6" t="n">
        <v>1</v>
      </c>
      <c r="Q1339" s="6">
        <f>IF(OR(K1339="On time",K1339="Late",K1339="Very late"),1,0)</f>
        <v/>
      </c>
    </row>
    <row r="1340">
      <c r="A1340" s="10" t="inlineStr">
        <is>
          <t>DN319575</t>
        </is>
      </c>
      <c r="B1340" s="10" t="inlineStr">
        <is>
          <t>SO63521</t>
        </is>
      </c>
      <c r="C1340" s="10" t="inlineStr">
        <is>
          <t>C12371</t>
        </is>
      </c>
      <c r="D1340" s="10">
        <f>INDEX(Customers!$B:$B,MATCH(C1340,Customers!$A:$A,0))</f>
        <v/>
      </c>
      <c r="E1340" s="10">
        <f>INDEX(Customers!$D:$D,MATCH(C1340,Customers!$A:$A,0))</f>
        <v/>
      </c>
      <c r="F1340" s="10" t="inlineStr">
        <is>
          <t>Carrier A</t>
        </is>
      </c>
      <c r="G1340" s="5" t="n">
        <v>46280</v>
      </c>
      <c r="H1340" s="5" t="n">
        <v>46281</v>
      </c>
      <c r="I1340" s="5" t="n">
        <v>46281</v>
      </c>
      <c r="J1340" s="10" t="inlineStr">
        <is>
          <t>12:30</t>
        </is>
      </c>
      <c r="K1340" s="10" t="inlineStr">
        <is>
          <t>On time</t>
        </is>
      </c>
      <c r="L1340" s="6" t="n">
        <v>0</v>
      </c>
      <c r="M1340" s="10" t="n"/>
      <c r="N1340" s="6" t="n">
        <v>14</v>
      </c>
      <c r="O1340" s="6" t="n">
        <v>1526</v>
      </c>
      <c r="P1340" s="6" t="n">
        <v>1</v>
      </c>
      <c r="Q1340" s="6">
        <f>IF(OR(K1340="On time",K1340="Late",K1340="Very late"),1,0)</f>
        <v/>
      </c>
    </row>
    <row r="1341">
      <c r="A1341" s="10" t="inlineStr">
        <is>
          <t>DN319576</t>
        </is>
      </c>
      <c r="B1341" s="10" t="inlineStr">
        <is>
          <t>SO63522</t>
        </is>
      </c>
      <c r="C1341" s="10" t="inlineStr">
        <is>
          <t>C12389</t>
        </is>
      </c>
      <c r="D1341" s="10">
        <f>INDEX(Customers!$B:$B,MATCH(C1341,Customers!$A:$A,0))</f>
        <v/>
      </c>
      <c r="E1341" s="10">
        <f>INDEX(Customers!$D:$D,MATCH(C1341,Customers!$A:$A,0))</f>
        <v/>
      </c>
      <c r="F1341" s="10" t="inlineStr">
        <is>
          <t>Carrier A</t>
        </is>
      </c>
      <c r="G1341" s="5" t="n">
        <v>46280</v>
      </c>
      <c r="H1341" s="5" t="n">
        <v>46281</v>
      </c>
      <c r="I1341" s="5" t="n">
        <v>46281</v>
      </c>
      <c r="J1341" s="10" t="inlineStr">
        <is>
          <t>15:50</t>
        </is>
      </c>
      <c r="K1341" s="10" t="inlineStr">
        <is>
          <t>On time</t>
        </is>
      </c>
      <c r="L1341" s="6" t="n">
        <v>0</v>
      </c>
      <c r="M1341" s="10" t="n"/>
      <c r="N1341" s="6" t="n">
        <v>37</v>
      </c>
      <c r="O1341" s="6" t="n">
        <v>4810</v>
      </c>
      <c r="P1341" s="6" t="n">
        <v>1</v>
      </c>
      <c r="Q1341" s="6">
        <f>IF(OR(K1341="On time",K1341="Late",K1341="Very late"),1,0)</f>
        <v/>
      </c>
    </row>
    <row r="1342">
      <c r="A1342" s="10" t="inlineStr">
        <is>
          <t>DN319577</t>
        </is>
      </c>
      <c r="B1342" s="10" t="inlineStr">
        <is>
          <t>SO63523</t>
        </is>
      </c>
      <c r="C1342" s="10" t="inlineStr">
        <is>
          <t>C12420</t>
        </is>
      </c>
      <c r="D1342" s="10">
        <f>INDEX(Customers!$B:$B,MATCH(C1342,Customers!$A:$A,0))</f>
        <v/>
      </c>
      <c r="E1342" s="10">
        <f>INDEX(Customers!$D:$D,MATCH(C1342,Customers!$A:$A,0))</f>
        <v/>
      </c>
      <c r="F1342" s="10" t="inlineStr">
        <is>
          <t>Carrier A</t>
        </is>
      </c>
      <c r="G1342" s="5" t="n">
        <v>46280</v>
      </c>
      <c r="H1342" s="5" t="n">
        <v>46281</v>
      </c>
      <c r="I1342" s="5" t="n">
        <v>46281</v>
      </c>
      <c r="J1342" s="10" t="inlineStr">
        <is>
          <t>16:40</t>
        </is>
      </c>
      <c r="K1342" s="10" t="inlineStr">
        <is>
          <t>On time</t>
        </is>
      </c>
      <c r="L1342" s="6" t="n">
        <v>0</v>
      </c>
      <c r="M1342" s="10" t="n"/>
      <c r="N1342" s="6" t="n">
        <v>37</v>
      </c>
      <c r="O1342" s="6" t="n">
        <v>4699</v>
      </c>
      <c r="P1342" s="6" t="n">
        <v>1</v>
      </c>
      <c r="Q1342" s="6">
        <f>IF(OR(K1342="On time",K1342="Late",K1342="Very late"),1,0)</f>
        <v/>
      </c>
    </row>
    <row r="1343">
      <c r="A1343" s="10" t="inlineStr">
        <is>
          <t>DN319578</t>
        </is>
      </c>
      <c r="B1343" s="10" t="inlineStr">
        <is>
          <t>SO63524</t>
        </is>
      </c>
      <c r="C1343" s="10" t="inlineStr">
        <is>
          <t>C12527</t>
        </is>
      </c>
      <c r="D1343" s="10">
        <f>INDEX(Customers!$B:$B,MATCH(C1343,Customers!$A:$A,0))</f>
        <v/>
      </c>
      <c r="E1343" s="10">
        <f>INDEX(Customers!$D:$D,MATCH(C1343,Customers!$A:$A,0))</f>
        <v/>
      </c>
      <c r="F1343" s="10" t="inlineStr">
        <is>
          <t>Carrier A</t>
        </is>
      </c>
      <c r="G1343" s="5" t="n">
        <v>46280</v>
      </c>
      <c r="H1343" s="5" t="n">
        <v>46281</v>
      </c>
      <c r="I1343" s="5" t="n">
        <v>46282</v>
      </c>
      <c r="J1343" s="10" t="inlineStr">
        <is>
          <t>07:50</t>
        </is>
      </c>
      <c r="K1343" s="10" t="inlineStr">
        <is>
          <t>Late</t>
        </is>
      </c>
      <c r="L1343" s="6" t="n">
        <v>1</v>
      </c>
      <c r="M1343" s="10" t="inlineStr">
        <is>
          <t>Run overloaded</t>
        </is>
      </c>
      <c r="N1343" s="6" t="n">
        <v>6</v>
      </c>
      <c r="O1343" s="6" t="n">
        <v>540</v>
      </c>
      <c r="P1343" s="6" t="n">
        <v>1</v>
      </c>
      <c r="Q1343" s="6">
        <f>IF(OR(K1343="On time",K1343="Late",K1343="Very late"),1,0)</f>
        <v/>
      </c>
    </row>
    <row r="1344">
      <c r="A1344" s="10" t="inlineStr">
        <is>
          <t>DN319579</t>
        </is>
      </c>
      <c r="B1344" s="10" t="inlineStr">
        <is>
          <t>SO63525</t>
        </is>
      </c>
      <c r="C1344" s="10" t="inlineStr">
        <is>
          <t>C12543</t>
        </is>
      </c>
      <c r="D1344" s="10">
        <f>INDEX(Customers!$B:$B,MATCH(C1344,Customers!$A:$A,0))</f>
        <v/>
      </c>
      <c r="E1344" s="10">
        <f>INDEX(Customers!$D:$D,MATCH(C1344,Customers!$A:$A,0))</f>
        <v/>
      </c>
      <c r="F1344" s="10" t="inlineStr">
        <is>
          <t>Carrier B</t>
        </is>
      </c>
      <c r="G1344" s="5" t="n">
        <v>46279</v>
      </c>
      <c r="H1344" s="5" t="n">
        <v>46281</v>
      </c>
      <c r="I1344" s="5" t="n">
        <v>46283</v>
      </c>
      <c r="J1344" s="10" t="inlineStr">
        <is>
          <t>07:50</t>
        </is>
      </c>
      <c r="K1344" s="10" t="inlineStr">
        <is>
          <t>Very late</t>
        </is>
      </c>
      <c r="L1344" s="6" t="n">
        <v>2</v>
      </c>
      <c r="M1344" s="10" t="inlineStr">
        <is>
          <t>Run overloaded</t>
        </is>
      </c>
      <c r="N1344" s="6" t="n">
        <v>11</v>
      </c>
      <c r="O1344" s="6" t="n">
        <v>1485</v>
      </c>
      <c r="P1344" s="6" t="n">
        <v>1</v>
      </c>
      <c r="Q1344" s="6">
        <f>IF(OR(K1344="On time",K1344="Late",K1344="Very late"),1,0)</f>
        <v/>
      </c>
    </row>
    <row r="1345">
      <c r="A1345" s="10" t="inlineStr">
        <is>
          <t>DN319580</t>
        </is>
      </c>
      <c r="B1345" s="10" t="inlineStr">
        <is>
          <t>SO63527</t>
        </is>
      </c>
      <c r="C1345" s="10" t="inlineStr">
        <is>
          <t>C12617</t>
        </is>
      </c>
      <c r="D1345" s="10">
        <f>INDEX(Customers!$B:$B,MATCH(C1345,Customers!$A:$A,0))</f>
        <v/>
      </c>
      <c r="E1345" s="10">
        <f>INDEX(Customers!$D:$D,MATCH(C1345,Customers!$A:$A,0))</f>
        <v/>
      </c>
      <c r="F1345" s="10" t="inlineStr">
        <is>
          <t>Carrier B</t>
        </is>
      </c>
      <c r="G1345" s="5" t="n">
        <v>46279</v>
      </c>
      <c r="H1345" s="5" t="n">
        <v>46281</v>
      </c>
      <c r="I1345" s="5" t="n">
        <v>46281</v>
      </c>
      <c r="J1345" s="10" t="inlineStr">
        <is>
          <t>12:50</t>
        </is>
      </c>
      <c r="K1345" s="10" t="inlineStr">
        <is>
          <t>On time</t>
        </is>
      </c>
      <c r="L1345" s="6" t="n">
        <v>0</v>
      </c>
      <c r="M1345" s="10" t="n"/>
      <c r="N1345" s="6" t="n">
        <v>7</v>
      </c>
      <c r="O1345" s="6" t="n">
        <v>784</v>
      </c>
      <c r="P1345" s="6" t="n">
        <v>1</v>
      </c>
      <c r="Q1345" s="6">
        <f>IF(OR(K1345="On time",K1345="Late",K1345="Very late"),1,0)</f>
        <v/>
      </c>
    </row>
    <row r="1346">
      <c r="A1346" s="10" t="inlineStr">
        <is>
          <t>DN319581</t>
        </is>
      </c>
      <c r="B1346" s="10" t="inlineStr">
        <is>
          <t>SO63528</t>
        </is>
      </c>
      <c r="C1346" s="10" t="inlineStr">
        <is>
          <t>C12639</t>
        </is>
      </c>
      <c r="D1346" s="10">
        <f>INDEX(Customers!$B:$B,MATCH(C1346,Customers!$A:$A,0))</f>
        <v/>
      </c>
      <c r="E1346" s="10">
        <f>INDEX(Customers!$D:$D,MATCH(C1346,Customers!$A:$A,0))</f>
        <v/>
      </c>
      <c r="F1346" s="10" t="inlineStr">
        <is>
          <t>Carrier B</t>
        </is>
      </c>
      <c r="G1346" s="5" t="n">
        <v>46279</v>
      </c>
      <c r="H1346" s="5" t="n">
        <v>46281</v>
      </c>
      <c r="I1346" s="5" t="n">
        <v>46281</v>
      </c>
      <c r="J1346" s="10" t="inlineStr">
        <is>
          <t>07:40</t>
        </is>
      </c>
      <c r="K1346" s="10" t="inlineStr">
        <is>
          <t>On time</t>
        </is>
      </c>
      <c r="L1346" s="6" t="n">
        <v>0</v>
      </c>
      <c r="M1346" s="10" t="n"/>
      <c r="N1346" s="6" t="n">
        <v>3</v>
      </c>
      <c r="O1346" s="6" t="n">
        <v>375</v>
      </c>
      <c r="P1346" s="6" t="n">
        <v>1</v>
      </c>
      <c r="Q1346" s="6">
        <f>IF(OR(K1346="On time",K1346="Late",K1346="Very late"),1,0)</f>
        <v/>
      </c>
    </row>
    <row r="1347">
      <c r="A1347" s="10" t="inlineStr">
        <is>
          <t>DN319582</t>
        </is>
      </c>
      <c r="B1347" s="10" t="inlineStr">
        <is>
          <t>SO63529</t>
        </is>
      </c>
      <c r="C1347" s="10" t="inlineStr">
        <is>
          <t>C12675</t>
        </is>
      </c>
      <c r="D1347" s="10">
        <f>INDEX(Customers!$B:$B,MATCH(C1347,Customers!$A:$A,0))</f>
        <v/>
      </c>
      <c r="E1347" s="10">
        <f>INDEX(Customers!$D:$D,MATCH(C1347,Customers!$A:$A,0))</f>
        <v/>
      </c>
      <c r="F1347" s="10" t="inlineStr">
        <is>
          <t>Carrier B</t>
        </is>
      </c>
      <c r="G1347" s="5" t="n">
        <v>46279</v>
      </c>
      <c r="H1347" s="5" t="n">
        <v>46281</v>
      </c>
      <c r="I1347" s="5" t="n">
        <v>46281</v>
      </c>
      <c r="J1347" s="10" t="inlineStr">
        <is>
          <t>14:50</t>
        </is>
      </c>
      <c r="K1347" s="10" t="inlineStr">
        <is>
          <t>On time</t>
        </is>
      </c>
      <c r="L1347" s="6" t="n">
        <v>0</v>
      </c>
      <c r="M1347" s="10" t="n"/>
      <c r="N1347" s="6" t="n">
        <v>33</v>
      </c>
      <c r="O1347" s="6" t="n">
        <v>2970</v>
      </c>
      <c r="P1347" s="6" t="n">
        <v>1</v>
      </c>
      <c r="Q1347" s="6">
        <f>IF(OR(K1347="On time",K1347="Late",K1347="Very late"),1,0)</f>
        <v/>
      </c>
    </row>
    <row r="1348">
      <c r="A1348" s="10" t="inlineStr">
        <is>
          <t>DN319583</t>
        </is>
      </c>
      <c r="B1348" s="10" t="inlineStr">
        <is>
          <t>SO63530</t>
        </is>
      </c>
      <c r="C1348" s="10" t="inlineStr">
        <is>
          <t>C10268</t>
        </is>
      </c>
      <c r="D1348" s="10">
        <f>INDEX(Customers!$B:$B,MATCH(C1348,Customers!$A:$A,0))</f>
        <v/>
      </c>
      <c r="E1348" s="10">
        <f>INDEX(Customers!$D:$D,MATCH(C1348,Customers!$A:$A,0))</f>
        <v/>
      </c>
      <c r="F1348" s="10" t="inlineStr">
        <is>
          <t>Own trucks</t>
        </is>
      </c>
      <c r="G1348" s="5" t="n">
        <v>46281</v>
      </c>
      <c r="H1348" s="5" t="n">
        <v>46282</v>
      </c>
      <c r="I1348" s="5" t="n">
        <v>46283</v>
      </c>
      <c r="J1348" s="10" t="inlineStr">
        <is>
          <t>07:10</t>
        </is>
      </c>
      <c r="K1348" s="10" t="inlineStr">
        <is>
          <t>Late</t>
        </is>
      </c>
      <c r="L1348" s="6" t="n">
        <v>1</v>
      </c>
      <c r="M1348" s="10" t="inlineStr">
        <is>
          <t>Customer closed (failed attempt)</t>
        </is>
      </c>
      <c r="N1348" s="6" t="n">
        <v>10</v>
      </c>
      <c r="O1348" s="6" t="n">
        <v>960</v>
      </c>
      <c r="P1348" s="6" t="n">
        <v>1</v>
      </c>
      <c r="Q1348" s="6">
        <f>IF(OR(K1348="On time",K1348="Late",K1348="Very late"),1,0)</f>
        <v/>
      </c>
    </row>
    <row r="1349">
      <c r="A1349" s="10" t="inlineStr">
        <is>
          <t>DN319584</t>
        </is>
      </c>
      <c r="B1349" s="10" t="inlineStr">
        <is>
          <t>SO63531</t>
        </is>
      </c>
      <c r="C1349" s="10" t="inlineStr">
        <is>
          <t>C10322</t>
        </is>
      </c>
      <c r="D1349" s="10">
        <f>INDEX(Customers!$B:$B,MATCH(C1349,Customers!$A:$A,0))</f>
        <v/>
      </c>
      <c r="E1349" s="10">
        <f>INDEX(Customers!$D:$D,MATCH(C1349,Customers!$A:$A,0))</f>
        <v/>
      </c>
      <c r="F1349" s="10" t="inlineStr">
        <is>
          <t>Own trucks</t>
        </is>
      </c>
      <c r="G1349" s="5" t="n">
        <v>46281</v>
      </c>
      <c r="H1349" s="5" t="n">
        <v>46282</v>
      </c>
      <c r="I1349" s="5" t="n">
        <v>46282</v>
      </c>
      <c r="J1349" s="10" t="inlineStr">
        <is>
          <t>09:10</t>
        </is>
      </c>
      <c r="K1349" s="10" t="inlineStr">
        <is>
          <t>On time</t>
        </is>
      </c>
      <c r="L1349" s="6" t="n">
        <v>0</v>
      </c>
      <c r="M1349" s="10" t="n"/>
      <c r="N1349" s="6" t="n">
        <v>2</v>
      </c>
      <c r="O1349" s="6" t="n">
        <v>222</v>
      </c>
      <c r="P1349" s="6" t="n">
        <v>1</v>
      </c>
      <c r="Q1349" s="6">
        <f>IF(OR(K1349="On time",K1349="Late",K1349="Very late"),1,0)</f>
        <v/>
      </c>
    </row>
    <row r="1350">
      <c r="A1350" s="10" t="inlineStr">
        <is>
          <t>DN319585</t>
        </is>
      </c>
      <c r="B1350" s="10" t="inlineStr">
        <is>
          <t>SO63532</t>
        </is>
      </c>
      <c r="C1350" s="10" t="inlineStr">
        <is>
          <t>C10343</t>
        </is>
      </c>
      <c r="D1350" s="10">
        <f>INDEX(Customers!$B:$B,MATCH(C1350,Customers!$A:$A,0))</f>
        <v/>
      </c>
      <c r="E1350" s="10">
        <f>INDEX(Customers!$D:$D,MATCH(C1350,Customers!$A:$A,0))</f>
        <v/>
      </c>
      <c r="F1350" s="10" t="inlineStr">
        <is>
          <t>Own trucks</t>
        </is>
      </c>
      <c r="G1350" s="5" t="n">
        <v>46281</v>
      </c>
      <c r="H1350" s="5" t="n">
        <v>46282</v>
      </c>
      <c r="I1350" s="5" t="n">
        <v>46286</v>
      </c>
      <c r="J1350" s="10" t="inlineStr">
        <is>
          <t>14:50</t>
        </is>
      </c>
      <c r="K1350" s="10" t="inlineStr">
        <is>
          <t>Very late</t>
        </is>
      </c>
      <c r="L1350" s="6" t="n">
        <v>2</v>
      </c>
      <c r="M1350" s="10" t="inlineStr">
        <is>
          <t>Stock not ready</t>
        </is>
      </c>
      <c r="N1350" s="6" t="n">
        <v>4</v>
      </c>
      <c r="O1350" s="6" t="n">
        <v>332</v>
      </c>
      <c r="P1350" s="6" t="n">
        <v>1</v>
      </c>
      <c r="Q1350" s="6">
        <f>IF(OR(K1350="On time",K1350="Late",K1350="Very late"),1,0)</f>
        <v/>
      </c>
    </row>
    <row r="1351">
      <c r="A1351" s="10" t="inlineStr">
        <is>
          <t>DN319586</t>
        </is>
      </c>
      <c r="B1351" s="10" t="inlineStr">
        <is>
          <t>SO63534</t>
        </is>
      </c>
      <c r="C1351" s="10" t="inlineStr">
        <is>
          <t>C10413</t>
        </is>
      </c>
      <c r="D1351" s="10">
        <f>INDEX(Customers!$B:$B,MATCH(C1351,Customers!$A:$A,0))</f>
        <v/>
      </c>
      <c r="E1351" s="10">
        <f>INDEX(Customers!$D:$D,MATCH(C1351,Customers!$A:$A,0))</f>
        <v/>
      </c>
      <c r="F1351" s="10" t="inlineStr">
        <is>
          <t>Own trucks</t>
        </is>
      </c>
      <c r="G1351" s="5" t="n">
        <v>46281</v>
      </c>
      <c r="H1351" s="5" t="n">
        <v>46282</v>
      </c>
      <c r="I1351" s="5" t="n">
        <v>46282</v>
      </c>
      <c r="J1351" s="10" t="inlineStr">
        <is>
          <t>16:40</t>
        </is>
      </c>
      <c r="K1351" s="10" t="inlineStr">
        <is>
          <t>On time</t>
        </is>
      </c>
      <c r="L1351" s="6" t="n">
        <v>0</v>
      </c>
      <c r="M1351" s="10" t="n"/>
      <c r="N1351" s="6" t="n">
        <v>18</v>
      </c>
      <c r="O1351" s="6" t="n">
        <v>2286</v>
      </c>
      <c r="P1351" s="6" t="n">
        <v>1</v>
      </c>
      <c r="Q1351" s="6">
        <f>IF(OR(K1351="On time",K1351="Late",K1351="Very late"),1,0)</f>
        <v/>
      </c>
    </row>
    <row r="1352">
      <c r="A1352" s="10" t="inlineStr">
        <is>
          <t>DN319587</t>
        </is>
      </c>
      <c r="B1352" s="10" t="inlineStr">
        <is>
          <t>SO63535</t>
        </is>
      </c>
      <c r="C1352" s="10" t="inlineStr">
        <is>
          <t>C10446</t>
        </is>
      </c>
      <c r="D1352" s="10">
        <f>INDEX(Customers!$B:$B,MATCH(C1352,Customers!$A:$A,0))</f>
        <v/>
      </c>
      <c r="E1352" s="10">
        <f>INDEX(Customers!$D:$D,MATCH(C1352,Customers!$A:$A,0))</f>
        <v/>
      </c>
      <c r="F1352" s="10" t="inlineStr">
        <is>
          <t>Own trucks</t>
        </is>
      </c>
      <c r="G1352" s="5" t="n">
        <v>46281</v>
      </c>
      <c r="H1352" s="5" t="n">
        <v>46282</v>
      </c>
      <c r="I1352" s="5" t="n">
        <v>46282</v>
      </c>
      <c r="J1352" s="10" t="inlineStr">
        <is>
          <t>11:10</t>
        </is>
      </c>
      <c r="K1352" s="10" t="inlineStr">
        <is>
          <t>On time</t>
        </is>
      </c>
      <c r="L1352" s="6" t="n">
        <v>0</v>
      </c>
      <c r="M1352" s="10" t="n"/>
      <c r="N1352" s="6" t="n">
        <v>11</v>
      </c>
      <c r="O1352" s="6" t="n">
        <v>1298</v>
      </c>
      <c r="P1352" s="6" t="n">
        <v>1</v>
      </c>
      <c r="Q1352" s="6">
        <f>IF(OR(K1352="On time",K1352="Late",K1352="Very late"),1,0)</f>
        <v/>
      </c>
    </row>
    <row r="1353">
      <c r="A1353" s="10" t="inlineStr">
        <is>
          <t>DN319588</t>
        </is>
      </c>
      <c r="B1353" s="10" t="inlineStr">
        <is>
          <t>SO63536</t>
        </is>
      </c>
      <c r="C1353" s="10" t="inlineStr">
        <is>
          <t>C10536</t>
        </is>
      </c>
      <c r="D1353" s="10">
        <f>INDEX(Customers!$B:$B,MATCH(C1353,Customers!$A:$A,0))</f>
        <v/>
      </c>
      <c r="E1353" s="10">
        <f>INDEX(Customers!$D:$D,MATCH(C1353,Customers!$A:$A,0))</f>
        <v/>
      </c>
      <c r="F1353" s="10" t="inlineStr">
        <is>
          <t>Own trucks</t>
        </is>
      </c>
      <c r="G1353" s="5" t="n">
        <v>46281</v>
      </c>
      <c r="H1353" s="5" t="n">
        <v>46282</v>
      </c>
      <c r="I1353" s="5" t="n">
        <v>46282</v>
      </c>
      <c r="J1353" s="10" t="inlineStr">
        <is>
          <t>11:40</t>
        </is>
      </c>
      <c r="K1353" s="10" t="inlineStr">
        <is>
          <t>On time</t>
        </is>
      </c>
      <c r="L1353" s="6" t="n">
        <v>0</v>
      </c>
      <c r="M1353" s="10" t="n"/>
      <c r="N1353" s="6" t="n">
        <v>28</v>
      </c>
      <c r="O1353" s="6" t="n">
        <v>3612</v>
      </c>
      <c r="P1353" s="6" t="n">
        <v>1</v>
      </c>
      <c r="Q1353" s="6">
        <f>IF(OR(K1353="On time",K1353="Late",K1353="Very late"),1,0)</f>
        <v/>
      </c>
    </row>
    <row r="1354">
      <c r="A1354" s="10" t="inlineStr">
        <is>
          <t>DN319589</t>
        </is>
      </c>
      <c r="B1354" s="10" t="inlineStr">
        <is>
          <t>SO63537</t>
        </is>
      </c>
      <c r="C1354" s="10" t="inlineStr">
        <is>
          <t>C10622</t>
        </is>
      </c>
      <c r="D1354" s="10">
        <f>INDEX(Customers!$B:$B,MATCH(C1354,Customers!$A:$A,0))</f>
        <v/>
      </c>
      <c r="E1354" s="10">
        <f>INDEX(Customers!$D:$D,MATCH(C1354,Customers!$A:$A,0))</f>
        <v/>
      </c>
      <c r="F1354" s="10" t="inlineStr">
        <is>
          <t>Own trucks</t>
        </is>
      </c>
      <c r="G1354" s="5" t="n">
        <v>46281</v>
      </c>
      <c r="H1354" s="5" t="n">
        <v>46282</v>
      </c>
      <c r="I1354" s="5" t="n">
        <v>46282</v>
      </c>
      <c r="J1354" s="10" t="inlineStr">
        <is>
          <t>16:20</t>
        </is>
      </c>
      <c r="K1354" s="10" t="inlineStr">
        <is>
          <t>On time</t>
        </is>
      </c>
      <c r="L1354" s="6" t="n">
        <v>0</v>
      </c>
      <c r="M1354" s="10" t="n"/>
      <c r="N1354" s="6" t="n">
        <v>32</v>
      </c>
      <c r="O1354" s="6" t="n">
        <v>2752</v>
      </c>
      <c r="P1354" s="6" t="n">
        <v>1</v>
      </c>
      <c r="Q1354" s="6">
        <f>IF(OR(K1354="On time",K1354="Late",K1354="Very late"),1,0)</f>
        <v/>
      </c>
    </row>
    <row r="1355">
      <c r="A1355" s="10" t="inlineStr">
        <is>
          <t>DN319590</t>
        </is>
      </c>
      <c r="B1355" s="10" t="inlineStr">
        <is>
          <t>SO63538</t>
        </is>
      </c>
      <c r="C1355" s="10" t="inlineStr">
        <is>
          <t>C10676</t>
        </is>
      </c>
      <c r="D1355" s="10">
        <f>INDEX(Customers!$B:$B,MATCH(C1355,Customers!$A:$A,0))</f>
        <v/>
      </c>
      <c r="E1355" s="10">
        <f>INDEX(Customers!$D:$D,MATCH(C1355,Customers!$A:$A,0))</f>
        <v/>
      </c>
      <c r="F1355" s="10" t="inlineStr">
        <is>
          <t>Own trucks</t>
        </is>
      </c>
      <c r="G1355" s="5" t="n">
        <v>46281</v>
      </c>
      <c r="H1355" s="5" t="n">
        <v>46282</v>
      </c>
      <c r="I1355" s="5" t="n">
        <v>46282</v>
      </c>
      <c r="J1355" s="10" t="inlineStr">
        <is>
          <t>12:00</t>
        </is>
      </c>
      <c r="K1355" s="10" t="inlineStr">
        <is>
          <t>On time</t>
        </is>
      </c>
      <c r="L1355" s="6" t="n">
        <v>0</v>
      </c>
      <c r="M1355" s="10" t="n"/>
      <c r="N1355" s="6" t="n">
        <v>17</v>
      </c>
      <c r="O1355" s="6" t="n">
        <v>2261</v>
      </c>
      <c r="P1355" s="6" t="n">
        <v>1</v>
      </c>
      <c r="Q1355" s="6">
        <f>IF(OR(K1355="On time",K1355="Late",K1355="Very late"),1,0)</f>
        <v/>
      </c>
    </row>
    <row r="1356">
      <c r="A1356" s="10" t="inlineStr">
        <is>
          <t>DN319591</t>
        </is>
      </c>
      <c r="B1356" s="10" t="inlineStr">
        <is>
          <t>SO63540</t>
        </is>
      </c>
      <c r="C1356" s="10" t="inlineStr">
        <is>
          <t>C10684</t>
        </is>
      </c>
      <c r="D1356" s="10">
        <f>INDEX(Customers!$B:$B,MATCH(C1356,Customers!$A:$A,0))</f>
        <v/>
      </c>
      <c r="E1356" s="10">
        <f>INDEX(Customers!$D:$D,MATCH(C1356,Customers!$A:$A,0))</f>
        <v/>
      </c>
      <c r="F1356" s="10" t="inlineStr">
        <is>
          <t>Own trucks</t>
        </is>
      </c>
      <c r="G1356" s="5" t="n">
        <v>46281</v>
      </c>
      <c r="H1356" s="5" t="n">
        <v>46282</v>
      </c>
      <c r="I1356" s="5" t="n">
        <v>46282</v>
      </c>
      <c r="J1356" s="10" t="inlineStr">
        <is>
          <t>08:10</t>
        </is>
      </c>
      <c r="K1356" s="10" t="inlineStr">
        <is>
          <t>On time</t>
        </is>
      </c>
      <c r="L1356" s="6" t="n">
        <v>0</v>
      </c>
      <c r="M1356" s="10" t="n"/>
      <c r="N1356" s="6" t="n">
        <v>29</v>
      </c>
      <c r="O1356" s="6" t="n">
        <v>2059</v>
      </c>
      <c r="P1356" s="6" t="n">
        <v>1</v>
      </c>
      <c r="Q1356" s="6">
        <f>IF(OR(K1356="On time",K1356="Late",K1356="Very late"),1,0)</f>
        <v/>
      </c>
    </row>
    <row r="1357">
      <c r="A1357" s="10" t="inlineStr">
        <is>
          <t>DN319592</t>
        </is>
      </c>
      <c r="B1357" s="10" t="inlineStr">
        <is>
          <t>SO63541</t>
        </is>
      </c>
      <c r="C1357" s="10" t="inlineStr">
        <is>
          <t>C10796</t>
        </is>
      </c>
      <c r="D1357" s="10">
        <f>INDEX(Customers!$B:$B,MATCH(C1357,Customers!$A:$A,0))</f>
        <v/>
      </c>
      <c r="E1357" s="10">
        <f>INDEX(Customers!$D:$D,MATCH(C1357,Customers!$A:$A,0))</f>
        <v/>
      </c>
      <c r="F1357" s="10" t="inlineStr">
        <is>
          <t>Own trucks</t>
        </is>
      </c>
      <c r="G1357" s="5" t="n">
        <v>46281</v>
      </c>
      <c r="H1357" s="5" t="n">
        <v>46282</v>
      </c>
      <c r="I1357" s="5" t="n">
        <v>46282</v>
      </c>
      <c r="J1357" s="10" t="inlineStr">
        <is>
          <t>07:50</t>
        </is>
      </c>
      <c r="K1357" s="10" t="inlineStr">
        <is>
          <t>On time</t>
        </is>
      </c>
      <c r="L1357" s="6" t="n">
        <v>0</v>
      </c>
      <c r="M1357" s="10" t="n"/>
      <c r="N1357" s="6" t="n">
        <v>3</v>
      </c>
      <c r="O1357" s="6" t="n">
        <v>291</v>
      </c>
      <c r="P1357" s="6" t="n">
        <v>1</v>
      </c>
      <c r="Q1357" s="6">
        <f>IF(OR(K1357="On time",K1357="Late",K1357="Very late"),1,0)</f>
        <v/>
      </c>
    </row>
    <row r="1358">
      <c r="A1358" s="10" t="inlineStr">
        <is>
          <t>DN319593</t>
        </is>
      </c>
      <c r="B1358" s="10" t="inlineStr">
        <is>
          <t>SO63542</t>
        </is>
      </c>
      <c r="C1358" s="10" t="inlineStr">
        <is>
          <t>C10847</t>
        </is>
      </c>
      <c r="D1358" s="10">
        <f>INDEX(Customers!$B:$B,MATCH(C1358,Customers!$A:$A,0))</f>
        <v/>
      </c>
      <c r="E1358" s="10">
        <f>INDEX(Customers!$D:$D,MATCH(C1358,Customers!$A:$A,0))</f>
        <v/>
      </c>
      <c r="F1358" s="10" t="inlineStr">
        <is>
          <t>Own trucks</t>
        </is>
      </c>
      <c r="G1358" s="5" t="n">
        <v>46281</v>
      </c>
      <c r="H1358" s="5" t="n">
        <v>46282</v>
      </c>
      <c r="I1358" s="5" t="n">
        <v>46282</v>
      </c>
      <c r="J1358" s="10" t="inlineStr">
        <is>
          <t>11:10</t>
        </is>
      </c>
      <c r="K1358" s="10" t="inlineStr">
        <is>
          <t>On time</t>
        </is>
      </c>
      <c r="L1358" s="6" t="n">
        <v>0</v>
      </c>
      <c r="M1358" s="10" t="n"/>
      <c r="N1358" s="6" t="n">
        <v>40</v>
      </c>
      <c r="O1358" s="6" t="n">
        <v>3520</v>
      </c>
      <c r="P1358" s="6" t="n">
        <v>1</v>
      </c>
      <c r="Q1358" s="6">
        <f>IF(OR(K1358="On time",K1358="Late",K1358="Very late"),1,0)</f>
        <v/>
      </c>
    </row>
    <row r="1359">
      <c r="A1359" s="10" t="inlineStr">
        <is>
          <t>DN319594</t>
        </is>
      </c>
      <c r="B1359" s="10" t="inlineStr">
        <is>
          <t>SO63544</t>
        </is>
      </c>
      <c r="C1359" s="10" t="inlineStr">
        <is>
          <t>C10915</t>
        </is>
      </c>
      <c r="D1359" s="10">
        <f>INDEX(Customers!$B:$B,MATCH(C1359,Customers!$A:$A,0))</f>
        <v/>
      </c>
      <c r="E1359" s="10">
        <f>INDEX(Customers!$D:$D,MATCH(C1359,Customers!$A:$A,0))</f>
        <v/>
      </c>
      <c r="F1359" s="10" t="inlineStr">
        <is>
          <t>Own trucks</t>
        </is>
      </c>
      <c r="G1359" s="5" t="n">
        <v>46281</v>
      </c>
      <c r="H1359" s="5" t="n">
        <v>46282</v>
      </c>
      <c r="I1359" s="5" t="n">
        <v>46282</v>
      </c>
      <c r="J1359" s="10" t="inlineStr">
        <is>
          <t>09:30</t>
        </is>
      </c>
      <c r="K1359" s="10" t="inlineStr">
        <is>
          <t>On time</t>
        </is>
      </c>
      <c r="L1359" s="6" t="n">
        <v>0</v>
      </c>
      <c r="M1359" s="10" t="n"/>
      <c r="N1359" s="6" t="n">
        <v>39</v>
      </c>
      <c r="O1359" s="6" t="n">
        <v>2847</v>
      </c>
      <c r="P1359" s="6" t="n">
        <v>1</v>
      </c>
      <c r="Q1359" s="6">
        <f>IF(OR(K1359="On time",K1359="Late",K1359="Very late"),1,0)</f>
        <v/>
      </c>
    </row>
    <row r="1360">
      <c r="A1360" s="10" t="inlineStr">
        <is>
          <t>DN319595</t>
        </is>
      </c>
      <c r="B1360" s="10" t="inlineStr">
        <is>
          <t>SO63545</t>
        </is>
      </c>
      <c r="C1360" s="10" t="inlineStr">
        <is>
          <t>C10982</t>
        </is>
      </c>
      <c r="D1360" s="10">
        <f>INDEX(Customers!$B:$B,MATCH(C1360,Customers!$A:$A,0))</f>
        <v/>
      </c>
      <c r="E1360" s="10">
        <f>INDEX(Customers!$D:$D,MATCH(C1360,Customers!$A:$A,0))</f>
        <v/>
      </c>
      <c r="F1360" s="10" t="inlineStr">
        <is>
          <t>Own trucks</t>
        </is>
      </c>
      <c r="G1360" s="5" t="n">
        <v>46281</v>
      </c>
      <c r="H1360" s="5" t="n">
        <v>46282</v>
      </c>
      <c r="I1360" s="5" t="n">
        <v>46282</v>
      </c>
      <c r="J1360" s="10" t="inlineStr">
        <is>
          <t>07:00</t>
        </is>
      </c>
      <c r="K1360" s="10" t="inlineStr">
        <is>
          <t>On time</t>
        </is>
      </c>
      <c r="L1360" s="6" t="n">
        <v>0</v>
      </c>
      <c r="M1360" s="10" t="n"/>
      <c r="N1360" s="6" t="n">
        <v>25</v>
      </c>
      <c r="O1360" s="6" t="n">
        <v>1975</v>
      </c>
      <c r="P1360" s="6" t="n">
        <v>1</v>
      </c>
      <c r="Q1360" s="6">
        <f>IF(OR(K1360="On time",K1360="Late",K1360="Very late"),1,0)</f>
        <v/>
      </c>
    </row>
    <row r="1361">
      <c r="A1361" s="10" t="inlineStr">
        <is>
          <t>DN319596</t>
        </is>
      </c>
      <c r="B1361" s="10" t="inlineStr">
        <is>
          <t>SO63547</t>
        </is>
      </c>
      <c r="C1361" s="10" t="inlineStr">
        <is>
          <t>C11107</t>
        </is>
      </c>
      <c r="D1361" s="10">
        <f>INDEX(Customers!$B:$B,MATCH(C1361,Customers!$A:$A,0))</f>
        <v/>
      </c>
      <c r="E1361" s="10">
        <f>INDEX(Customers!$D:$D,MATCH(C1361,Customers!$A:$A,0))</f>
        <v/>
      </c>
      <c r="F1361" s="10" t="inlineStr">
        <is>
          <t>Own trucks</t>
        </is>
      </c>
      <c r="G1361" s="5" t="n">
        <v>46281</v>
      </c>
      <c r="H1361" s="5" t="n">
        <v>46282</v>
      </c>
      <c r="I1361" s="5" t="n">
        <v>46282</v>
      </c>
      <c r="J1361" s="10" t="inlineStr">
        <is>
          <t>14:40</t>
        </is>
      </c>
      <c r="K1361" s="10" t="inlineStr">
        <is>
          <t>On time</t>
        </is>
      </c>
      <c r="L1361" s="6" t="n">
        <v>0</v>
      </c>
      <c r="M1361" s="10" t="n"/>
      <c r="N1361" s="6" t="n">
        <v>30</v>
      </c>
      <c r="O1361" s="6" t="n">
        <v>2490</v>
      </c>
      <c r="P1361" s="6" t="n">
        <v>1</v>
      </c>
      <c r="Q1361" s="6">
        <f>IF(OR(K1361="On time",K1361="Late",K1361="Very late"),1,0)</f>
        <v/>
      </c>
    </row>
    <row r="1362">
      <c r="A1362" s="10" t="inlineStr">
        <is>
          <t>DN319597</t>
        </is>
      </c>
      <c r="B1362" s="10" t="inlineStr">
        <is>
          <t>SO63549</t>
        </is>
      </c>
      <c r="C1362" s="10" t="inlineStr">
        <is>
          <t>C11186</t>
        </is>
      </c>
      <c r="D1362" s="10">
        <f>INDEX(Customers!$B:$B,MATCH(C1362,Customers!$A:$A,0))</f>
        <v/>
      </c>
      <c r="E1362" s="10">
        <f>INDEX(Customers!$D:$D,MATCH(C1362,Customers!$A:$A,0))</f>
        <v/>
      </c>
      <c r="F1362" s="10" t="inlineStr">
        <is>
          <t>Own trucks</t>
        </is>
      </c>
      <c r="G1362" s="5" t="n">
        <v>46281</v>
      </c>
      <c r="H1362" s="5" t="n">
        <v>46282</v>
      </c>
      <c r="I1362" s="5" t="n">
        <v>46282</v>
      </c>
      <c r="J1362" s="10" t="inlineStr">
        <is>
          <t>11:00</t>
        </is>
      </c>
      <c r="K1362" s="10" t="inlineStr">
        <is>
          <t>On time</t>
        </is>
      </c>
      <c r="L1362" s="6" t="n">
        <v>0</v>
      </c>
      <c r="M1362" s="10" t="n"/>
      <c r="N1362" s="6" t="n">
        <v>21</v>
      </c>
      <c r="O1362" s="6" t="n">
        <v>1617</v>
      </c>
      <c r="P1362" s="6" t="n">
        <v>1</v>
      </c>
      <c r="Q1362" s="6">
        <f>IF(OR(K1362="On time",K1362="Late",K1362="Very late"),1,0)</f>
        <v/>
      </c>
    </row>
    <row r="1363">
      <c r="A1363" s="10" t="inlineStr">
        <is>
          <t>DN319598</t>
        </is>
      </c>
      <c r="B1363" s="10" t="inlineStr">
        <is>
          <t>SO63550</t>
        </is>
      </c>
      <c r="C1363" s="10" t="inlineStr">
        <is>
          <t>C11247</t>
        </is>
      </c>
      <c r="D1363" s="10">
        <f>INDEX(Customers!$B:$B,MATCH(C1363,Customers!$A:$A,0))</f>
        <v/>
      </c>
      <c r="E1363" s="10">
        <f>INDEX(Customers!$D:$D,MATCH(C1363,Customers!$A:$A,0))</f>
        <v/>
      </c>
      <c r="F1363" s="10" t="inlineStr">
        <is>
          <t>Own trucks</t>
        </is>
      </c>
      <c r="G1363" s="5" t="n">
        <v>46281</v>
      </c>
      <c r="H1363" s="5" t="n">
        <v>46282</v>
      </c>
      <c r="I1363" s="5" t="n">
        <v>46282</v>
      </c>
      <c r="J1363" s="10" t="inlineStr">
        <is>
          <t>10:40</t>
        </is>
      </c>
      <c r="K1363" s="10" t="inlineStr">
        <is>
          <t>On time</t>
        </is>
      </c>
      <c r="L1363" s="6" t="n">
        <v>0</v>
      </c>
      <c r="M1363" s="10" t="n"/>
      <c r="N1363" s="6" t="n">
        <v>6</v>
      </c>
      <c r="O1363" s="6" t="n">
        <v>756</v>
      </c>
      <c r="P1363" s="6" t="n">
        <v>1</v>
      </c>
      <c r="Q1363" s="6">
        <f>IF(OR(K1363="On time",K1363="Late",K1363="Very late"),1,0)</f>
        <v/>
      </c>
    </row>
    <row r="1364">
      <c r="A1364" s="10" t="inlineStr">
        <is>
          <t>DN319599</t>
        </is>
      </c>
      <c r="B1364" s="10" t="inlineStr">
        <is>
          <t>SO63551</t>
        </is>
      </c>
      <c r="C1364" s="10" t="inlineStr">
        <is>
          <t>C11264</t>
        </is>
      </c>
      <c r="D1364" s="10">
        <f>INDEX(Customers!$B:$B,MATCH(C1364,Customers!$A:$A,0))</f>
        <v/>
      </c>
      <c r="E1364" s="10">
        <f>INDEX(Customers!$D:$D,MATCH(C1364,Customers!$A:$A,0))</f>
        <v/>
      </c>
      <c r="F1364" s="10" t="inlineStr">
        <is>
          <t>Own trucks</t>
        </is>
      </c>
      <c r="G1364" s="5" t="n">
        <v>46281</v>
      </c>
      <c r="H1364" s="5" t="n">
        <v>46282</v>
      </c>
      <c r="I1364" s="5" t="n">
        <v>46282</v>
      </c>
      <c r="J1364" s="10" t="inlineStr">
        <is>
          <t>09:30</t>
        </is>
      </c>
      <c r="K1364" s="10" t="inlineStr">
        <is>
          <t>On time</t>
        </is>
      </c>
      <c r="L1364" s="6" t="n">
        <v>0</v>
      </c>
      <c r="M1364" s="10" t="n"/>
      <c r="N1364" s="6" t="n">
        <v>36</v>
      </c>
      <c r="O1364" s="6" t="n">
        <v>2880</v>
      </c>
      <c r="P1364" s="6" t="n">
        <v>1</v>
      </c>
      <c r="Q1364" s="6">
        <f>IF(OR(K1364="On time",K1364="Late",K1364="Very late"),1,0)</f>
        <v/>
      </c>
    </row>
    <row r="1365">
      <c r="A1365" s="10" t="inlineStr">
        <is>
          <t>DN319600</t>
        </is>
      </c>
      <c r="B1365" s="10" t="inlineStr">
        <is>
          <t>SO63553</t>
        </is>
      </c>
      <c r="C1365" s="10" t="inlineStr">
        <is>
          <t>C11314</t>
        </is>
      </c>
      <c r="D1365" s="10">
        <f>INDEX(Customers!$B:$B,MATCH(C1365,Customers!$A:$A,0))</f>
        <v/>
      </c>
      <c r="E1365" s="10">
        <f>INDEX(Customers!$D:$D,MATCH(C1365,Customers!$A:$A,0))</f>
        <v/>
      </c>
      <c r="F1365" s="10" t="inlineStr">
        <is>
          <t>Own trucks</t>
        </is>
      </c>
      <c r="G1365" s="5" t="n">
        <v>46281</v>
      </c>
      <c r="H1365" s="5" t="n">
        <v>46282</v>
      </c>
      <c r="I1365" s="5" t="n">
        <v>46282</v>
      </c>
      <c r="J1365" s="10" t="inlineStr">
        <is>
          <t>15:20</t>
        </is>
      </c>
      <c r="K1365" s="10" t="inlineStr">
        <is>
          <t>On time</t>
        </is>
      </c>
      <c r="L1365" s="6" t="n">
        <v>0</v>
      </c>
      <c r="M1365" s="10" t="n"/>
      <c r="N1365" s="6" t="n">
        <v>24</v>
      </c>
      <c r="O1365" s="6" t="n">
        <v>3096</v>
      </c>
      <c r="P1365" s="6" t="n">
        <v>1</v>
      </c>
      <c r="Q1365" s="6">
        <f>IF(OR(K1365="On time",K1365="Late",K1365="Very late"),1,0)</f>
        <v/>
      </c>
    </row>
    <row r="1366">
      <c r="A1366" s="10" t="inlineStr">
        <is>
          <t>DN319601</t>
        </is>
      </c>
      <c r="B1366" s="10" t="inlineStr">
        <is>
          <t>SO63554</t>
        </is>
      </c>
      <c r="C1366" s="10" t="inlineStr">
        <is>
          <t>C11333</t>
        </is>
      </c>
      <c r="D1366" s="10">
        <f>INDEX(Customers!$B:$B,MATCH(C1366,Customers!$A:$A,0))</f>
        <v/>
      </c>
      <c r="E1366" s="10">
        <f>INDEX(Customers!$D:$D,MATCH(C1366,Customers!$A:$A,0))</f>
        <v/>
      </c>
      <c r="F1366" s="10" t="inlineStr">
        <is>
          <t>Own trucks</t>
        </is>
      </c>
      <c r="G1366" s="5" t="n">
        <v>46281</v>
      </c>
      <c r="H1366" s="5" t="n">
        <v>46282</v>
      </c>
      <c r="I1366" s="5" t="n">
        <v>46282</v>
      </c>
      <c r="J1366" s="10" t="inlineStr">
        <is>
          <t>11:30</t>
        </is>
      </c>
      <c r="K1366" s="10" t="inlineStr">
        <is>
          <t>On time</t>
        </is>
      </c>
      <c r="L1366" s="6" t="n">
        <v>0</v>
      </c>
      <c r="M1366" s="10" t="n"/>
      <c r="N1366" s="6" t="n">
        <v>28</v>
      </c>
      <c r="O1366" s="6" t="n">
        <v>2380</v>
      </c>
      <c r="P1366" s="6" t="n">
        <v>1</v>
      </c>
      <c r="Q1366" s="6">
        <f>IF(OR(K1366="On time",K1366="Late",K1366="Very late"),1,0)</f>
        <v/>
      </c>
    </row>
    <row r="1367">
      <c r="A1367" s="10" t="inlineStr">
        <is>
          <t>DN319602</t>
        </is>
      </c>
      <c r="B1367" s="10" t="inlineStr">
        <is>
          <t>SO63556</t>
        </is>
      </c>
      <c r="C1367" s="10" t="inlineStr">
        <is>
          <t>C11463</t>
        </is>
      </c>
      <c r="D1367" s="10">
        <f>INDEX(Customers!$B:$B,MATCH(C1367,Customers!$A:$A,0))</f>
        <v/>
      </c>
      <c r="E1367" s="10">
        <f>INDEX(Customers!$D:$D,MATCH(C1367,Customers!$A:$A,0))</f>
        <v/>
      </c>
      <c r="F1367" s="10" t="inlineStr">
        <is>
          <t>Own trucks</t>
        </is>
      </c>
      <c r="G1367" s="5" t="n">
        <v>46281</v>
      </c>
      <c r="H1367" s="5" t="n">
        <v>46282</v>
      </c>
      <c r="I1367" s="5" t="n">
        <v>46282</v>
      </c>
      <c r="J1367" s="10" t="inlineStr">
        <is>
          <t>14:10</t>
        </is>
      </c>
      <c r="K1367" s="10" t="inlineStr">
        <is>
          <t>On time</t>
        </is>
      </c>
      <c r="L1367" s="6" t="n">
        <v>0</v>
      </c>
      <c r="M1367" s="10" t="n"/>
      <c r="N1367" s="6" t="n">
        <v>28</v>
      </c>
      <c r="O1367" s="6" t="n">
        <v>2268</v>
      </c>
      <c r="P1367" s="6" t="n">
        <v>1</v>
      </c>
      <c r="Q1367" s="6">
        <f>IF(OR(K1367="On time",K1367="Late",K1367="Very late"),1,0)</f>
        <v/>
      </c>
    </row>
    <row r="1368">
      <c r="A1368" s="10" t="inlineStr">
        <is>
          <t>DN319603</t>
        </is>
      </c>
      <c r="B1368" s="10" t="inlineStr">
        <is>
          <t>SO63557</t>
        </is>
      </c>
      <c r="C1368" s="10" t="inlineStr">
        <is>
          <t>C11579</t>
        </is>
      </c>
      <c r="D1368" s="10">
        <f>INDEX(Customers!$B:$B,MATCH(C1368,Customers!$A:$A,0))</f>
        <v/>
      </c>
      <c r="E1368" s="10">
        <f>INDEX(Customers!$D:$D,MATCH(C1368,Customers!$A:$A,0))</f>
        <v/>
      </c>
      <c r="F1368" s="10" t="inlineStr">
        <is>
          <t>Own trucks</t>
        </is>
      </c>
      <c r="G1368" s="5" t="n">
        <v>46281</v>
      </c>
      <c r="H1368" s="5" t="n">
        <v>46282</v>
      </c>
      <c r="I1368" s="5" t="n">
        <v>46282</v>
      </c>
      <c r="J1368" s="10" t="inlineStr">
        <is>
          <t>15:20</t>
        </is>
      </c>
      <c r="K1368" s="10" t="inlineStr">
        <is>
          <t>On time</t>
        </is>
      </c>
      <c r="L1368" s="6" t="n">
        <v>0</v>
      </c>
      <c r="M1368" s="10" t="n"/>
      <c r="N1368" s="6" t="n">
        <v>10</v>
      </c>
      <c r="O1368" s="6" t="n">
        <v>930</v>
      </c>
      <c r="P1368" s="6" t="n">
        <v>1</v>
      </c>
      <c r="Q1368" s="6">
        <f>IF(OR(K1368="On time",K1368="Late",K1368="Very late"),1,0)</f>
        <v/>
      </c>
    </row>
    <row r="1369">
      <c r="A1369" s="10" t="inlineStr">
        <is>
          <t>DN319604</t>
        </is>
      </c>
      <c r="B1369" s="10" t="inlineStr">
        <is>
          <t>SO63558</t>
        </is>
      </c>
      <c r="C1369" s="10" t="inlineStr">
        <is>
          <t>C11616</t>
        </is>
      </c>
      <c r="D1369" s="10">
        <f>INDEX(Customers!$B:$B,MATCH(C1369,Customers!$A:$A,0))</f>
        <v/>
      </c>
      <c r="E1369" s="10">
        <f>INDEX(Customers!$D:$D,MATCH(C1369,Customers!$A:$A,0))</f>
        <v/>
      </c>
      <c r="F1369" s="10" t="inlineStr">
        <is>
          <t>Own trucks</t>
        </is>
      </c>
      <c r="G1369" s="5" t="n">
        <v>46281</v>
      </c>
      <c r="H1369" s="5" t="n">
        <v>46282</v>
      </c>
      <c r="I1369" s="5" t="n">
        <v>46282</v>
      </c>
      <c r="J1369" s="10" t="inlineStr">
        <is>
          <t>12:10</t>
        </is>
      </c>
      <c r="K1369" s="10" t="inlineStr">
        <is>
          <t>On time</t>
        </is>
      </c>
      <c r="L1369" s="6" t="n">
        <v>0</v>
      </c>
      <c r="M1369" s="10" t="n"/>
      <c r="N1369" s="6" t="n">
        <v>15</v>
      </c>
      <c r="O1369" s="6" t="n">
        <v>1410</v>
      </c>
      <c r="P1369" s="6" t="n">
        <v>1</v>
      </c>
      <c r="Q1369" s="6">
        <f>IF(OR(K1369="On time",K1369="Late",K1369="Very late"),1,0)</f>
        <v/>
      </c>
    </row>
    <row r="1370">
      <c r="A1370" s="10" t="inlineStr">
        <is>
          <t>DN319605</t>
        </is>
      </c>
      <c r="B1370" s="10" t="inlineStr">
        <is>
          <t>SO63560</t>
        </is>
      </c>
      <c r="C1370" s="10" t="inlineStr">
        <is>
          <t>C11666</t>
        </is>
      </c>
      <c r="D1370" s="10">
        <f>INDEX(Customers!$B:$B,MATCH(C1370,Customers!$A:$A,0))</f>
        <v/>
      </c>
      <c r="E1370" s="10">
        <f>INDEX(Customers!$D:$D,MATCH(C1370,Customers!$A:$A,0))</f>
        <v/>
      </c>
      <c r="F1370" s="10" t="inlineStr">
        <is>
          <t>Own trucks</t>
        </is>
      </c>
      <c r="G1370" s="5" t="n">
        <v>46281</v>
      </c>
      <c r="H1370" s="5" t="n">
        <v>46282</v>
      </c>
      <c r="I1370" s="5" t="n">
        <v>46282</v>
      </c>
      <c r="J1370" s="10" t="inlineStr">
        <is>
          <t>16:50</t>
        </is>
      </c>
      <c r="K1370" s="10" t="inlineStr">
        <is>
          <t>On time</t>
        </is>
      </c>
      <c r="L1370" s="6" t="n">
        <v>0</v>
      </c>
      <c r="M1370" s="10" t="n"/>
      <c r="N1370" s="6" t="n">
        <v>3</v>
      </c>
      <c r="O1370" s="6" t="n">
        <v>189</v>
      </c>
      <c r="P1370" s="6" t="n">
        <v>1</v>
      </c>
      <c r="Q1370" s="6">
        <f>IF(OR(K1370="On time",K1370="Late",K1370="Very late"),1,0)</f>
        <v/>
      </c>
    </row>
    <row r="1371">
      <c r="A1371" s="10" t="inlineStr">
        <is>
          <t>DN319606</t>
        </is>
      </c>
      <c r="B1371" s="10" t="inlineStr">
        <is>
          <t>SO63561</t>
        </is>
      </c>
      <c r="C1371" s="10" t="inlineStr">
        <is>
          <t>C11798</t>
        </is>
      </c>
      <c r="D1371" s="10">
        <f>INDEX(Customers!$B:$B,MATCH(C1371,Customers!$A:$A,0))</f>
        <v/>
      </c>
      <c r="E1371" s="10">
        <f>INDEX(Customers!$D:$D,MATCH(C1371,Customers!$A:$A,0))</f>
        <v/>
      </c>
      <c r="F1371" s="10" t="inlineStr">
        <is>
          <t>Carrier A</t>
        </is>
      </c>
      <c r="G1371" s="5" t="n">
        <v>46281</v>
      </c>
      <c r="H1371" s="5" t="n">
        <v>46282</v>
      </c>
      <c r="I1371" s="5" t="n">
        <v>46282</v>
      </c>
      <c r="J1371" s="10" t="inlineStr">
        <is>
          <t>10:40</t>
        </is>
      </c>
      <c r="K1371" s="10" t="inlineStr">
        <is>
          <t>On time</t>
        </is>
      </c>
      <c r="L1371" s="6" t="n">
        <v>0</v>
      </c>
      <c r="M1371" s="10" t="n"/>
      <c r="N1371" s="6" t="n">
        <v>24</v>
      </c>
      <c r="O1371" s="6" t="n">
        <v>3264</v>
      </c>
      <c r="P1371" s="6" t="n">
        <v>1</v>
      </c>
      <c r="Q1371" s="6">
        <f>IF(OR(K1371="On time",K1371="Late",K1371="Very late"),1,0)</f>
        <v/>
      </c>
    </row>
    <row r="1372">
      <c r="A1372" s="10" t="inlineStr">
        <is>
          <t>DN319607</t>
        </is>
      </c>
      <c r="B1372" s="10" t="inlineStr">
        <is>
          <t>SO63562</t>
        </is>
      </c>
      <c r="C1372" s="10" t="inlineStr">
        <is>
          <t>C11866</t>
        </is>
      </c>
      <c r="D1372" s="10">
        <f>INDEX(Customers!$B:$B,MATCH(C1372,Customers!$A:$A,0))</f>
        <v/>
      </c>
      <c r="E1372" s="10">
        <f>INDEX(Customers!$D:$D,MATCH(C1372,Customers!$A:$A,0))</f>
        <v/>
      </c>
      <c r="F1372" s="10" t="inlineStr">
        <is>
          <t>Carrier A</t>
        </is>
      </c>
      <c r="G1372" s="5" t="n">
        <v>46281</v>
      </c>
      <c r="H1372" s="5" t="n">
        <v>46282</v>
      </c>
      <c r="I1372" s="5" t="n">
        <v>46282</v>
      </c>
      <c r="J1372" s="10" t="inlineStr">
        <is>
          <t>11:10</t>
        </is>
      </c>
      <c r="K1372" s="10" t="inlineStr">
        <is>
          <t>On time</t>
        </is>
      </c>
      <c r="L1372" s="6" t="n">
        <v>0</v>
      </c>
      <c r="M1372" s="10" t="n"/>
      <c r="N1372" s="6" t="n">
        <v>29</v>
      </c>
      <c r="O1372" s="6" t="n">
        <v>2755</v>
      </c>
      <c r="P1372" s="6" t="n">
        <v>1</v>
      </c>
      <c r="Q1372" s="6">
        <f>IF(OR(K1372="On time",K1372="Late",K1372="Very late"),1,0)</f>
        <v/>
      </c>
    </row>
    <row r="1373">
      <c r="A1373" s="10" t="inlineStr">
        <is>
          <t>DN319608</t>
        </is>
      </c>
      <c r="B1373" s="10" t="inlineStr">
        <is>
          <t>SO63563</t>
        </is>
      </c>
      <c r="C1373" s="10" t="inlineStr">
        <is>
          <t>C11971</t>
        </is>
      </c>
      <c r="D1373" s="10">
        <f>INDEX(Customers!$B:$B,MATCH(C1373,Customers!$A:$A,0))</f>
        <v/>
      </c>
      <c r="E1373" s="10">
        <f>INDEX(Customers!$D:$D,MATCH(C1373,Customers!$A:$A,0))</f>
        <v/>
      </c>
      <c r="F1373" s="10" t="inlineStr">
        <is>
          <t>Own trucks</t>
        </is>
      </c>
      <c r="G1373" s="5" t="n">
        <v>46281</v>
      </c>
      <c r="H1373" s="5" t="n">
        <v>46282</v>
      </c>
      <c r="I1373" s="5" t="n">
        <v>46282</v>
      </c>
      <c r="J1373" s="10" t="inlineStr">
        <is>
          <t>14:50</t>
        </is>
      </c>
      <c r="K1373" s="10" t="inlineStr">
        <is>
          <t>On time</t>
        </is>
      </c>
      <c r="L1373" s="6" t="n">
        <v>0</v>
      </c>
      <c r="M1373" s="10" t="n"/>
      <c r="N1373" s="6" t="n">
        <v>10</v>
      </c>
      <c r="O1373" s="6" t="n">
        <v>570</v>
      </c>
      <c r="P1373" s="6" t="n">
        <v>1</v>
      </c>
      <c r="Q1373" s="6">
        <f>IF(OR(K1373="On time",K1373="Late",K1373="Very late"),1,0)</f>
        <v/>
      </c>
    </row>
    <row r="1374">
      <c r="A1374" s="10" t="inlineStr">
        <is>
          <t>DN319609</t>
        </is>
      </c>
      <c r="B1374" s="10" t="inlineStr">
        <is>
          <t>SO63564</t>
        </is>
      </c>
      <c r="C1374" s="10" t="inlineStr">
        <is>
          <t>C12037</t>
        </is>
      </c>
      <c r="D1374" s="10">
        <f>INDEX(Customers!$B:$B,MATCH(C1374,Customers!$A:$A,0))</f>
        <v/>
      </c>
      <c r="E1374" s="10">
        <f>INDEX(Customers!$D:$D,MATCH(C1374,Customers!$A:$A,0))</f>
        <v/>
      </c>
      <c r="F1374" s="10" t="inlineStr">
        <is>
          <t>Own trucks</t>
        </is>
      </c>
      <c r="G1374" s="5" t="n">
        <v>46281</v>
      </c>
      <c r="H1374" s="5" t="n">
        <v>46282</v>
      </c>
      <c r="I1374" s="5" t="n">
        <v>46282</v>
      </c>
      <c r="J1374" s="10" t="inlineStr">
        <is>
          <t>14:30</t>
        </is>
      </c>
      <c r="K1374" s="10" t="inlineStr">
        <is>
          <t>On time</t>
        </is>
      </c>
      <c r="L1374" s="6" t="n">
        <v>0</v>
      </c>
      <c r="M1374" s="10" t="n"/>
      <c r="N1374" s="6" t="n">
        <v>31</v>
      </c>
      <c r="O1374" s="6" t="n">
        <v>2480</v>
      </c>
      <c r="P1374" s="6" t="n">
        <v>1</v>
      </c>
      <c r="Q1374" s="6">
        <f>IF(OR(K1374="On time",K1374="Late",K1374="Very late"),1,0)</f>
        <v/>
      </c>
    </row>
    <row r="1375">
      <c r="A1375" s="10" t="inlineStr">
        <is>
          <t>DN319610</t>
        </is>
      </c>
      <c r="B1375" s="10" t="inlineStr">
        <is>
          <t>SO63565</t>
        </is>
      </c>
      <c r="C1375" s="10" t="inlineStr">
        <is>
          <t>C12103</t>
        </is>
      </c>
      <c r="D1375" s="10">
        <f>INDEX(Customers!$B:$B,MATCH(C1375,Customers!$A:$A,0))</f>
        <v/>
      </c>
      <c r="E1375" s="10">
        <f>INDEX(Customers!$D:$D,MATCH(C1375,Customers!$A:$A,0))</f>
        <v/>
      </c>
      <c r="F1375" s="10" t="inlineStr">
        <is>
          <t>Own trucks</t>
        </is>
      </c>
      <c r="G1375" s="5" t="n">
        <v>46281</v>
      </c>
      <c r="H1375" s="5" t="n">
        <v>46282</v>
      </c>
      <c r="I1375" s="5" t="n">
        <v>46282</v>
      </c>
      <c r="J1375" s="10" t="inlineStr">
        <is>
          <t>13:40</t>
        </is>
      </c>
      <c r="K1375" s="10" t="inlineStr">
        <is>
          <t>On time</t>
        </is>
      </c>
      <c r="L1375" s="6" t="n">
        <v>0</v>
      </c>
      <c r="M1375" s="10" t="n"/>
      <c r="N1375" s="6" t="n">
        <v>18</v>
      </c>
      <c r="O1375" s="6" t="n">
        <v>1980</v>
      </c>
      <c r="P1375" s="6" t="n">
        <v>1</v>
      </c>
      <c r="Q1375" s="6">
        <f>IF(OR(K1375="On time",K1375="Late",K1375="Very late"),1,0)</f>
        <v/>
      </c>
    </row>
    <row r="1376">
      <c r="A1376" s="10" t="inlineStr">
        <is>
          <t>DN319611</t>
        </is>
      </c>
      <c r="B1376" s="10" t="inlineStr">
        <is>
          <t>SO63566</t>
        </is>
      </c>
      <c r="C1376" s="10" t="inlineStr">
        <is>
          <t>C12183</t>
        </is>
      </c>
      <c r="D1376" s="10">
        <f>INDEX(Customers!$B:$B,MATCH(C1376,Customers!$A:$A,0))</f>
        <v/>
      </c>
      <c r="E1376" s="10">
        <f>INDEX(Customers!$D:$D,MATCH(C1376,Customers!$A:$A,0))</f>
        <v/>
      </c>
      <c r="F1376" s="10" t="inlineStr">
        <is>
          <t>Carrier B</t>
        </is>
      </c>
      <c r="G1376" s="5" t="n">
        <v>46281</v>
      </c>
      <c r="H1376" s="5" t="n">
        <v>46282</v>
      </c>
      <c r="I1376" s="5" t="n">
        <v>46282</v>
      </c>
      <c r="J1376" s="10" t="inlineStr">
        <is>
          <t>15:40</t>
        </is>
      </c>
      <c r="K1376" s="10" t="inlineStr">
        <is>
          <t>On time</t>
        </is>
      </c>
      <c r="L1376" s="6" t="n">
        <v>0</v>
      </c>
      <c r="M1376" s="10" t="n"/>
      <c r="N1376" s="6" t="n">
        <v>9</v>
      </c>
      <c r="O1376" s="6" t="n">
        <v>756</v>
      </c>
      <c r="P1376" s="6" t="n">
        <v>1</v>
      </c>
      <c r="Q1376" s="6">
        <f>IF(OR(K1376="On time",K1376="Late",K1376="Very late"),1,0)</f>
        <v/>
      </c>
    </row>
    <row r="1377">
      <c r="A1377" s="10" t="inlineStr">
        <is>
          <t>DN319612</t>
        </is>
      </c>
      <c r="B1377" s="10" t="inlineStr">
        <is>
          <t>SO63567</t>
        </is>
      </c>
      <c r="C1377" s="10" t="inlineStr">
        <is>
          <t>C12305</t>
        </is>
      </c>
      <c r="D1377" s="10">
        <f>INDEX(Customers!$B:$B,MATCH(C1377,Customers!$A:$A,0))</f>
        <v/>
      </c>
      <c r="E1377" s="10">
        <f>INDEX(Customers!$D:$D,MATCH(C1377,Customers!$A:$A,0))</f>
        <v/>
      </c>
      <c r="F1377" s="10" t="inlineStr">
        <is>
          <t>Carrier B</t>
        </is>
      </c>
      <c r="G1377" s="5" t="n">
        <v>46281</v>
      </c>
      <c r="H1377" s="5" t="n">
        <v>46282</v>
      </c>
      <c r="I1377" s="5" t="n">
        <v>46287</v>
      </c>
      <c r="J1377" s="10" t="inlineStr">
        <is>
          <t>13:40</t>
        </is>
      </c>
      <c r="K1377" s="10" t="inlineStr">
        <is>
          <t>Very late</t>
        </is>
      </c>
      <c r="L1377" s="6" t="n">
        <v>3</v>
      </c>
      <c r="M1377" s="10" t="inlineStr">
        <is>
          <t>Run overloaded</t>
        </is>
      </c>
      <c r="N1377" s="6" t="n">
        <v>7</v>
      </c>
      <c r="O1377" s="6" t="n">
        <v>833</v>
      </c>
      <c r="P1377" s="6" t="n">
        <v>1</v>
      </c>
      <c r="Q1377" s="6">
        <f>IF(OR(K1377="On time",K1377="Late",K1377="Very late"),1,0)</f>
        <v/>
      </c>
    </row>
    <row r="1378">
      <c r="A1378" s="10" t="inlineStr">
        <is>
          <t>DN319613</t>
        </is>
      </c>
      <c r="B1378" s="10" t="inlineStr">
        <is>
          <t>SO63568</t>
        </is>
      </c>
      <c r="C1378" s="10" t="inlineStr">
        <is>
          <t>C12371</t>
        </is>
      </c>
      <c r="D1378" s="10">
        <f>INDEX(Customers!$B:$B,MATCH(C1378,Customers!$A:$A,0))</f>
        <v/>
      </c>
      <c r="E1378" s="10">
        <f>INDEX(Customers!$D:$D,MATCH(C1378,Customers!$A:$A,0))</f>
        <v/>
      </c>
      <c r="F1378" s="10" t="inlineStr">
        <is>
          <t>Carrier A</t>
        </is>
      </c>
      <c r="G1378" s="5" t="n">
        <v>46281</v>
      </c>
      <c r="H1378" s="5" t="n">
        <v>46282</v>
      </c>
      <c r="I1378" s="5" t="n">
        <v>46282</v>
      </c>
      <c r="J1378" s="10" t="inlineStr">
        <is>
          <t>12:00</t>
        </is>
      </c>
      <c r="K1378" s="10" t="inlineStr">
        <is>
          <t>On time</t>
        </is>
      </c>
      <c r="L1378" s="6" t="n">
        <v>0</v>
      </c>
      <c r="M1378" s="10" t="n"/>
      <c r="N1378" s="6" t="n">
        <v>2</v>
      </c>
      <c r="O1378" s="6" t="n">
        <v>246</v>
      </c>
      <c r="P1378" s="6" t="n">
        <v>1</v>
      </c>
      <c r="Q1378" s="6">
        <f>IF(OR(K1378="On time",K1378="Late",K1378="Very late"),1,0)</f>
        <v/>
      </c>
    </row>
    <row r="1379">
      <c r="A1379" s="10" t="inlineStr">
        <is>
          <t>DN319614</t>
        </is>
      </c>
      <c r="B1379" s="10" t="inlineStr">
        <is>
          <t>SO63569</t>
        </is>
      </c>
      <c r="C1379" s="10" t="inlineStr">
        <is>
          <t>C12420</t>
        </is>
      </c>
      <c r="D1379" s="10">
        <f>INDEX(Customers!$B:$B,MATCH(C1379,Customers!$A:$A,0))</f>
        <v/>
      </c>
      <c r="E1379" s="10">
        <f>INDEX(Customers!$D:$D,MATCH(C1379,Customers!$A:$A,0))</f>
        <v/>
      </c>
      <c r="F1379" s="10" t="inlineStr">
        <is>
          <t>Carrier A</t>
        </is>
      </c>
      <c r="G1379" s="5" t="n">
        <v>46281</v>
      </c>
      <c r="H1379" s="5" t="n">
        <v>46282</v>
      </c>
      <c r="I1379" s="5" t="n">
        <v>46283</v>
      </c>
      <c r="J1379" s="10" t="inlineStr">
        <is>
          <t>14:00</t>
        </is>
      </c>
      <c r="K1379" s="10" t="inlineStr">
        <is>
          <t>Late</t>
        </is>
      </c>
      <c r="L1379" s="6" t="n">
        <v>1</v>
      </c>
      <c r="M1379" s="10" t="inlineStr">
        <is>
          <t>Carrier delay</t>
        </is>
      </c>
      <c r="N1379" s="6" t="n">
        <v>38</v>
      </c>
      <c r="O1379" s="6" t="n">
        <v>3154</v>
      </c>
      <c r="P1379" s="6" t="n">
        <v>1</v>
      </c>
      <c r="Q1379" s="6">
        <f>IF(OR(K1379="On time",K1379="Late",K1379="Very late"),1,0)</f>
        <v/>
      </c>
    </row>
    <row r="1380">
      <c r="A1380" s="10" t="inlineStr">
        <is>
          <t>DN319615</t>
        </is>
      </c>
      <c r="B1380" s="10" t="inlineStr">
        <is>
          <t>SO63570</t>
        </is>
      </c>
      <c r="C1380" s="10" t="inlineStr">
        <is>
          <t>C12527</t>
        </is>
      </c>
      <c r="D1380" s="10">
        <f>INDEX(Customers!$B:$B,MATCH(C1380,Customers!$A:$A,0))</f>
        <v/>
      </c>
      <c r="E1380" s="10">
        <f>INDEX(Customers!$D:$D,MATCH(C1380,Customers!$A:$A,0))</f>
        <v/>
      </c>
      <c r="F1380" s="10" t="inlineStr">
        <is>
          <t>Carrier A</t>
        </is>
      </c>
      <c r="G1380" s="5" t="n">
        <v>46281</v>
      </c>
      <c r="H1380" s="5" t="n">
        <v>46282</v>
      </c>
      <c r="I1380" s="5" t="n">
        <v>46282</v>
      </c>
      <c r="J1380" s="10" t="inlineStr">
        <is>
          <t>08:40</t>
        </is>
      </c>
      <c r="K1380" s="10" t="inlineStr">
        <is>
          <t>On time</t>
        </is>
      </c>
      <c r="L1380" s="6" t="n">
        <v>0</v>
      </c>
      <c r="M1380" s="10" t="n"/>
      <c r="N1380" s="6" t="n">
        <v>17</v>
      </c>
      <c r="O1380" s="6" t="n">
        <v>1785</v>
      </c>
      <c r="P1380" s="6" t="n">
        <v>1</v>
      </c>
      <c r="Q1380" s="6">
        <f>IF(OR(K1380="On time",K1380="Late",K1380="Very late"),1,0)</f>
        <v/>
      </c>
    </row>
    <row r="1381">
      <c r="A1381" s="10" t="inlineStr">
        <is>
          <t>DN319616</t>
        </is>
      </c>
      <c r="B1381" s="10" t="inlineStr">
        <is>
          <t>SO63571</t>
        </is>
      </c>
      <c r="C1381" s="10" t="inlineStr">
        <is>
          <t>C12543</t>
        </is>
      </c>
      <c r="D1381" s="10">
        <f>INDEX(Customers!$B:$B,MATCH(C1381,Customers!$A:$A,0))</f>
        <v/>
      </c>
      <c r="E1381" s="10">
        <f>INDEX(Customers!$D:$D,MATCH(C1381,Customers!$A:$A,0))</f>
        <v/>
      </c>
      <c r="F1381" s="10" t="inlineStr">
        <is>
          <t>Carrier B</t>
        </is>
      </c>
      <c r="G1381" s="5" t="n">
        <v>46280</v>
      </c>
      <c r="H1381" s="5" t="n">
        <v>46282</v>
      </c>
      <c r="I1381" s="5" t="n">
        <v>46283</v>
      </c>
      <c r="J1381" s="10" t="inlineStr">
        <is>
          <t>14:20</t>
        </is>
      </c>
      <c r="K1381" s="10" t="inlineStr">
        <is>
          <t>Late</t>
        </is>
      </c>
      <c r="L1381" s="6" t="n">
        <v>1</v>
      </c>
      <c r="M1381" s="10" t="inlineStr">
        <is>
          <t>Customer closed (failed attempt)</t>
        </is>
      </c>
      <c r="N1381" s="6" t="n">
        <v>17</v>
      </c>
      <c r="O1381" s="6" t="n">
        <v>1598</v>
      </c>
      <c r="P1381" s="6" t="n">
        <v>1</v>
      </c>
      <c r="Q1381" s="6">
        <f>IF(OR(K1381="On time",K1381="Late",K1381="Very late"),1,0)</f>
        <v/>
      </c>
    </row>
    <row r="1382">
      <c r="A1382" s="10" t="inlineStr">
        <is>
          <t>DN319617</t>
        </is>
      </c>
      <c r="B1382" s="10" t="inlineStr">
        <is>
          <t>SO63572</t>
        </is>
      </c>
      <c r="C1382" s="10" t="inlineStr">
        <is>
          <t>C12617</t>
        </is>
      </c>
      <c r="D1382" s="10">
        <f>INDEX(Customers!$B:$B,MATCH(C1382,Customers!$A:$A,0))</f>
        <v/>
      </c>
      <c r="E1382" s="10">
        <f>INDEX(Customers!$D:$D,MATCH(C1382,Customers!$A:$A,0))</f>
        <v/>
      </c>
      <c r="F1382" s="10" t="inlineStr">
        <is>
          <t>Carrier B</t>
        </is>
      </c>
      <c r="G1382" s="5" t="n">
        <v>46280</v>
      </c>
      <c r="H1382" s="5" t="n">
        <v>46282</v>
      </c>
      <c r="I1382" s="5" t="n">
        <v>46282</v>
      </c>
      <c r="J1382" s="10" t="inlineStr">
        <is>
          <t>16:30</t>
        </is>
      </c>
      <c r="K1382" s="10" t="inlineStr">
        <is>
          <t>On time</t>
        </is>
      </c>
      <c r="L1382" s="6" t="n">
        <v>0</v>
      </c>
      <c r="M1382" s="10" t="n"/>
      <c r="N1382" s="6" t="n">
        <v>32</v>
      </c>
      <c r="O1382" s="6" t="n">
        <v>4416</v>
      </c>
      <c r="P1382" s="6" t="n">
        <v>1</v>
      </c>
      <c r="Q1382" s="6">
        <f>IF(OR(K1382="On time",K1382="Late",K1382="Very late"),1,0)</f>
        <v/>
      </c>
    </row>
    <row r="1383">
      <c r="A1383" s="10" t="inlineStr">
        <is>
          <t>DN319618</t>
        </is>
      </c>
      <c r="B1383" s="10" t="inlineStr">
        <is>
          <t>SO63574</t>
        </is>
      </c>
      <c r="C1383" s="10" t="inlineStr">
        <is>
          <t>C12631</t>
        </is>
      </c>
      <c r="D1383" s="10">
        <f>INDEX(Customers!$B:$B,MATCH(C1383,Customers!$A:$A,0))</f>
        <v/>
      </c>
      <c r="E1383" s="10">
        <f>INDEX(Customers!$D:$D,MATCH(C1383,Customers!$A:$A,0))</f>
        <v/>
      </c>
      <c r="F1383" s="10" t="inlineStr">
        <is>
          <t>Carrier B</t>
        </is>
      </c>
      <c r="G1383" s="5" t="n">
        <v>46280</v>
      </c>
      <c r="H1383" s="5" t="n">
        <v>46282</v>
      </c>
      <c r="I1383" s="5" t="n">
        <v>46282</v>
      </c>
      <c r="J1383" s="10" t="inlineStr">
        <is>
          <t>11:40</t>
        </is>
      </c>
      <c r="K1383" s="10" t="inlineStr">
        <is>
          <t>On time</t>
        </is>
      </c>
      <c r="L1383" s="6" t="n">
        <v>0</v>
      </c>
      <c r="M1383" s="10" t="n"/>
      <c r="N1383" s="6" t="n">
        <v>20</v>
      </c>
      <c r="O1383" s="6" t="n">
        <v>2320</v>
      </c>
      <c r="P1383" s="6" t="n">
        <v>1</v>
      </c>
      <c r="Q1383" s="6">
        <f>IF(OR(K1383="On time",K1383="Late",K1383="Very late"),1,0)</f>
        <v/>
      </c>
    </row>
    <row r="1384">
      <c r="A1384" s="10" t="inlineStr">
        <is>
          <t>DN319619</t>
        </is>
      </c>
      <c r="B1384" s="10" t="inlineStr">
        <is>
          <t>SO63575</t>
        </is>
      </c>
      <c r="C1384" s="10" t="inlineStr">
        <is>
          <t>C12639</t>
        </is>
      </c>
      <c r="D1384" s="10">
        <f>INDEX(Customers!$B:$B,MATCH(C1384,Customers!$A:$A,0))</f>
        <v/>
      </c>
      <c r="E1384" s="10">
        <f>INDEX(Customers!$D:$D,MATCH(C1384,Customers!$A:$A,0))</f>
        <v/>
      </c>
      <c r="F1384" s="10" t="inlineStr">
        <is>
          <t>Carrier B</t>
        </is>
      </c>
      <c r="G1384" s="5" t="n">
        <v>46280</v>
      </c>
      <c r="H1384" s="5" t="n">
        <v>46282</v>
      </c>
      <c r="I1384" s="5" t="n">
        <v>46282</v>
      </c>
      <c r="J1384" s="10" t="inlineStr">
        <is>
          <t>10:10</t>
        </is>
      </c>
      <c r="K1384" s="10" t="inlineStr">
        <is>
          <t>On time</t>
        </is>
      </c>
      <c r="L1384" s="6" t="n">
        <v>0</v>
      </c>
      <c r="M1384" s="10" t="n"/>
      <c r="N1384" s="6" t="n">
        <v>14</v>
      </c>
      <c r="O1384" s="6" t="n">
        <v>1302</v>
      </c>
      <c r="P1384" s="6" t="n">
        <v>1</v>
      </c>
      <c r="Q1384" s="6">
        <f>IF(OR(K1384="On time",K1384="Late",K1384="Very late"),1,0)</f>
        <v/>
      </c>
    </row>
    <row r="1385">
      <c r="A1385" s="10" t="inlineStr">
        <is>
          <t>DN319620</t>
        </is>
      </c>
      <c r="B1385" s="10" t="inlineStr">
        <is>
          <t>SO63576</t>
        </is>
      </c>
      <c r="C1385" s="10" t="inlineStr">
        <is>
          <t>C10322</t>
        </is>
      </c>
      <c r="D1385" s="10">
        <f>INDEX(Customers!$B:$B,MATCH(C1385,Customers!$A:$A,0))</f>
        <v/>
      </c>
      <c r="E1385" s="10">
        <f>INDEX(Customers!$D:$D,MATCH(C1385,Customers!$A:$A,0))</f>
        <v/>
      </c>
      <c r="F1385" s="10" t="inlineStr">
        <is>
          <t>Own trucks</t>
        </is>
      </c>
      <c r="G1385" s="5" t="n">
        <v>46282</v>
      </c>
      <c r="H1385" s="5" t="n">
        <v>46283</v>
      </c>
      <c r="I1385" s="5" t="n">
        <v>46283</v>
      </c>
      <c r="J1385" s="10" t="inlineStr">
        <is>
          <t>09:20</t>
        </is>
      </c>
      <c r="K1385" s="10" t="inlineStr">
        <is>
          <t>On time</t>
        </is>
      </c>
      <c r="L1385" s="6" t="n">
        <v>0</v>
      </c>
      <c r="M1385" s="10" t="n"/>
      <c r="N1385" s="6" t="n">
        <v>29</v>
      </c>
      <c r="O1385" s="6" t="n">
        <v>2233</v>
      </c>
      <c r="P1385" s="6" t="n">
        <v>1</v>
      </c>
      <c r="Q1385" s="6">
        <f>IF(OR(K1385="On time",K1385="Late",K1385="Very late"),1,0)</f>
        <v/>
      </c>
    </row>
    <row r="1386">
      <c r="A1386" s="10" t="inlineStr">
        <is>
          <t>DN319621</t>
        </is>
      </c>
      <c r="B1386" s="10" t="inlineStr">
        <is>
          <t>SO63577</t>
        </is>
      </c>
      <c r="C1386" s="10" t="inlineStr">
        <is>
          <t>C10343</t>
        </is>
      </c>
      <c r="D1386" s="10">
        <f>INDEX(Customers!$B:$B,MATCH(C1386,Customers!$A:$A,0))</f>
        <v/>
      </c>
      <c r="E1386" s="10">
        <f>INDEX(Customers!$D:$D,MATCH(C1386,Customers!$A:$A,0))</f>
        <v/>
      </c>
      <c r="F1386" s="10" t="inlineStr">
        <is>
          <t>Own trucks</t>
        </is>
      </c>
      <c r="G1386" s="5" t="n">
        <v>46282</v>
      </c>
      <c r="H1386" s="5" t="n">
        <v>46283</v>
      </c>
      <c r="I1386" s="5" t="n">
        <v>46283</v>
      </c>
      <c r="J1386" s="10" t="inlineStr">
        <is>
          <t>07:30</t>
        </is>
      </c>
      <c r="K1386" s="10" t="inlineStr">
        <is>
          <t>On time</t>
        </is>
      </c>
      <c r="L1386" s="6" t="n">
        <v>0</v>
      </c>
      <c r="M1386" s="10" t="n"/>
      <c r="N1386" s="6" t="n">
        <v>19</v>
      </c>
      <c r="O1386" s="6" t="n">
        <v>2527</v>
      </c>
      <c r="P1386" s="6" t="n">
        <v>1</v>
      </c>
      <c r="Q1386" s="6">
        <f>IF(OR(K1386="On time",K1386="Late",K1386="Very late"),1,0)</f>
        <v/>
      </c>
    </row>
    <row r="1387">
      <c r="A1387" s="10" t="inlineStr">
        <is>
          <t>DN319622</t>
        </is>
      </c>
      <c r="B1387" s="10" t="inlineStr">
        <is>
          <t>SO63578</t>
        </is>
      </c>
      <c r="C1387" s="10" t="inlineStr">
        <is>
          <t>C10413</t>
        </is>
      </c>
      <c r="D1387" s="10">
        <f>INDEX(Customers!$B:$B,MATCH(C1387,Customers!$A:$A,0))</f>
        <v/>
      </c>
      <c r="E1387" s="10">
        <f>INDEX(Customers!$D:$D,MATCH(C1387,Customers!$A:$A,0))</f>
        <v/>
      </c>
      <c r="F1387" s="10" t="inlineStr">
        <is>
          <t>Own trucks</t>
        </is>
      </c>
      <c r="G1387" s="5" t="n">
        <v>46282</v>
      </c>
      <c r="H1387" s="5" t="n">
        <v>46283</v>
      </c>
      <c r="I1387" s="5" t="n">
        <v>46286</v>
      </c>
      <c r="J1387" s="10" t="inlineStr">
        <is>
          <t>11:30</t>
        </is>
      </c>
      <c r="K1387" s="10" t="inlineStr">
        <is>
          <t>Late</t>
        </is>
      </c>
      <c r="L1387" s="6" t="n">
        <v>1</v>
      </c>
      <c r="M1387" s="10" t="inlineStr">
        <is>
          <t>Carrier delay</t>
        </is>
      </c>
      <c r="N1387" s="6" t="n">
        <v>39</v>
      </c>
      <c r="O1387" s="6" t="n">
        <v>4173</v>
      </c>
      <c r="P1387" s="6" t="n">
        <v>1</v>
      </c>
      <c r="Q1387" s="6">
        <f>IF(OR(K1387="On time",K1387="Late",K1387="Very late"),1,0)</f>
        <v/>
      </c>
    </row>
    <row r="1388">
      <c r="A1388" s="10" t="inlineStr">
        <is>
          <t>DN319623</t>
        </is>
      </c>
      <c r="B1388" s="10" t="inlineStr">
        <is>
          <t>SO63579</t>
        </is>
      </c>
      <c r="C1388" s="10" t="inlineStr">
        <is>
          <t>C10522</t>
        </is>
      </c>
      <c r="D1388" s="10">
        <f>INDEX(Customers!$B:$B,MATCH(C1388,Customers!$A:$A,0))</f>
        <v/>
      </c>
      <c r="E1388" s="10">
        <f>INDEX(Customers!$D:$D,MATCH(C1388,Customers!$A:$A,0))</f>
        <v/>
      </c>
      <c r="F1388" s="10" t="inlineStr">
        <is>
          <t>Own trucks</t>
        </is>
      </c>
      <c r="G1388" s="5" t="n">
        <v>46282</v>
      </c>
      <c r="H1388" s="5" t="n">
        <v>46283</v>
      </c>
      <c r="I1388" s="5" t="n">
        <v>46283</v>
      </c>
      <c r="J1388" s="10" t="inlineStr">
        <is>
          <t>10:20</t>
        </is>
      </c>
      <c r="K1388" s="10" t="inlineStr">
        <is>
          <t>On time</t>
        </is>
      </c>
      <c r="L1388" s="6" t="n">
        <v>0</v>
      </c>
      <c r="M1388" s="10" t="n"/>
      <c r="N1388" s="6" t="n">
        <v>22</v>
      </c>
      <c r="O1388" s="6" t="n">
        <v>1584</v>
      </c>
      <c r="P1388" s="6" t="n">
        <v>1</v>
      </c>
      <c r="Q1388" s="6">
        <f>IF(OR(K1388="On time",K1388="Late",K1388="Very late"),1,0)</f>
        <v/>
      </c>
    </row>
    <row r="1389">
      <c r="A1389" s="10" t="inlineStr">
        <is>
          <t>DN319624</t>
        </is>
      </c>
      <c r="B1389" s="10" t="inlineStr">
        <is>
          <t>SO63580</t>
        </is>
      </c>
      <c r="C1389" s="10" t="inlineStr">
        <is>
          <t>C10536</t>
        </is>
      </c>
      <c r="D1389" s="10">
        <f>INDEX(Customers!$B:$B,MATCH(C1389,Customers!$A:$A,0))</f>
        <v/>
      </c>
      <c r="E1389" s="10">
        <f>INDEX(Customers!$D:$D,MATCH(C1389,Customers!$A:$A,0))</f>
        <v/>
      </c>
      <c r="F1389" s="10" t="inlineStr">
        <is>
          <t>Own trucks</t>
        </is>
      </c>
      <c r="G1389" s="5" t="n">
        <v>46282</v>
      </c>
      <c r="H1389" s="5" t="n">
        <v>46283</v>
      </c>
      <c r="I1389" s="5" t="n">
        <v>46283</v>
      </c>
      <c r="J1389" s="10" t="inlineStr">
        <is>
          <t>15:40</t>
        </is>
      </c>
      <c r="K1389" s="10" t="inlineStr">
        <is>
          <t>On time</t>
        </is>
      </c>
      <c r="L1389" s="6" t="n">
        <v>0</v>
      </c>
      <c r="M1389" s="10" t="n"/>
      <c r="N1389" s="6" t="n">
        <v>35</v>
      </c>
      <c r="O1389" s="6" t="n">
        <v>2275</v>
      </c>
      <c r="P1389" s="6" t="n">
        <v>1</v>
      </c>
      <c r="Q1389" s="6">
        <f>IF(OR(K1389="On time",K1389="Late",K1389="Very late"),1,0)</f>
        <v/>
      </c>
    </row>
    <row r="1390">
      <c r="A1390" s="10" t="inlineStr">
        <is>
          <t>DN319625</t>
        </is>
      </c>
      <c r="B1390" s="10" t="inlineStr">
        <is>
          <t>SO63582</t>
        </is>
      </c>
      <c r="C1390" s="10" t="inlineStr">
        <is>
          <t>C10589</t>
        </is>
      </c>
      <c r="D1390" s="10">
        <f>INDEX(Customers!$B:$B,MATCH(C1390,Customers!$A:$A,0))</f>
        <v/>
      </c>
      <c r="E1390" s="10">
        <f>INDEX(Customers!$D:$D,MATCH(C1390,Customers!$A:$A,0))</f>
        <v/>
      </c>
      <c r="F1390" s="10" t="inlineStr">
        <is>
          <t>Own trucks</t>
        </is>
      </c>
      <c r="G1390" s="5" t="n">
        <v>46282</v>
      </c>
      <c r="H1390" s="5" t="n">
        <v>46283</v>
      </c>
      <c r="I1390" s="5" t="n">
        <v>46283</v>
      </c>
      <c r="J1390" s="10" t="inlineStr">
        <is>
          <t>08:00</t>
        </is>
      </c>
      <c r="K1390" s="10" t="inlineStr">
        <is>
          <t>On time</t>
        </is>
      </c>
      <c r="L1390" s="6" t="n">
        <v>0</v>
      </c>
      <c r="M1390" s="10" t="n"/>
      <c r="N1390" s="6" t="n">
        <v>17</v>
      </c>
      <c r="O1390" s="6" t="n">
        <v>1836</v>
      </c>
      <c r="P1390" s="6" t="n">
        <v>1</v>
      </c>
      <c r="Q1390" s="6">
        <f>IF(OR(K1390="On time",K1390="Late",K1390="Very late"),1,0)</f>
        <v/>
      </c>
    </row>
    <row r="1391">
      <c r="A1391" s="10" t="inlineStr">
        <is>
          <t>DN319626</t>
        </is>
      </c>
      <c r="B1391" s="10" t="inlineStr">
        <is>
          <t>SO63583</t>
        </is>
      </c>
      <c r="C1391" s="10" t="inlineStr">
        <is>
          <t>C10648</t>
        </is>
      </c>
      <c r="D1391" s="10">
        <f>INDEX(Customers!$B:$B,MATCH(C1391,Customers!$A:$A,0))</f>
        <v/>
      </c>
      <c r="E1391" s="10">
        <f>INDEX(Customers!$D:$D,MATCH(C1391,Customers!$A:$A,0))</f>
        <v/>
      </c>
      <c r="F1391" s="10" t="inlineStr">
        <is>
          <t>Own trucks</t>
        </is>
      </c>
      <c r="G1391" s="5" t="n">
        <v>46282</v>
      </c>
      <c r="H1391" s="5" t="n">
        <v>46283</v>
      </c>
      <c r="I1391" s="5" t="n">
        <v>46283</v>
      </c>
      <c r="J1391" s="10" t="inlineStr">
        <is>
          <t>14:00</t>
        </is>
      </c>
      <c r="K1391" s="10" t="inlineStr">
        <is>
          <t>On time</t>
        </is>
      </c>
      <c r="L1391" s="6" t="n">
        <v>0</v>
      </c>
      <c r="M1391" s="10" t="n"/>
      <c r="N1391" s="6" t="n">
        <v>7</v>
      </c>
      <c r="O1391" s="6" t="n">
        <v>532</v>
      </c>
      <c r="P1391" s="6" t="n">
        <v>1</v>
      </c>
      <c r="Q1391" s="6">
        <f>IF(OR(K1391="On time",K1391="Late",K1391="Very late"),1,0)</f>
        <v/>
      </c>
    </row>
    <row r="1392">
      <c r="A1392" s="10" t="inlineStr">
        <is>
          <t>DN319627</t>
        </is>
      </c>
      <c r="B1392" s="10" t="inlineStr">
        <is>
          <t>SO63584</t>
        </is>
      </c>
      <c r="C1392" s="10" t="inlineStr">
        <is>
          <t>C10676</t>
        </is>
      </c>
      <c r="D1392" s="10">
        <f>INDEX(Customers!$B:$B,MATCH(C1392,Customers!$A:$A,0))</f>
        <v/>
      </c>
      <c r="E1392" s="10">
        <f>INDEX(Customers!$D:$D,MATCH(C1392,Customers!$A:$A,0))</f>
        <v/>
      </c>
      <c r="F1392" s="10" t="inlineStr">
        <is>
          <t>Own trucks</t>
        </is>
      </c>
      <c r="G1392" s="5" t="n">
        <v>46282</v>
      </c>
      <c r="H1392" s="5" t="n">
        <v>46283</v>
      </c>
      <c r="I1392" s="5" t="n">
        <v>46283</v>
      </c>
      <c r="J1392" s="10" t="inlineStr">
        <is>
          <t>16:40</t>
        </is>
      </c>
      <c r="K1392" s="10" t="inlineStr">
        <is>
          <t>On time</t>
        </is>
      </c>
      <c r="L1392" s="6" t="n">
        <v>0</v>
      </c>
      <c r="M1392" s="10" t="n"/>
      <c r="N1392" s="6" t="n">
        <v>26</v>
      </c>
      <c r="O1392" s="6" t="n">
        <v>1924</v>
      </c>
      <c r="P1392" s="6" t="n">
        <v>1</v>
      </c>
      <c r="Q1392" s="6">
        <f>IF(OR(K1392="On time",K1392="Late",K1392="Very late"),1,0)</f>
        <v/>
      </c>
    </row>
    <row r="1393">
      <c r="A1393" s="10" t="inlineStr">
        <is>
          <t>DN319628</t>
        </is>
      </c>
      <c r="B1393" s="10" t="inlineStr">
        <is>
          <t>SO63585</t>
        </is>
      </c>
      <c r="C1393" s="10" t="inlineStr">
        <is>
          <t>C10689</t>
        </is>
      </c>
      <c r="D1393" s="10">
        <f>INDEX(Customers!$B:$B,MATCH(C1393,Customers!$A:$A,0))</f>
        <v/>
      </c>
      <c r="E1393" s="10">
        <f>INDEX(Customers!$D:$D,MATCH(C1393,Customers!$A:$A,0))</f>
        <v/>
      </c>
      <c r="F1393" s="10" t="inlineStr">
        <is>
          <t>Own trucks</t>
        </is>
      </c>
      <c r="G1393" s="5" t="n">
        <v>46282</v>
      </c>
      <c r="H1393" s="5" t="n">
        <v>46283</v>
      </c>
      <c r="I1393" s="5" t="n">
        <v>46283</v>
      </c>
      <c r="J1393" s="10" t="inlineStr">
        <is>
          <t>08:20</t>
        </is>
      </c>
      <c r="K1393" s="10" t="inlineStr">
        <is>
          <t>On time</t>
        </is>
      </c>
      <c r="L1393" s="6" t="n">
        <v>0</v>
      </c>
      <c r="M1393" s="10" t="n"/>
      <c r="N1393" s="6" t="n">
        <v>34</v>
      </c>
      <c r="O1393" s="6" t="n">
        <v>2040</v>
      </c>
      <c r="P1393" s="6" t="n">
        <v>1</v>
      </c>
      <c r="Q1393" s="6">
        <f>IF(OR(K1393="On time",K1393="Late",K1393="Very late"),1,0)</f>
        <v/>
      </c>
    </row>
    <row r="1394">
      <c r="A1394" s="10" t="inlineStr">
        <is>
          <t>DN319629</t>
        </is>
      </c>
      <c r="B1394" s="10" t="inlineStr">
        <is>
          <t>SO63586</t>
        </is>
      </c>
      <c r="C1394" s="10" t="inlineStr">
        <is>
          <t>C10796</t>
        </is>
      </c>
      <c r="D1394" s="10">
        <f>INDEX(Customers!$B:$B,MATCH(C1394,Customers!$A:$A,0))</f>
        <v/>
      </c>
      <c r="E1394" s="10">
        <f>INDEX(Customers!$D:$D,MATCH(C1394,Customers!$A:$A,0))</f>
        <v/>
      </c>
      <c r="F1394" s="10" t="inlineStr">
        <is>
          <t>Own trucks</t>
        </is>
      </c>
      <c r="G1394" s="5" t="n">
        <v>46282</v>
      </c>
      <c r="H1394" s="5" t="n">
        <v>46283</v>
      </c>
      <c r="I1394" s="5" t="n">
        <v>46283</v>
      </c>
      <c r="J1394" s="10" t="inlineStr">
        <is>
          <t>11:50</t>
        </is>
      </c>
      <c r="K1394" s="10" t="inlineStr">
        <is>
          <t>On time</t>
        </is>
      </c>
      <c r="L1394" s="6" t="n">
        <v>0</v>
      </c>
      <c r="M1394" s="10" t="n"/>
      <c r="N1394" s="6" t="n">
        <v>24</v>
      </c>
      <c r="O1394" s="6" t="n">
        <v>1944</v>
      </c>
      <c r="P1394" s="6" t="n">
        <v>1</v>
      </c>
      <c r="Q1394" s="6">
        <f>IF(OR(K1394="On time",K1394="Late",K1394="Very late"),1,0)</f>
        <v/>
      </c>
    </row>
    <row r="1395">
      <c r="A1395" s="10" t="inlineStr">
        <is>
          <t>DN319630</t>
        </is>
      </c>
      <c r="B1395" s="10" t="inlineStr">
        <is>
          <t>SO63587</t>
        </is>
      </c>
      <c r="C1395" s="10" t="inlineStr">
        <is>
          <t>C10847</t>
        </is>
      </c>
      <c r="D1395" s="10">
        <f>INDEX(Customers!$B:$B,MATCH(C1395,Customers!$A:$A,0))</f>
        <v/>
      </c>
      <c r="E1395" s="10">
        <f>INDEX(Customers!$D:$D,MATCH(C1395,Customers!$A:$A,0))</f>
        <v/>
      </c>
      <c r="F1395" s="10" t="inlineStr">
        <is>
          <t>Own trucks</t>
        </is>
      </c>
      <c r="G1395" s="5" t="n">
        <v>46282</v>
      </c>
      <c r="H1395" s="5" t="n">
        <v>46283</v>
      </c>
      <c r="I1395" s="5" t="n">
        <v>46283</v>
      </c>
      <c r="J1395" s="10" t="inlineStr">
        <is>
          <t>11:10</t>
        </is>
      </c>
      <c r="K1395" s="10" t="inlineStr">
        <is>
          <t>On time</t>
        </is>
      </c>
      <c r="L1395" s="6" t="n">
        <v>0</v>
      </c>
      <c r="M1395" s="10" t="n"/>
      <c r="N1395" s="6" t="n">
        <v>10</v>
      </c>
      <c r="O1395" s="6" t="n">
        <v>660</v>
      </c>
      <c r="P1395" s="6" t="n">
        <v>1</v>
      </c>
      <c r="Q1395" s="6">
        <f>IF(OR(K1395="On time",K1395="Late",K1395="Very late"),1,0)</f>
        <v/>
      </c>
    </row>
    <row r="1396">
      <c r="A1396" s="10" t="inlineStr">
        <is>
          <t>DN319631</t>
        </is>
      </c>
      <c r="B1396" s="10" t="inlineStr">
        <is>
          <t>SO63589</t>
        </is>
      </c>
      <c r="C1396" s="10" t="inlineStr">
        <is>
          <t>C10915</t>
        </is>
      </c>
      <c r="D1396" s="10">
        <f>INDEX(Customers!$B:$B,MATCH(C1396,Customers!$A:$A,0))</f>
        <v/>
      </c>
      <c r="E1396" s="10">
        <f>INDEX(Customers!$D:$D,MATCH(C1396,Customers!$A:$A,0))</f>
        <v/>
      </c>
      <c r="F1396" s="10" t="inlineStr">
        <is>
          <t>Own trucks</t>
        </is>
      </c>
      <c r="G1396" s="5" t="n">
        <v>46282</v>
      </c>
      <c r="H1396" s="5" t="n">
        <v>46283</v>
      </c>
      <c r="I1396" s="5" t="n">
        <v>46283</v>
      </c>
      <c r="J1396" s="10" t="inlineStr">
        <is>
          <t>10:20</t>
        </is>
      </c>
      <c r="K1396" s="10" t="inlineStr">
        <is>
          <t>On time</t>
        </is>
      </c>
      <c r="L1396" s="6" t="n">
        <v>0</v>
      </c>
      <c r="M1396" s="10" t="n"/>
      <c r="N1396" s="6" t="n">
        <v>6</v>
      </c>
      <c r="O1396" s="6" t="n">
        <v>588</v>
      </c>
      <c r="P1396" s="6" t="n">
        <v>1</v>
      </c>
      <c r="Q1396" s="6">
        <f>IF(OR(K1396="On time",K1396="Late",K1396="Very late"),1,0)</f>
        <v/>
      </c>
    </row>
    <row r="1397">
      <c r="A1397" s="10" t="inlineStr">
        <is>
          <t>DN319632</t>
        </is>
      </c>
      <c r="B1397" s="10" t="inlineStr">
        <is>
          <t>SO63590</t>
        </is>
      </c>
      <c r="C1397" s="10" t="inlineStr">
        <is>
          <t>C10982</t>
        </is>
      </c>
      <c r="D1397" s="10">
        <f>INDEX(Customers!$B:$B,MATCH(C1397,Customers!$A:$A,0))</f>
        <v/>
      </c>
      <c r="E1397" s="10">
        <f>INDEX(Customers!$D:$D,MATCH(C1397,Customers!$A:$A,0))</f>
        <v/>
      </c>
      <c r="F1397" s="10" t="inlineStr">
        <is>
          <t>Own trucks</t>
        </is>
      </c>
      <c r="G1397" s="5" t="n">
        <v>46282</v>
      </c>
      <c r="H1397" s="5" t="n">
        <v>46283</v>
      </c>
      <c r="I1397" s="5" t="n">
        <v>46283</v>
      </c>
      <c r="J1397" s="10" t="inlineStr">
        <is>
          <t>08:10</t>
        </is>
      </c>
      <c r="K1397" s="10" t="inlineStr">
        <is>
          <t>On time</t>
        </is>
      </c>
      <c r="L1397" s="6" t="n">
        <v>0</v>
      </c>
      <c r="M1397" s="10" t="n"/>
      <c r="N1397" s="6" t="n">
        <v>18</v>
      </c>
      <c r="O1397" s="6" t="n">
        <v>1656</v>
      </c>
      <c r="P1397" s="6" t="n">
        <v>1</v>
      </c>
      <c r="Q1397" s="6">
        <f>IF(OR(K1397="On time",K1397="Late",K1397="Very late"),1,0)</f>
        <v/>
      </c>
    </row>
    <row r="1398">
      <c r="A1398" s="10" t="inlineStr">
        <is>
          <t>DN319633</t>
        </is>
      </c>
      <c r="B1398" s="10" t="inlineStr">
        <is>
          <t>SO63592</t>
        </is>
      </c>
      <c r="C1398" s="10" t="inlineStr">
        <is>
          <t>C11107</t>
        </is>
      </c>
      <c r="D1398" s="10">
        <f>INDEX(Customers!$B:$B,MATCH(C1398,Customers!$A:$A,0))</f>
        <v/>
      </c>
      <c r="E1398" s="10">
        <f>INDEX(Customers!$D:$D,MATCH(C1398,Customers!$A:$A,0))</f>
        <v/>
      </c>
      <c r="F1398" s="10" t="inlineStr">
        <is>
          <t>Own trucks</t>
        </is>
      </c>
      <c r="G1398" s="5" t="n">
        <v>46282</v>
      </c>
      <c r="H1398" s="5" t="n">
        <v>46283</v>
      </c>
      <c r="I1398" s="5" t="n">
        <v>46283</v>
      </c>
      <c r="J1398" s="10" t="inlineStr">
        <is>
          <t>15:30</t>
        </is>
      </c>
      <c r="K1398" s="10" t="inlineStr">
        <is>
          <t>On time</t>
        </is>
      </c>
      <c r="L1398" s="6" t="n">
        <v>0</v>
      </c>
      <c r="M1398" s="10" t="n"/>
      <c r="N1398" s="6" t="n">
        <v>6</v>
      </c>
      <c r="O1398" s="6" t="n">
        <v>750</v>
      </c>
      <c r="P1398" s="6" t="n">
        <v>1</v>
      </c>
      <c r="Q1398" s="6">
        <f>IF(OR(K1398="On time",K1398="Late",K1398="Very late"),1,0)</f>
        <v/>
      </c>
    </row>
    <row r="1399">
      <c r="A1399" s="10" t="inlineStr">
        <is>
          <t>DN319634</t>
        </is>
      </c>
      <c r="B1399" s="10" t="inlineStr">
        <is>
          <t>SO63593</t>
        </is>
      </c>
      <c r="C1399" s="10" t="inlineStr">
        <is>
          <t>C11247</t>
        </is>
      </c>
      <c r="D1399" s="10">
        <f>INDEX(Customers!$B:$B,MATCH(C1399,Customers!$A:$A,0))</f>
        <v/>
      </c>
      <c r="E1399" s="10">
        <f>INDEX(Customers!$D:$D,MATCH(C1399,Customers!$A:$A,0))</f>
        <v/>
      </c>
      <c r="F1399" s="10" t="inlineStr">
        <is>
          <t>Own trucks</t>
        </is>
      </c>
      <c r="G1399" s="5" t="n">
        <v>46282</v>
      </c>
      <c r="H1399" s="5" t="n">
        <v>46283</v>
      </c>
      <c r="I1399" s="5" t="n">
        <v>46283</v>
      </c>
      <c r="J1399" s="10" t="inlineStr">
        <is>
          <t>15:50</t>
        </is>
      </c>
      <c r="K1399" s="10" t="inlineStr">
        <is>
          <t>On time</t>
        </is>
      </c>
      <c r="L1399" s="6" t="n">
        <v>0</v>
      </c>
      <c r="M1399" s="10" t="n"/>
      <c r="N1399" s="6" t="n">
        <v>23</v>
      </c>
      <c r="O1399" s="6" t="n">
        <v>2116</v>
      </c>
      <c r="P1399" s="6" t="n">
        <v>1</v>
      </c>
      <c r="Q1399" s="6">
        <f>IF(OR(K1399="On time",K1399="Late",K1399="Very late"),1,0)</f>
        <v/>
      </c>
    </row>
    <row r="1400">
      <c r="A1400" s="10" t="inlineStr">
        <is>
          <t>DN319635</t>
        </is>
      </c>
      <c r="B1400" s="10" t="inlineStr">
        <is>
          <t>SO63594</t>
        </is>
      </c>
      <c r="C1400" s="10" t="inlineStr">
        <is>
          <t>C11264</t>
        </is>
      </c>
      <c r="D1400" s="10">
        <f>INDEX(Customers!$B:$B,MATCH(C1400,Customers!$A:$A,0))</f>
        <v/>
      </c>
      <c r="E1400" s="10">
        <f>INDEX(Customers!$D:$D,MATCH(C1400,Customers!$A:$A,0))</f>
        <v/>
      </c>
      <c r="F1400" s="10" t="inlineStr">
        <is>
          <t>Own trucks</t>
        </is>
      </c>
      <c r="G1400" s="5" t="n">
        <v>46282</v>
      </c>
      <c r="H1400" s="5" t="n">
        <v>46283</v>
      </c>
      <c r="I1400" s="5" t="n">
        <v>46283</v>
      </c>
      <c r="J1400" s="10" t="inlineStr">
        <is>
          <t>15:40</t>
        </is>
      </c>
      <c r="K1400" s="10" t="inlineStr">
        <is>
          <t>On time</t>
        </is>
      </c>
      <c r="L1400" s="6" t="n">
        <v>0</v>
      </c>
      <c r="M1400" s="10" t="n"/>
      <c r="N1400" s="6" t="n">
        <v>13</v>
      </c>
      <c r="O1400" s="6" t="n">
        <v>754</v>
      </c>
      <c r="P1400" s="6" t="n">
        <v>1</v>
      </c>
      <c r="Q1400" s="6">
        <f>IF(OR(K1400="On time",K1400="Late",K1400="Very late"),1,0)</f>
        <v/>
      </c>
    </row>
    <row r="1401">
      <c r="A1401" s="10" t="inlineStr">
        <is>
          <t>DN319636</t>
        </is>
      </c>
      <c r="B1401" s="10" t="inlineStr">
        <is>
          <t>SO63595</t>
        </is>
      </c>
      <c r="C1401" s="10" t="inlineStr">
        <is>
          <t>C11314</t>
        </is>
      </c>
      <c r="D1401" s="10">
        <f>INDEX(Customers!$B:$B,MATCH(C1401,Customers!$A:$A,0))</f>
        <v/>
      </c>
      <c r="E1401" s="10">
        <f>INDEX(Customers!$D:$D,MATCH(C1401,Customers!$A:$A,0))</f>
        <v/>
      </c>
      <c r="F1401" s="10" t="inlineStr">
        <is>
          <t>Own trucks</t>
        </is>
      </c>
      <c r="G1401" s="5" t="n">
        <v>46282</v>
      </c>
      <c r="H1401" s="5" t="n">
        <v>46283</v>
      </c>
      <c r="I1401" s="5" t="n">
        <v>46283</v>
      </c>
      <c r="J1401" s="10" t="inlineStr">
        <is>
          <t>16:40</t>
        </is>
      </c>
      <c r="K1401" s="10" t="inlineStr">
        <is>
          <t>On time</t>
        </is>
      </c>
      <c r="L1401" s="6" t="n">
        <v>0</v>
      </c>
      <c r="M1401" s="10" t="n"/>
      <c r="N1401" s="6" t="n">
        <v>22</v>
      </c>
      <c r="O1401" s="6" t="n">
        <v>1386</v>
      </c>
      <c r="P1401" s="6" t="n">
        <v>1</v>
      </c>
      <c r="Q1401" s="6">
        <f>IF(OR(K1401="On time",K1401="Late",K1401="Very late"),1,0)</f>
        <v/>
      </c>
    </row>
    <row r="1402">
      <c r="A1402" s="10" t="inlineStr">
        <is>
          <t>DN319637</t>
        </is>
      </c>
      <c r="B1402" s="10" t="inlineStr">
        <is>
          <t>SO63597</t>
        </is>
      </c>
      <c r="C1402" s="10" t="inlineStr">
        <is>
          <t>C11518</t>
        </is>
      </c>
      <c r="D1402" s="10">
        <f>INDEX(Customers!$B:$B,MATCH(C1402,Customers!$A:$A,0))</f>
        <v/>
      </c>
      <c r="E1402" s="10">
        <f>INDEX(Customers!$D:$D,MATCH(C1402,Customers!$A:$A,0))</f>
        <v/>
      </c>
      <c r="F1402" s="10" t="inlineStr">
        <is>
          <t>Own trucks</t>
        </is>
      </c>
      <c r="G1402" s="5" t="n">
        <v>46282</v>
      </c>
      <c r="H1402" s="5" t="n">
        <v>46283</v>
      </c>
      <c r="I1402" s="5" t="n">
        <v>46283</v>
      </c>
      <c r="J1402" s="10" t="inlineStr">
        <is>
          <t>14:00</t>
        </is>
      </c>
      <c r="K1402" s="10" t="inlineStr">
        <is>
          <t>On time</t>
        </is>
      </c>
      <c r="L1402" s="6" t="n">
        <v>0</v>
      </c>
      <c r="M1402" s="10" t="n"/>
      <c r="N1402" s="6" t="n">
        <v>2</v>
      </c>
      <c r="O1402" s="6" t="n">
        <v>142</v>
      </c>
      <c r="P1402" s="6" t="n">
        <v>1</v>
      </c>
      <c r="Q1402" s="6">
        <f>IF(OR(K1402="On time",K1402="Late",K1402="Very late"),1,0)</f>
        <v/>
      </c>
    </row>
    <row r="1403">
      <c r="A1403" s="10" t="inlineStr">
        <is>
          <t>DN319638</t>
        </is>
      </c>
      <c r="B1403" s="10" t="inlineStr">
        <is>
          <t>SO63598</t>
        </is>
      </c>
      <c r="C1403" s="10" t="inlineStr">
        <is>
          <t>C11579</t>
        </is>
      </c>
      <c r="D1403" s="10">
        <f>INDEX(Customers!$B:$B,MATCH(C1403,Customers!$A:$A,0))</f>
        <v/>
      </c>
      <c r="E1403" s="10">
        <f>INDEX(Customers!$D:$D,MATCH(C1403,Customers!$A:$A,0))</f>
        <v/>
      </c>
      <c r="F1403" s="10" t="inlineStr">
        <is>
          <t>Own trucks</t>
        </is>
      </c>
      <c r="G1403" s="5" t="n">
        <v>46282</v>
      </c>
      <c r="H1403" s="5" t="n">
        <v>46283</v>
      </c>
      <c r="I1403" s="5" t="n">
        <v>46283</v>
      </c>
      <c r="J1403" s="10" t="inlineStr">
        <is>
          <t>11:40</t>
        </is>
      </c>
      <c r="K1403" s="10" t="inlineStr">
        <is>
          <t>On time</t>
        </is>
      </c>
      <c r="L1403" s="6" t="n">
        <v>0</v>
      </c>
      <c r="M1403" s="10" t="n"/>
      <c r="N1403" s="6" t="n">
        <v>32</v>
      </c>
      <c r="O1403" s="6" t="n">
        <v>1984</v>
      </c>
      <c r="P1403" s="6" t="n">
        <v>1</v>
      </c>
      <c r="Q1403" s="6">
        <f>IF(OR(K1403="On time",K1403="Late",K1403="Very late"),1,0)</f>
        <v/>
      </c>
    </row>
    <row r="1404">
      <c r="A1404" s="10" t="inlineStr">
        <is>
          <t>DN319639</t>
        </is>
      </c>
      <c r="B1404" s="10" t="inlineStr">
        <is>
          <t>SO63599</t>
        </is>
      </c>
      <c r="C1404" s="10" t="inlineStr">
        <is>
          <t>C11666</t>
        </is>
      </c>
      <c r="D1404" s="10">
        <f>INDEX(Customers!$B:$B,MATCH(C1404,Customers!$A:$A,0))</f>
        <v/>
      </c>
      <c r="E1404" s="10">
        <f>INDEX(Customers!$D:$D,MATCH(C1404,Customers!$A:$A,0))</f>
        <v/>
      </c>
      <c r="F1404" s="10" t="inlineStr">
        <is>
          <t>Own trucks</t>
        </is>
      </c>
      <c r="G1404" s="5" t="n">
        <v>46282</v>
      </c>
      <c r="H1404" s="5" t="n">
        <v>46283</v>
      </c>
      <c r="I1404" s="5" t="n">
        <v>46283</v>
      </c>
      <c r="J1404" s="10" t="inlineStr">
        <is>
          <t>13:10</t>
        </is>
      </c>
      <c r="K1404" s="10" t="inlineStr">
        <is>
          <t>On time</t>
        </is>
      </c>
      <c r="L1404" s="6" t="n">
        <v>0</v>
      </c>
      <c r="M1404" s="10" t="n"/>
      <c r="N1404" s="6" t="n">
        <v>39</v>
      </c>
      <c r="O1404" s="6" t="n">
        <v>4836</v>
      </c>
      <c r="P1404" s="6" t="n">
        <v>1</v>
      </c>
      <c r="Q1404" s="6">
        <f>IF(OR(K1404="On time",K1404="Late",K1404="Very late"),1,0)</f>
        <v/>
      </c>
    </row>
    <row r="1405">
      <c r="A1405" s="10" t="inlineStr">
        <is>
          <t>DN319640</t>
        </is>
      </c>
      <c r="B1405" s="10" t="inlineStr">
        <is>
          <t>SO63600</t>
        </is>
      </c>
      <c r="C1405" s="10" t="inlineStr">
        <is>
          <t>C11745</t>
        </is>
      </c>
      <c r="D1405" s="10">
        <f>INDEX(Customers!$B:$B,MATCH(C1405,Customers!$A:$A,0))</f>
        <v/>
      </c>
      <c r="E1405" s="10">
        <f>INDEX(Customers!$D:$D,MATCH(C1405,Customers!$A:$A,0))</f>
        <v/>
      </c>
      <c r="F1405" s="10" t="inlineStr">
        <is>
          <t>Own trucks</t>
        </is>
      </c>
      <c r="G1405" s="5" t="n">
        <v>46282</v>
      </c>
      <c r="H1405" s="5" t="n">
        <v>46283</v>
      </c>
      <c r="I1405" s="5" t="n">
        <v>46283</v>
      </c>
      <c r="J1405" s="10" t="inlineStr">
        <is>
          <t>14:20</t>
        </is>
      </c>
      <c r="K1405" s="10" t="inlineStr">
        <is>
          <t>On time</t>
        </is>
      </c>
      <c r="L1405" s="6" t="n">
        <v>0</v>
      </c>
      <c r="M1405" s="10" t="n"/>
      <c r="N1405" s="6" t="n">
        <v>11</v>
      </c>
      <c r="O1405" s="6" t="n">
        <v>1243</v>
      </c>
      <c r="P1405" s="6" t="n">
        <v>1</v>
      </c>
      <c r="Q1405" s="6">
        <f>IF(OR(K1405="On time",K1405="Late",K1405="Very late"),1,0)</f>
        <v/>
      </c>
    </row>
    <row r="1406">
      <c r="A1406" s="10" t="inlineStr">
        <is>
          <t>DN319641</t>
        </is>
      </c>
      <c r="B1406" s="10" t="inlineStr">
        <is>
          <t>SO63601</t>
        </is>
      </c>
      <c r="C1406" s="10" t="inlineStr">
        <is>
          <t>C11798</t>
        </is>
      </c>
      <c r="D1406" s="10">
        <f>INDEX(Customers!$B:$B,MATCH(C1406,Customers!$A:$A,0))</f>
        <v/>
      </c>
      <c r="E1406" s="10">
        <f>INDEX(Customers!$D:$D,MATCH(C1406,Customers!$A:$A,0))</f>
        <v/>
      </c>
      <c r="F1406" s="10" t="inlineStr">
        <is>
          <t>Carrier A</t>
        </is>
      </c>
      <c r="G1406" s="5" t="n">
        <v>46282</v>
      </c>
      <c r="H1406" s="5" t="n">
        <v>46283</v>
      </c>
      <c r="I1406" s="5" t="n">
        <v>46283</v>
      </c>
      <c r="J1406" s="10" t="inlineStr">
        <is>
          <t>08:10</t>
        </is>
      </c>
      <c r="K1406" s="10" t="inlineStr">
        <is>
          <t>On time</t>
        </is>
      </c>
      <c r="L1406" s="6" t="n">
        <v>0</v>
      </c>
      <c r="M1406" s="10" t="n"/>
      <c r="N1406" s="6" t="n">
        <v>38</v>
      </c>
      <c r="O1406" s="6" t="n">
        <v>3382</v>
      </c>
      <c r="P1406" s="6" t="n">
        <v>1</v>
      </c>
      <c r="Q1406" s="6">
        <f>IF(OR(K1406="On time",K1406="Late",K1406="Very late"),1,0)</f>
        <v/>
      </c>
    </row>
    <row r="1407">
      <c r="A1407" s="10" t="inlineStr">
        <is>
          <t>DN319643</t>
        </is>
      </c>
      <c r="B1407" s="10" t="inlineStr">
        <is>
          <t>SO63602</t>
        </is>
      </c>
      <c r="C1407" s="10" t="inlineStr">
        <is>
          <t>C11858</t>
        </is>
      </c>
      <c r="D1407" s="10">
        <f>INDEX(Customers!$B:$B,MATCH(C1407,Customers!$A:$A,0))</f>
        <v/>
      </c>
      <c r="E1407" s="10">
        <f>INDEX(Customers!$D:$D,MATCH(C1407,Customers!$A:$A,0))</f>
        <v/>
      </c>
      <c r="F1407" s="10" t="inlineStr">
        <is>
          <t>Carrier A</t>
        </is>
      </c>
      <c r="G1407" s="5" t="n">
        <v>46282</v>
      </c>
      <c r="H1407" s="5" t="n">
        <v>46283</v>
      </c>
      <c r="I1407" s="5" t="n">
        <v>46283</v>
      </c>
      <c r="J1407" s="10" t="inlineStr">
        <is>
          <t>10:40</t>
        </is>
      </c>
      <c r="K1407" s="10" t="inlineStr">
        <is>
          <t>On time</t>
        </is>
      </c>
      <c r="L1407" s="6" t="n">
        <v>0</v>
      </c>
      <c r="M1407" s="10" t="n"/>
      <c r="N1407" s="6" t="n">
        <v>39</v>
      </c>
      <c r="O1407" s="6" t="n">
        <v>3705</v>
      </c>
      <c r="P1407" s="6" t="n">
        <v>1</v>
      </c>
      <c r="Q1407" s="6">
        <f>IF(OR(K1407="On time",K1407="Late",K1407="Very late"),1,0)</f>
        <v/>
      </c>
    </row>
    <row r="1408">
      <c r="A1408" s="10" t="inlineStr">
        <is>
          <t>DN319644</t>
        </is>
      </c>
      <c r="B1408" s="10" t="inlineStr">
        <is>
          <t>SO63603</t>
        </is>
      </c>
      <c r="C1408" s="10" t="inlineStr">
        <is>
          <t>C11950</t>
        </is>
      </c>
      <c r="D1408" s="10">
        <f>INDEX(Customers!$B:$B,MATCH(C1408,Customers!$A:$A,0))</f>
        <v/>
      </c>
      <c r="E1408" s="10">
        <f>INDEX(Customers!$D:$D,MATCH(C1408,Customers!$A:$A,0))</f>
        <v/>
      </c>
      <c r="F1408" s="10" t="inlineStr">
        <is>
          <t>Carrier A</t>
        </is>
      </c>
      <c r="G1408" s="5" t="n">
        <v>46282</v>
      </c>
      <c r="H1408" s="5" t="n">
        <v>46283</v>
      </c>
      <c r="I1408" s="5" t="n">
        <v>46283</v>
      </c>
      <c r="J1408" s="10" t="inlineStr">
        <is>
          <t>08:40</t>
        </is>
      </c>
      <c r="K1408" s="10" t="inlineStr">
        <is>
          <t>On time</t>
        </is>
      </c>
      <c r="L1408" s="6" t="n">
        <v>0</v>
      </c>
      <c r="M1408" s="10" t="n"/>
      <c r="N1408" s="6" t="n">
        <v>16</v>
      </c>
      <c r="O1408" s="6" t="n">
        <v>1840</v>
      </c>
      <c r="P1408" s="6" t="n">
        <v>1</v>
      </c>
      <c r="Q1408" s="6">
        <f>IF(OR(K1408="On time",K1408="Late",K1408="Very late"),1,0)</f>
        <v/>
      </c>
    </row>
    <row r="1409">
      <c r="A1409" s="10" t="inlineStr">
        <is>
          <t>DN319645</t>
        </is>
      </c>
      <c r="B1409" s="10" t="inlineStr">
        <is>
          <t>SO63604</t>
        </is>
      </c>
      <c r="C1409" s="10" t="inlineStr">
        <is>
          <t>C11971</t>
        </is>
      </c>
      <c r="D1409" s="10">
        <f>INDEX(Customers!$B:$B,MATCH(C1409,Customers!$A:$A,0))</f>
        <v/>
      </c>
      <c r="E1409" s="10">
        <f>INDEX(Customers!$D:$D,MATCH(C1409,Customers!$A:$A,0))</f>
        <v/>
      </c>
      <c r="F1409" s="10" t="inlineStr">
        <is>
          <t>Own trucks</t>
        </is>
      </c>
      <c r="G1409" s="5" t="n">
        <v>46282</v>
      </c>
      <c r="H1409" s="5" t="n">
        <v>46283</v>
      </c>
      <c r="I1409" s="5" t="n">
        <v>46283</v>
      </c>
      <c r="J1409" s="10" t="inlineStr">
        <is>
          <t>12:50</t>
        </is>
      </c>
      <c r="K1409" s="10" t="inlineStr">
        <is>
          <t>On time</t>
        </is>
      </c>
      <c r="L1409" s="6" t="n">
        <v>0</v>
      </c>
      <c r="M1409" s="10" t="n"/>
      <c r="N1409" s="6" t="n">
        <v>13</v>
      </c>
      <c r="O1409" s="6" t="n">
        <v>1404</v>
      </c>
      <c r="P1409" s="6" t="n">
        <v>1</v>
      </c>
      <c r="Q1409" s="6">
        <f>IF(OR(K1409="On time",K1409="Late",K1409="Very late"),1,0)</f>
        <v/>
      </c>
    </row>
    <row r="1410">
      <c r="A1410" s="10" t="inlineStr">
        <is>
          <t>DN319646</t>
        </is>
      </c>
      <c r="B1410" s="10" t="inlineStr">
        <is>
          <t>SO63606</t>
        </is>
      </c>
      <c r="C1410" s="10" t="inlineStr">
        <is>
          <t>C11982</t>
        </is>
      </c>
      <c r="D1410" s="10">
        <f>INDEX(Customers!$B:$B,MATCH(C1410,Customers!$A:$A,0))</f>
        <v/>
      </c>
      <c r="E1410" s="10">
        <f>INDEX(Customers!$D:$D,MATCH(C1410,Customers!$A:$A,0))</f>
        <v/>
      </c>
      <c r="F1410" s="10" t="inlineStr">
        <is>
          <t>Own trucks</t>
        </is>
      </c>
      <c r="G1410" s="5" t="n">
        <v>46282</v>
      </c>
      <c r="H1410" s="5" t="n">
        <v>46283</v>
      </c>
      <c r="I1410" s="5" t="n">
        <v>46283</v>
      </c>
      <c r="J1410" s="10" t="inlineStr">
        <is>
          <t>14:40</t>
        </is>
      </c>
      <c r="K1410" s="10" t="inlineStr">
        <is>
          <t>On time</t>
        </is>
      </c>
      <c r="L1410" s="6" t="n">
        <v>0</v>
      </c>
      <c r="M1410" s="10" t="n"/>
      <c r="N1410" s="6" t="n">
        <v>40</v>
      </c>
      <c r="O1410" s="6" t="n">
        <v>5240</v>
      </c>
      <c r="P1410" s="6" t="n">
        <v>1</v>
      </c>
      <c r="Q1410" s="6">
        <f>IF(OR(K1410="On time",K1410="Late",K1410="Very late"),1,0)</f>
        <v/>
      </c>
    </row>
    <row r="1411">
      <c r="A1411" s="10" t="inlineStr">
        <is>
          <t>DN319647</t>
        </is>
      </c>
      <c r="B1411" s="10" t="inlineStr">
        <is>
          <t>SO63607</t>
        </is>
      </c>
      <c r="C1411" s="10" t="inlineStr">
        <is>
          <t>C12103</t>
        </is>
      </c>
      <c r="D1411" s="10">
        <f>INDEX(Customers!$B:$B,MATCH(C1411,Customers!$A:$A,0))</f>
        <v/>
      </c>
      <c r="E1411" s="10">
        <f>INDEX(Customers!$D:$D,MATCH(C1411,Customers!$A:$A,0))</f>
        <v/>
      </c>
      <c r="F1411" s="10" t="inlineStr">
        <is>
          <t>Own trucks</t>
        </is>
      </c>
      <c r="G1411" s="5" t="n">
        <v>46282</v>
      </c>
      <c r="H1411" s="5" t="n">
        <v>46283</v>
      </c>
      <c r="I1411" s="5" t="n">
        <v>46283</v>
      </c>
      <c r="J1411" s="10" t="inlineStr">
        <is>
          <t>11:30</t>
        </is>
      </c>
      <c r="K1411" s="10" t="inlineStr">
        <is>
          <t>On time</t>
        </is>
      </c>
      <c r="L1411" s="6" t="n">
        <v>0</v>
      </c>
      <c r="M1411" s="10" t="n"/>
      <c r="N1411" s="6" t="n">
        <v>4</v>
      </c>
      <c r="O1411" s="6" t="n">
        <v>528</v>
      </c>
      <c r="P1411" s="6" t="n">
        <v>1</v>
      </c>
      <c r="Q1411" s="6">
        <f>IF(OR(K1411="On time",K1411="Late",K1411="Very late"),1,0)</f>
        <v/>
      </c>
    </row>
    <row r="1412">
      <c r="A1412" s="10" t="inlineStr">
        <is>
          <t>DN319648</t>
        </is>
      </c>
      <c r="B1412" s="10" t="inlineStr">
        <is>
          <t>SO63608</t>
        </is>
      </c>
      <c r="C1412" s="10" t="inlineStr">
        <is>
          <t>C12239</t>
        </is>
      </c>
      <c r="D1412" s="10">
        <f>INDEX(Customers!$B:$B,MATCH(C1412,Customers!$A:$A,0))</f>
        <v/>
      </c>
      <c r="E1412" s="10">
        <f>INDEX(Customers!$D:$D,MATCH(C1412,Customers!$A:$A,0))</f>
        <v/>
      </c>
      <c r="F1412" s="10" t="inlineStr">
        <is>
          <t>Carrier B</t>
        </is>
      </c>
      <c r="G1412" s="5" t="n">
        <v>46282</v>
      </c>
      <c r="H1412" s="5" t="n">
        <v>46283</v>
      </c>
      <c r="I1412" s="5" t="n">
        <v>46283</v>
      </c>
      <c r="J1412" s="10" t="inlineStr">
        <is>
          <t>11:50</t>
        </is>
      </c>
      <c r="K1412" s="10" t="inlineStr">
        <is>
          <t>On time</t>
        </is>
      </c>
      <c r="L1412" s="6" t="n">
        <v>0</v>
      </c>
      <c r="M1412" s="10" t="n"/>
      <c r="N1412" s="6" t="n">
        <v>25</v>
      </c>
      <c r="O1412" s="6" t="n">
        <v>2275</v>
      </c>
      <c r="P1412" s="6" t="n">
        <v>1</v>
      </c>
      <c r="Q1412" s="6">
        <f>IF(OR(K1412="On time",K1412="Late",K1412="Very late"),1,0)</f>
        <v/>
      </c>
    </row>
    <row r="1413">
      <c r="A1413" s="10" t="inlineStr">
        <is>
          <t>DN319649</t>
        </is>
      </c>
      <c r="B1413" s="10" t="inlineStr">
        <is>
          <t>SO63610</t>
        </is>
      </c>
      <c r="C1413" s="10" t="inlineStr">
        <is>
          <t>C12262</t>
        </is>
      </c>
      <c r="D1413" s="10">
        <f>INDEX(Customers!$B:$B,MATCH(C1413,Customers!$A:$A,0))</f>
        <v/>
      </c>
      <c r="E1413" s="10">
        <f>INDEX(Customers!$D:$D,MATCH(C1413,Customers!$A:$A,0))</f>
        <v/>
      </c>
      <c r="F1413" s="10" t="inlineStr">
        <is>
          <t>Carrier B</t>
        </is>
      </c>
      <c r="G1413" s="5" t="n">
        <v>46282</v>
      </c>
      <c r="H1413" s="5" t="n">
        <v>46283</v>
      </c>
      <c r="I1413" s="5" t="n">
        <v>46283</v>
      </c>
      <c r="J1413" s="10" t="inlineStr">
        <is>
          <t>10:10</t>
        </is>
      </c>
      <c r="K1413" s="10" t="inlineStr">
        <is>
          <t>On time</t>
        </is>
      </c>
      <c r="L1413" s="6" t="n">
        <v>0</v>
      </c>
      <c r="M1413" s="10" t="n"/>
      <c r="N1413" s="6" t="n">
        <v>30</v>
      </c>
      <c r="O1413" s="6" t="n">
        <v>3870</v>
      </c>
      <c r="P1413" s="6" t="n">
        <v>1</v>
      </c>
      <c r="Q1413" s="6">
        <f>IF(OR(K1413="On time",K1413="Late",K1413="Very late"),1,0)</f>
        <v/>
      </c>
    </row>
    <row r="1414">
      <c r="A1414" s="10" t="inlineStr">
        <is>
          <t>DN319650</t>
        </is>
      </c>
      <c r="B1414" s="10" t="inlineStr">
        <is>
          <t>SO63611</t>
        </is>
      </c>
      <c r="C1414" s="10" t="inlineStr">
        <is>
          <t>C12305</t>
        </is>
      </c>
      <c r="D1414" s="10">
        <f>INDEX(Customers!$B:$B,MATCH(C1414,Customers!$A:$A,0))</f>
        <v/>
      </c>
      <c r="E1414" s="10">
        <f>INDEX(Customers!$D:$D,MATCH(C1414,Customers!$A:$A,0))</f>
        <v/>
      </c>
      <c r="F1414" s="10" t="inlineStr">
        <is>
          <t>Carrier B</t>
        </is>
      </c>
      <c r="G1414" s="5" t="n">
        <v>46282</v>
      </c>
      <c r="H1414" s="5" t="n">
        <v>46283</v>
      </c>
      <c r="I1414" s="5" t="n">
        <v>46283</v>
      </c>
      <c r="J1414" s="10" t="inlineStr">
        <is>
          <t>11:10</t>
        </is>
      </c>
      <c r="K1414" s="10" t="inlineStr">
        <is>
          <t>On time</t>
        </is>
      </c>
      <c r="L1414" s="6" t="n">
        <v>0</v>
      </c>
      <c r="M1414" s="10" t="n"/>
      <c r="N1414" s="6" t="n">
        <v>13</v>
      </c>
      <c r="O1414" s="6" t="n">
        <v>1209</v>
      </c>
      <c r="P1414" s="6" t="n">
        <v>1</v>
      </c>
      <c r="Q1414" s="6">
        <f>IF(OR(K1414="On time",K1414="Late",K1414="Very late"),1,0)</f>
        <v/>
      </c>
    </row>
    <row r="1415">
      <c r="A1415" s="10" t="inlineStr">
        <is>
          <t>DN319651</t>
        </is>
      </c>
      <c r="B1415" s="10" t="inlineStr">
        <is>
          <t>SO63613</t>
        </is>
      </c>
      <c r="C1415" s="10" t="inlineStr">
        <is>
          <t>C12371</t>
        </is>
      </c>
      <c r="D1415" s="10">
        <f>INDEX(Customers!$B:$B,MATCH(C1415,Customers!$A:$A,0))</f>
        <v/>
      </c>
      <c r="E1415" s="10">
        <f>INDEX(Customers!$D:$D,MATCH(C1415,Customers!$A:$A,0))</f>
        <v/>
      </c>
      <c r="F1415" s="10" t="inlineStr">
        <is>
          <t>Carrier A</t>
        </is>
      </c>
      <c r="G1415" s="5" t="n">
        <v>46282</v>
      </c>
      <c r="H1415" s="5" t="n">
        <v>46283</v>
      </c>
      <c r="I1415" s="5" t="n">
        <v>46283</v>
      </c>
      <c r="J1415" s="10" t="inlineStr">
        <is>
          <t>12:50</t>
        </is>
      </c>
      <c r="K1415" s="10" t="inlineStr">
        <is>
          <t>On time</t>
        </is>
      </c>
      <c r="L1415" s="6" t="n">
        <v>0</v>
      </c>
      <c r="M1415" s="10" t="n"/>
      <c r="N1415" s="6" t="n">
        <v>6</v>
      </c>
      <c r="O1415" s="6" t="n">
        <v>570</v>
      </c>
      <c r="P1415" s="6" t="n">
        <v>1</v>
      </c>
      <c r="Q1415" s="6">
        <f>IF(OR(K1415="On time",K1415="Late",K1415="Very late"),1,0)</f>
        <v/>
      </c>
    </row>
    <row r="1416">
      <c r="A1416" s="10" t="inlineStr">
        <is>
          <t>DN319652</t>
        </is>
      </c>
      <c r="B1416" s="10" t="inlineStr">
        <is>
          <t>SO63614</t>
        </is>
      </c>
      <c r="C1416" s="10" t="inlineStr">
        <is>
          <t>C12389</t>
        </is>
      </c>
      <c r="D1416" s="10">
        <f>INDEX(Customers!$B:$B,MATCH(C1416,Customers!$A:$A,0))</f>
        <v/>
      </c>
      <c r="E1416" s="10">
        <f>INDEX(Customers!$D:$D,MATCH(C1416,Customers!$A:$A,0))</f>
        <v/>
      </c>
      <c r="F1416" s="10" t="inlineStr">
        <is>
          <t>Carrier A</t>
        </is>
      </c>
      <c r="G1416" s="5" t="n">
        <v>46282</v>
      </c>
      <c r="H1416" s="5" t="n">
        <v>46283</v>
      </c>
      <c r="I1416" s="5" t="n">
        <v>46286</v>
      </c>
      <c r="J1416" s="10" t="inlineStr">
        <is>
          <t>08:50</t>
        </is>
      </c>
      <c r="K1416" s="10" t="inlineStr">
        <is>
          <t>Late</t>
        </is>
      </c>
      <c r="L1416" s="6" t="n">
        <v>1</v>
      </c>
      <c r="M1416" s="10" t="inlineStr">
        <is>
          <t>Carrier delay</t>
        </is>
      </c>
      <c r="N1416" s="6" t="n">
        <v>14</v>
      </c>
      <c r="O1416" s="6" t="n">
        <v>1372</v>
      </c>
      <c r="P1416" s="6" t="n">
        <v>1</v>
      </c>
      <c r="Q1416" s="6">
        <f>IF(OR(K1416="On time",K1416="Late",K1416="Very late"),1,0)</f>
        <v/>
      </c>
    </row>
    <row r="1417">
      <c r="A1417" s="10" t="inlineStr">
        <is>
          <t>DN319653</t>
        </is>
      </c>
      <c r="B1417" s="10" t="inlineStr">
        <is>
          <t>SO63615</t>
        </is>
      </c>
      <c r="C1417" s="10" t="inlineStr">
        <is>
          <t>C12420</t>
        </is>
      </c>
      <c r="D1417" s="10">
        <f>INDEX(Customers!$B:$B,MATCH(C1417,Customers!$A:$A,0))</f>
        <v/>
      </c>
      <c r="E1417" s="10">
        <f>INDEX(Customers!$D:$D,MATCH(C1417,Customers!$A:$A,0))</f>
        <v/>
      </c>
      <c r="F1417" s="10" t="inlineStr">
        <is>
          <t>Carrier A</t>
        </is>
      </c>
      <c r="G1417" s="5" t="n">
        <v>46282</v>
      </c>
      <c r="H1417" s="5" t="n">
        <v>46283</v>
      </c>
      <c r="I1417" s="5" t="n">
        <v>46283</v>
      </c>
      <c r="J1417" s="10" t="inlineStr">
        <is>
          <t>13:10</t>
        </is>
      </c>
      <c r="K1417" s="10" t="inlineStr">
        <is>
          <t>On time</t>
        </is>
      </c>
      <c r="L1417" s="6" t="n">
        <v>0</v>
      </c>
      <c r="M1417" s="10" t="n"/>
      <c r="N1417" s="6" t="n">
        <v>24</v>
      </c>
      <c r="O1417" s="6" t="n">
        <v>2520</v>
      </c>
      <c r="P1417" s="6" t="n">
        <v>1</v>
      </c>
      <c r="Q1417" s="6">
        <f>IF(OR(K1417="On time",K1417="Late",K1417="Very late"),1,0)</f>
        <v/>
      </c>
    </row>
    <row r="1418">
      <c r="A1418" s="10" t="inlineStr">
        <is>
          <t>DN319654</t>
        </is>
      </c>
      <c r="B1418" s="10" t="inlineStr">
        <is>
          <t>SO63616</t>
        </is>
      </c>
      <c r="C1418" s="10" t="inlineStr">
        <is>
          <t>C12490</t>
        </is>
      </c>
      <c r="D1418" s="10">
        <f>INDEX(Customers!$B:$B,MATCH(C1418,Customers!$A:$A,0))</f>
        <v/>
      </c>
      <c r="E1418" s="10">
        <f>INDEX(Customers!$D:$D,MATCH(C1418,Customers!$A:$A,0))</f>
        <v/>
      </c>
      <c r="F1418" s="10" t="inlineStr">
        <is>
          <t>Carrier A</t>
        </is>
      </c>
      <c r="G1418" s="5" t="n">
        <v>46282</v>
      </c>
      <c r="H1418" s="5" t="n">
        <v>46283</v>
      </c>
      <c r="I1418" s="5" t="n">
        <v>46283</v>
      </c>
      <c r="J1418" s="10" t="inlineStr">
        <is>
          <t>13:20</t>
        </is>
      </c>
      <c r="K1418" s="10" t="inlineStr">
        <is>
          <t>On time</t>
        </is>
      </c>
      <c r="L1418" s="6" t="n">
        <v>0</v>
      </c>
      <c r="M1418" s="10" t="n"/>
      <c r="N1418" s="6" t="n">
        <v>23</v>
      </c>
      <c r="O1418" s="6" t="n">
        <v>1380</v>
      </c>
      <c r="P1418" s="6" t="n">
        <v>1</v>
      </c>
      <c r="Q1418" s="6">
        <f>IF(OR(K1418="On time",K1418="Late",K1418="Very late"),1,0)</f>
        <v/>
      </c>
    </row>
    <row r="1419">
      <c r="A1419" s="10" t="inlineStr">
        <is>
          <t>DN319655</t>
        </is>
      </c>
      <c r="B1419" s="10" t="inlineStr">
        <is>
          <t>SO63617</t>
        </is>
      </c>
      <c r="C1419" s="10" t="inlineStr">
        <is>
          <t>C12543</t>
        </is>
      </c>
      <c r="D1419" s="10">
        <f>INDEX(Customers!$B:$B,MATCH(C1419,Customers!$A:$A,0))</f>
        <v/>
      </c>
      <c r="E1419" s="10">
        <f>INDEX(Customers!$D:$D,MATCH(C1419,Customers!$A:$A,0))</f>
        <v/>
      </c>
      <c r="F1419" s="10" t="inlineStr">
        <is>
          <t>Carrier B</t>
        </is>
      </c>
      <c r="G1419" s="5" t="n">
        <v>46281</v>
      </c>
      <c r="H1419" s="5" t="n">
        <v>46283</v>
      </c>
      <c r="I1419" s="5" t="n">
        <v>46283</v>
      </c>
      <c r="J1419" s="10" t="inlineStr">
        <is>
          <t>07:40</t>
        </is>
      </c>
      <c r="K1419" s="10" t="inlineStr">
        <is>
          <t>On time</t>
        </is>
      </c>
      <c r="L1419" s="6" t="n">
        <v>0</v>
      </c>
      <c r="M1419" s="10" t="n"/>
      <c r="N1419" s="6" t="n">
        <v>11</v>
      </c>
      <c r="O1419" s="6" t="n">
        <v>1210</v>
      </c>
      <c r="P1419" s="6" t="n">
        <v>1</v>
      </c>
      <c r="Q1419" s="6">
        <f>IF(OR(K1419="On time",K1419="Late",K1419="Very late"),1,0)</f>
        <v/>
      </c>
    </row>
    <row r="1420">
      <c r="A1420" s="10" t="inlineStr">
        <is>
          <t>DN319656</t>
        </is>
      </c>
      <c r="B1420" s="10" t="inlineStr">
        <is>
          <t>SO63618</t>
        </is>
      </c>
      <c r="C1420" s="10" t="inlineStr">
        <is>
          <t>C12617</t>
        </is>
      </c>
      <c r="D1420" s="10">
        <f>INDEX(Customers!$B:$B,MATCH(C1420,Customers!$A:$A,0))</f>
        <v/>
      </c>
      <c r="E1420" s="10">
        <f>INDEX(Customers!$D:$D,MATCH(C1420,Customers!$A:$A,0))</f>
        <v/>
      </c>
      <c r="F1420" s="10" t="inlineStr">
        <is>
          <t>Carrier B</t>
        </is>
      </c>
      <c r="G1420" s="5" t="n">
        <v>46281</v>
      </c>
      <c r="H1420" s="5" t="n">
        <v>46283</v>
      </c>
      <c r="I1420" s="5" t="n">
        <v>46283</v>
      </c>
      <c r="J1420" s="10" t="inlineStr">
        <is>
          <t>12:20</t>
        </is>
      </c>
      <c r="K1420" s="10" t="inlineStr">
        <is>
          <t>On time</t>
        </is>
      </c>
      <c r="L1420" s="6" t="n">
        <v>0</v>
      </c>
      <c r="M1420" s="10" t="n"/>
      <c r="N1420" s="6" t="n">
        <v>16</v>
      </c>
      <c r="O1420" s="6" t="n">
        <v>1568</v>
      </c>
      <c r="P1420" s="6" t="n">
        <v>1</v>
      </c>
      <c r="Q1420" s="6">
        <f>IF(OR(K1420="On time",K1420="Late",K1420="Very late"),1,0)</f>
        <v/>
      </c>
    </row>
    <row r="1421">
      <c r="A1421" s="10" t="inlineStr">
        <is>
          <t>DN319657</t>
        </is>
      </c>
      <c r="B1421" s="10" t="inlineStr">
        <is>
          <t>SO63620</t>
        </is>
      </c>
      <c r="C1421" s="10" t="inlineStr">
        <is>
          <t>C12639</t>
        </is>
      </c>
      <c r="D1421" s="10">
        <f>INDEX(Customers!$B:$B,MATCH(C1421,Customers!$A:$A,0))</f>
        <v/>
      </c>
      <c r="E1421" s="10">
        <f>INDEX(Customers!$D:$D,MATCH(C1421,Customers!$A:$A,0))</f>
        <v/>
      </c>
      <c r="F1421" s="10" t="inlineStr">
        <is>
          <t>Carrier B</t>
        </is>
      </c>
      <c r="G1421" s="5" t="n">
        <v>46281</v>
      </c>
      <c r="H1421" s="5" t="n">
        <v>46283</v>
      </c>
      <c r="I1421" s="5" t="n">
        <v>46283</v>
      </c>
      <c r="J1421" s="10" t="inlineStr">
        <is>
          <t>12:50</t>
        </is>
      </c>
      <c r="K1421" s="10" t="inlineStr">
        <is>
          <t>On time</t>
        </is>
      </c>
      <c r="L1421" s="6" t="n">
        <v>0</v>
      </c>
      <c r="M1421" s="10" t="n"/>
      <c r="N1421" s="6" t="n">
        <v>25</v>
      </c>
      <c r="O1421" s="6" t="n">
        <v>2750</v>
      </c>
      <c r="P1421" s="6" t="n">
        <v>1</v>
      </c>
      <c r="Q1421" s="6">
        <f>IF(OR(K1421="On time",K1421="Late",K1421="Very late"),1,0)</f>
        <v/>
      </c>
    </row>
    <row r="1422">
      <c r="A1422" s="10" t="inlineStr">
        <is>
          <t>DN319658</t>
        </is>
      </c>
      <c r="B1422" s="10" t="inlineStr">
        <is>
          <t>SO63621</t>
        </is>
      </c>
      <c r="C1422" s="10" t="inlineStr">
        <is>
          <t>C12675</t>
        </is>
      </c>
      <c r="D1422" s="10">
        <f>INDEX(Customers!$B:$B,MATCH(C1422,Customers!$A:$A,0))</f>
        <v/>
      </c>
      <c r="E1422" s="10">
        <f>INDEX(Customers!$D:$D,MATCH(C1422,Customers!$A:$A,0))</f>
        <v/>
      </c>
      <c r="F1422" s="10" t="inlineStr">
        <is>
          <t>Carrier B</t>
        </is>
      </c>
      <c r="G1422" s="5" t="n">
        <v>46281</v>
      </c>
      <c r="H1422" s="5" t="n">
        <v>46283</v>
      </c>
      <c r="I1422" s="5" t="n">
        <v>46283</v>
      </c>
      <c r="J1422" s="10" t="inlineStr">
        <is>
          <t>14:40</t>
        </is>
      </c>
      <c r="K1422" s="10" t="inlineStr">
        <is>
          <t>On time</t>
        </is>
      </c>
      <c r="L1422" s="6" t="n">
        <v>0</v>
      </c>
      <c r="M1422" s="10" t="n"/>
      <c r="N1422" s="6" t="n">
        <v>30</v>
      </c>
      <c r="O1422" s="6" t="n">
        <v>1890</v>
      </c>
      <c r="P1422" s="6" t="n">
        <v>1</v>
      </c>
      <c r="Q1422" s="6">
        <f>IF(OR(K1422="On time",K1422="Late",K1422="Very late"),1,0)</f>
        <v/>
      </c>
    </row>
    <row r="1423">
      <c r="A1423" s="10" t="inlineStr">
        <is>
          <t>DN319659</t>
        </is>
      </c>
      <c r="B1423" s="10" t="inlineStr">
        <is>
          <t>SO63622</t>
        </is>
      </c>
      <c r="C1423" s="10" t="inlineStr">
        <is>
          <t>C10322</t>
        </is>
      </c>
      <c r="D1423" s="10">
        <f>INDEX(Customers!$B:$B,MATCH(C1423,Customers!$A:$A,0))</f>
        <v/>
      </c>
      <c r="E1423" s="10">
        <f>INDEX(Customers!$D:$D,MATCH(C1423,Customers!$A:$A,0))</f>
        <v/>
      </c>
      <c r="F1423" s="10" t="inlineStr">
        <is>
          <t>Own trucks</t>
        </is>
      </c>
      <c r="G1423" s="5" t="n">
        <v>46283</v>
      </c>
      <c r="H1423" s="5" t="n">
        <v>46286</v>
      </c>
      <c r="I1423" s="5" t="n">
        <v>46286</v>
      </c>
      <c r="J1423" s="10" t="inlineStr">
        <is>
          <t>08:20</t>
        </is>
      </c>
      <c r="K1423" s="10" t="inlineStr">
        <is>
          <t>On time</t>
        </is>
      </c>
      <c r="L1423" s="6" t="n">
        <v>0</v>
      </c>
      <c r="M1423" s="10" t="n"/>
      <c r="N1423" s="6" t="n">
        <v>40</v>
      </c>
      <c r="O1423" s="6" t="n">
        <v>3320</v>
      </c>
      <c r="P1423" s="6" t="n">
        <v>1</v>
      </c>
      <c r="Q1423" s="6">
        <f>IF(OR(K1423="On time",K1423="Late",K1423="Very late"),1,0)</f>
        <v/>
      </c>
    </row>
    <row r="1424">
      <c r="A1424" s="10" t="inlineStr">
        <is>
          <t>DN319660</t>
        </is>
      </c>
      <c r="B1424" s="10" t="inlineStr">
        <is>
          <t>SO63624</t>
        </is>
      </c>
      <c r="C1424" s="10" t="inlineStr">
        <is>
          <t>C10343</t>
        </is>
      </c>
      <c r="D1424" s="10">
        <f>INDEX(Customers!$B:$B,MATCH(C1424,Customers!$A:$A,0))</f>
        <v/>
      </c>
      <c r="E1424" s="10">
        <f>INDEX(Customers!$D:$D,MATCH(C1424,Customers!$A:$A,0))</f>
        <v/>
      </c>
      <c r="F1424" s="10" t="inlineStr">
        <is>
          <t>Own trucks</t>
        </is>
      </c>
      <c r="G1424" s="5" t="n">
        <v>46283</v>
      </c>
      <c r="H1424" s="5" t="n">
        <v>46286</v>
      </c>
      <c r="I1424" s="5" t="n">
        <v>46286</v>
      </c>
      <c r="J1424" s="10" t="inlineStr">
        <is>
          <t>08:10</t>
        </is>
      </c>
      <c r="K1424" s="10" t="inlineStr">
        <is>
          <t>On time</t>
        </is>
      </c>
      <c r="L1424" s="6" t="n">
        <v>0</v>
      </c>
      <c r="M1424" s="10" t="n"/>
      <c r="N1424" s="6" t="n">
        <v>29</v>
      </c>
      <c r="O1424" s="6" t="n">
        <v>2030</v>
      </c>
      <c r="P1424" s="6" t="n">
        <v>1</v>
      </c>
      <c r="Q1424" s="6">
        <f>IF(OR(K1424="On time",K1424="Late",K1424="Very late"),1,0)</f>
        <v/>
      </c>
    </row>
    <row r="1425">
      <c r="A1425" s="10" t="inlineStr">
        <is>
          <t>DN319661</t>
        </is>
      </c>
      <c r="B1425" s="10" t="inlineStr">
        <is>
          <t>SO63626</t>
        </is>
      </c>
      <c r="C1425" s="10" t="inlineStr">
        <is>
          <t>C10413</t>
        </is>
      </c>
      <c r="D1425" s="10">
        <f>INDEX(Customers!$B:$B,MATCH(C1425,Customers!$A:$A,0))</f>
        <v/>
      </c>
      <c r="E1425" s="10">
        <f>INDEX(Customers!$D:$D,MATCH(C1425,Customers!$A:$A,0))</f>
        <v/>
      </c>
      <c r="F1425" s="10" t="inlineStr">
        <is>
          <t>Own trucks</t>
        </is>
      </c>
      <c r="G1425" s="5" t="n">
        <v>46283</v>
      </c>
      <c r="H1425" s="5" t="n">
        <v>46286</v>
      </c>
      <c r="I1425" s="5" t="n">
        <v>46287</v>
      </c>
      <c r="J1425" s="10" t="inlineStr">
        <is>
          <t>08:50</t>
        </is>
      </c>
      <c r="K1425" s="10" t="inlineStr">
        <is>
          <t>Late</t>
        </is>
      </c>
      <c r="L1425" s="6" t="n">
        <v>1</v>
      </c>
      <c r="M1425" s="10" t="inlineStr">
        <is>
          <t>Stock not ready</t>
        </is>
      </c>
      <c r="N1425" s="6" t="n">
        <v>16</v>
      </c>
      <c r="O1425" s="6" t="n">
        <v>1184</v>
      </c>
      <c r="P1425" s="6" t="n">
        <v>1</v>
      </c>
      <c r="Q1425" s="6">
        <f>IF(OR(K1425="On time",K1425="Late",K1425="Very late"),1,0)</f>
        <v/>
      </c>
    </row>
    <row r="1426">
      <c r="A1426" s="10" t="inlineStr">
        <is>
          <t>DN319662</t>
        </is>
      </c>
      <c r="B1426" s="10" t="inlineStr">
        <is>
          <t>SO63627</t>
        </is>
      </c>
      <c r="C1426" s="10" t="inlineStr">
        <is>
          <t>C10446</t>
        </is>
      </c>
      <c r="D1426" s="10">
        <f>INDEX(Customers!$B:$B,MATCH(C1426,Customers!$A:$A,0))</f>
        <v/>
      </c>
      <c r="E1426" s="10">
        <f>INDEX(Customers!$D:$D,MATCH(C1426,Customers!$A:$A,0))</f>
        <v/>
      </c>
      <c r="F1426" s="10" t="inlineStr">
        <is>
          <t>Own trucks</t>
        </is>
      </c>
      <c r="G1426" s="5" t="n">
        <v>46283</v>
      </c>
      <c r="H1426" s="5" t="n">
        <v>46286</v>
      </c>
      <c r="I1426" s="5" t="n">
        <v>46286</v>
      </c>
      <c r="J1426" s="10" t="inlineStr">
        <is>
          <t>13:00</t>
        </is>
      </c>
      <c r="K1426" s="10" t="inlineStr">
        <is>
          <t>On time</t>
        </is>
      </c>
      <c r="L1426" s="6" t="n">
        <v>0</v>
      </c>
      <c r="M1426" s="10" t="n"/>
      <c r="N1426" s="6" t="n">
        <v>40</v>
      </c>
      <c r="O1426" s="6" t="n">
        <v>3840</v>
      </c>
      <c r="P1426" s="6" t="n">
        <v>1</v>
      </c>
      <c r="Q1426" s="6">
        <f>IF(OR(K1426="On time",K1426="Late",K1426="Very late"),1,0)</f>
        <v/>
      </c>
    </row>
    <row r="1427">
      <c r="A1427" s="10" t="inlineStr">
        <is>
          <t>DN319663</t>
        </is>
      </c>
      <c r="B1427" s="10" t="inlineStr">
        <is>
          <t>SO63628</t>
        </is>
      </c>
      <c r="C1427" s="10" t="inlineStr">
        <is>
          <t>C10536</t>
        </is>
      </c>
      <c r="D1427" s="10">
        <f>INDEX(Customers!$B:$B,MATCH(C1427,Customers!$A:$A,0))</f>
        <v/>
      </c>
      <c r="E1427" s="10">
        <f>INDEX(Customers!$D:$D,MATCH(C1427,Customers!$A:$A,0))</f>
        <v/>
      </c>
      <c r="F1427" s="10" t="inlineStr">
        <is>
          <t>Own trucks</t>
        </is>
      </c>
      <c r="G1427" s="5" t="n">
        <v>46283</v>
      </c>
      <c r="H1427" s="5" t="n">
        <v>46286</v>
      </c>
      <c r="I1427" s="5" t="n">
        <v>46286</v>
      </c>
      <c r="J1427" s="10" t="inlineStr">
        <is>
          <t>14:50</t>
        </is>
      </c>
      <c r="K1427" s="10" t="inlineStr">
        <is>
          <t>On time</t>
        </is>
      </c>
      <c r="L1427" s="6" t="n">
        <v>0</v>
      </c>
      <c r="M1427" s="10" t="n"/>
      <c r="N1427" s="6" t="n">
        <v>35</v>
      </c>
      <c r="O1427" s="6" t="n">
        <v>4060</v>
      </c>
      <c r="P1427" s="6" t="n">
        <v>1</v>
      </c>
      <c r="Q1427" s="6">
        <f>IF(OR(K1427="On time",K1427="Late",K1427="Very late"),1,0)</f>
        <v/>
      </c>
    </row>
    <row r="1428">
      <c r="A1428" s="10" t="inlineStr">
        <is>
          <t>DN319664</t>
        </is>
      </c>
      <c r="B1428" s="10" t="inlineStr">
        <is>
          <t>SO63630</t>
        </is>
      </c>
      <c r="C1428" s="10" t="inlineStr">
        <is>
          <t>C10589</t>
        </is>
      </c>
      <c r="D1428" s="10">
        <f>INDEX(Customers!$B:$B,MATCH(C1428,Customers!$A:$A,0))</f>
        <v/>
      </c>
      <c r="E1428" s="10">
        <f>INDEX(Customers!$D:$D,MATCH(C1428,Customers!$A:$A,0))</f>
        <v/>
      </c>
      <c r="F1428" s="10" t="inlineStr">
        <is>
          <t>Own trucks</t>
        </is>
      </c>
      <c r="G1428" s="5" t="n">
        <v>46283</v>
      </c>
      <c r="H1428" s="5" t="n">
        <v>46286</v>
      </c>
      <c r="I1428" s="5" t="n">
        <v>46286</v>
      </c>
      <c r="J1428" s="10" t="inlineStr">
        <is>
          <t>11:10</t>
        </is>
      </c>
      <c r="K1428" s="10" t="inlineStr">
        <is>
          <t>On time</t>
        </is>
      </c>
      <c r="L1428" s="6" t="n">
        <v>0</v>
      </c>
      <c r="M1428" s="10" t="n"/>
      <c r="N1428" s="6" t="n">
        <v>18</v>
      </c>
      <c r="O1428" s="6" t="n">
        <v>1350</v>
      </c>
      <c r="P1428" s="6" t="n">
        <v>1</v>
      </c>
      <c r="Q1428" s="6">
        <f>IF(OR(K1428="On time",K1428="Late",K1428="Very late"),1,0)</f>
        <v/>
      </c>
    </row>
    <row r="1429">
      <c r="A1429" s="10" t="inlineStr">
        <is>
          <t>DN319665</t>
        </is>
      </c>
      <c r="B1429" s="10" t="inlineStr">
        <is>
          <t>SO63631</t>
        </is>
      </c>
      <c r="C1429" s="10" t="inlineStr">
        <is>
          <t>C10622</t>
        </is>
      </c>
      <c r="D1429" s="10">
        <f>INDEX(Customers!$B:$B,MATCH(C1429,Customers!$A:$A,0))</f>
        <v/>
      </c>
      <c r="E1429" s="10">
        <f>INDEX(Customers!$D:$D,MATCH(C1429,Customers!$A:$A,0))</f>
        <v/>
      </c>
      <c r="F1429" s="10" t="inlineStr">
        <is>
          <t>Own trucks</t>
        </is>
      </c>
      <c r="G1429" s="5" t="n">
        <v>46283</v>
      </c>
      <c r="H1429" s="5" t="n">
        <v>46286</v>
      </c>
      <c r="I1429" s="5" t="n">
        <v>46286</v>
      </c>
      <c r="J1429" s="10" t="inlineStr">
        <is>
          <t>13:50</t>
        </is>
      </c>
      <c r="K1429" s="10" t="inlineStr">
        <is>
          <t>On time</t>
        </is>
      </c>
      <c r="L1429" s="6" t="n">
        <v>0</v>
      </c>
      <c r="M1429" s="10" t="n"/>
      <c r="N1429" s="6" t="n">
        <v>22</v>
      </c>
      <c r="O1429" s="6" t="n">
        <v>1848</v>
      </c>
      <c r="P1429" s="6" t="n">
        <v>1</v>
      </c>
      <c r="Q1429" s="6">
        <f>IF(OR(K1429="On time",K1429="Late",K1429="Very late"),1,0)</f>
        <v/>
      </c>
    </row>
    <row r="1430">
      <c r="A1430" s="10" t="inlineStr">
        <is>
          <t>DN319666</t>
        </is>
      </c>
      <c r="B1430" s="10" t="inlineStr">
        <is>
          <t>SO63633</t>
        </is>
      </c>
      <c r="C1430" s="10" t="inlineStr">
        <is>
          <t>C10676</t>
        </is>
      </c>
      <c r="D1430" s="10">
        <f>INDEX(Customers!$B:$B,MATCH(C1430,Customers!$A:$A,0))</f>
        <v/>
      </c>
      <c r="E1430" s="10">
        <f>INDEX(Customers!$D:$D,MATCH(C1430,Customers!$A:$A,0))</f>
        <v/>
      </c>
      <c r="F1430" s="10" t="inlineStr">
        <is>
          <t>Own trucks</t>
        </is>
      </c>
      <c r="G1430" s="5" t="n">
        <v>46283</v>
      </c>
      <c r="H1430" s="5" t="n">
        <v>46286</v>
      </c>
      <c r="I1430" s="5" t="n">
        <v>46286</v>
      </c>
      <c r="J1430" s="10" t="inlineStr">
        <is>
          <t>07:50</t>
        </is>
      </c>
      <c r="K1430" s="10" t="inlineStr">
        <is>
          <t>On time</t>
        </is>
      </c>
      <c r="L1430" s="6" t="n">
        <v>0</v>
      </c>
      <c r="M1430" s="10" t="n"/>
      <c r="N1430" s="6" t="n">
        <v>16</v>
      </c>
      <c r="O1430" s="6" t="n">
        <v>1328</v>
      </c>
      <c r="P1430" s="6" t="n">
        <v>1</v>
      </c>
      <c r="Q1430" s="6">
        <f>IF(OR(K1430="On time",K1430="Late",K1430="Very late"),1,0)</f>
        <v/>
      </c>
    </row>
    <row r="1431">
      <c r="A1431" s="10" t="inlineStr">
        <is>
          <t>DN319667</t>
        </is>
      </c>
      <c r="B1431" s="10" t="inlineStr">
        <is>
          <t>SO63634</t>
        </is>
      </c>
      <c r="C1431" s="10" t="inlineStr">
        <is>
          <t>C10684</t>
        </is>
      </c>
      <c r="D1431" s="10">
        <f>INDEX(Customers!$B:$B,MATCH(C1431,Customers!$A:$A,0))</f>
        <v/>
      </c>
      <c r="E1431" s="10">
        <f>INDEX(Customers!$D:$D,MATCH(C1431,Customers!$A:$A,0))</f>
        <v/>
      </c>
      <c r="F1431" s="10" t="inlineStr">
        <is>
          <t>Own trucks</t>
        </is>
      </c>
      <c r="G1431" s="5" t="n">
        <v>46283</v>
      </c>
      <c r="H1431" s="5" t="n">
        <v>46286</v>
      </c>
      <c r="I1431" s="5" t="n">
        <v>46287</v>
      </c>
      <c r="J1431" s="10" t="inlineStr">
        <is>
          <t>10:40</t>
        </is>
      </c>
      <c r="K1431" s="10" t="inlineStr">
        <is>
          <t>Late</t>
        </is>
      </c>
      <c r="L1431" s="6" t="n">
        <v>1</v>
      </c>
      <c r="M1431" s="10" t="inlineStr">
        <is>
          <t>Carrier delay</t>
        </is>
      </c>
      <c r="N1431" s="6" t="n">
        <v>32</v>
      </c>
      <c r="O1431" s="6" t="n">
        <v>4192</v>
      </c>
      <c r="P1431" s="6" t="n">
        <v>1</v>
      </c>
      <c r="Q1431" s="6">
        <f>IF(OR(K1431="On time",K1431="Late",K1431="Very late"),1,0)</f>
        <v/>
      </c>
    </row>
    <row r="1432">
      <c r="A1432" s="10" t="inlineStr">
        <is>
          <t>DN319668</t>
        </is>
      </c>
      <c r="B1432" s="10" t="inlineStr">
        <is>
          <t>SO63636</t>
        </is>
      </c>
      <c r="C1432" s="10" t="inlineStr">
        <is>
          <t>C10689</t>
        </is>
      </c>
      <c r="D1432" s="10">
        <f>INDEX(Customers!$B:$B,MATCH(C1432,Customers!$A:$A,0))</f>
        <v/>
      </c>
      <c r="E1432" s="10">
        <f>INDEX(Customers!$D:$D,MATCH(C1432,Customers!$A:$A,0))</f>
        <v/>
      </c>
      <c r="F1432" s="10" t="inlineStr">
        <is>
          <t>Own trucks</t>
        </is>
      </c>
      <c r="G1432" s="5" t="n">
        <v>46283</v>
      </c>
      <c r="H1432" s="5" t="n">
        <v>46286</v>
      </c>
      <c r="I1432" s="5" t="n">
        <v>46286</v>
      </c>
      <c r="J1432" s="10" t="inlineStr">
        <is>
          <t>11:50</t>
        </is>
      </c>
      <c r="K1432" s="10" t="inlineStr">
        <is>
          <t>On time</t>
        </is>
      </c>
      <c r="L1432" s="6" t="n">
        <v>0</v>
      </c>
      <c r="M1432" s="10" t="n"/>
      <c r="N1432" s="6" t="n">
        <v>34</v>
      </c>
      <c r="O1432" s="6" t="n">
        <v>4318</v>
      </c>
      <c r="P1432" s="6" t="n">
        <v>1</v>
      </c>
      <c r="Q1432" s="6">
        <f>IF(OR(K1432="On time",K1432="Late",K1432="Very late"),1,0)</f>
        <v/>
      </c>
    </row>
    <row r="1433">
      <c r="A1433" s="10" t="inlineStr">
        <is>
          <t>DN319669</t>
        </is>
      </c>
      <c r="B1433" s="10" t="inlineStr">
        <is>
          <t>SO63637</t>
        </is>
      </c>
      <c r="C1433" s="10" t="inlineStr">
        <is>
          <t>C10746</t>
        </is>
      </c>
      <c r="D1433" s="10">
        <f>INDEX(Customers!$B:$B,MATCH(C1433,Customers!$A:$A,0))</f>
        <v/>
      </c>
      <c r="E1433" s="10">
        <f>INDEX(Customers!$D:$D,MATCH(C1433,Customers!$A:$A,0))</f>
        <v/>
      </c>
      <c r="F1433" s="10" t="inlineStr">
        <is>
          <t>Own trucks</t>
        </is>
      </c>
      <c r="G1433" s="5" t="n">
        <v>46283</v>
      </c>
      <c r="H1433" s="5" t="n">
        <v>46286</v>
      </c>
      <c r="I1433" s="5" t="n">
        <v>46287</v>
      </c>
      <c r="J1433" s="10" t="inlineStr">
        <is>
          <t>09:50</t>
        </is>
      </c>
      <c r="K1433" s="10" t="inlineStr">
        <is>
          <t>Late</t>
        </is>
      </c>
      <c r="L1433" s="6" t="n">
        <v>1</v>
      </c>
      <c r="M1433" s="10" t="inlineStr">
        <is>
          <t>Run overloaded</t>
        </is>
      </c>
      <c r="N1433" s="6" t="n">
        <v>34</v>
      </c>
      <c r="O1433" s="6" t="n">
        <v>2278</v>
      </c>
      <c r="P1433" s="6" t="n">
        <v>1</v>
      </c>
      <c r="Q1433" s="6">
        <f>IF(OR(K1433="On time",K1433="Late",K1433="Very late"),1,0)</f>
        <v/>
      </c>
    </row>
    <row r="1434">
      <c r="A1434" s="10" t="inlineStr">
        <is>
          <t>DN319670</t>
        </is>
      </c>
      <c r="B1434" s="10" t="inlineStr">
        <is>
          <t>SO63638</t>
        </is>
      </c>
      <c r="C1434" s="10" t="inlineStr">
        <is>
          <t>C10796</t>
        </is>
      </c>
      <c r="D1434" s="10">
        <f>INDEX(Customers!$B:$B,MATCH(C1434,Customers!$A:$A,0))</f>
        <v/>
      </c>
      <c r="E1434" s="10">
        <f>INDEX(Customers!$D:$D,MATCH(C1434,Customers!$A:$A,0))</f>
        <v/>
      </c>
      <c r="F1434" s="10" t="inlineStr">
        <is>
          <t>Own trucks</t>
        </is>
      </c>
      <c r="G1434" s="5" t="n">
        <v>46283</v>
      </c>
      <c r="H1434" s="5" t="n">
        <v>46286</v>
      </c>
      <c r="I1434" s="5" t="n">
        <v>46286</v>
      </c>
      <c r="J1434" s="10" t="inlineStr">
        <is>
          <t>08:30</t>
        </is>
      </c>
      <c r="K1434" s="10" t="inlineStr">
        <is>
          <t>On time</t>
        </is>
      </c>
      <c r="L1434" s="6" t="n">
        <v>0</v>
      </c>
      <c r="M1434" s="10" t="n"/>
      <c r="N1434" s="6" t="n">
        <v>11</v>
      </c>
      <c r="O1434" s="6" t="n">
        <v>946</v>
      </c>
      <c r="P1434" s="6" t="n">
        <v>1</v>
      </c>
      <c r="Q1434" s="6">
        <f>IF(OR(K1434="On time",K1434="Late",K1434="Very late"),1,0)</f>
        <v/>
      </c>
    </row>
    <row r="1435">
      <c r="A1435" s="10" t="inlineStr">
        <is>
          <t>DN319672</t>
        </is>
      </c>
      <c r="B1435" s="10" t="inlineStr">
        <is>
          <t>SO63639</t>
        </is>
      </c>
      <c r="C1435" s="10" t="inlineStr">
        <is>
          <t>C10847</t>
        </is>
      </c>
      <c r="D1435" s="10">
        <f>INDEX(Customers!$B:$B,MATCH(C1435,Customers!$A:$A,0))</f>
        <v/>
      </c>
      <c r="E1435" s="10">
        <f>INDEX(Customers!$D:$D,MATCH(C1435,Customers!$A:$A,0))</f>
        <v/>
      </c>
      <c r="F1435" s="10" t="inlineStr">
        <is>
          <t>Own trucks</t>
        </is>
      </c>
      <c r="G1435" s="5" t="n">
        <v>46283</v>
      </c>
      <c r="H1435" s="5" t="n">
        <v>46286</v>
      </c>
      <c r="I1435" s="5" t="n">
        <v>46286</v>
      </c>
      <c r="J1435" s="10" t="inlineStr">
        <is>
          <t>07:10</t>
        </is>
      </c>
      <c r="K1435" s="10" t="inlineStr">
        <is>
          <t>On time</t>
        </is>
      </c>
      <c r="L1435" s="6" t="n">
        <v>0</v>
      </c>
      <c r="M1435" s="10" t="n"/>
      <c r="N1435" s="6" t="n">
        <v>39</v>
      </c>
      <c r="O1435" s="6" t="n">
        <v>4251</v>
      </c>
      <c r="P1435" s="6" t="n">
        <v>1</v>
      </c>
      <c r="Q1435" s="6">
        <f>IF(OR(K1435="On time",K1435="Late",K1435="Very late"),1,0)</f>
        <v/>
      </c>
    </row>
    <row r="1436">
      <c r="A1436" s="10" t="inlineStr">
        <is>
          <t>DN319673</t>
        </is>
      </c>
      <c r="B1436" s="10" t="inlineStr">
        <is>
          <t>SO63640</t>
        </is>
      </c>
      <c r="C1436" s="10" t="inlineStr">
        <is>
          <t>C10915</t>
        </is>
      </c>
      <c r="D1436" s="10">
        <f>INDEX(Customers!$B:$B,MATCH(C1436,Customers!$A:$A,0))</f>
        <v/>
      </c>
      <c r="E1436" s="10">
        <f>INDEX(Customers!$D:$D,MATCH(C1436,Customers!$A:$A,0))</f>
        <v/>
      </c>
      <c r="F1436" s="10" t="inlineStr">
        <is>
          <t>Own trucks</t>
        </is>
      </c>
      <c r="G1436" s="5" t="n">
        <v>46283</v>
      </c>
      <c r="H1436" s="5" t="n">
        <v>46286</v>
      </c>
      <c r="I1436" s="5" t="n">
        <v>46286</v>
      </c>
      <c r="J1436" s="10" t="inlineStr">
        <is>
          <t>14:30</t>
        </is>
      </c>
      <c r="K1436" s="10" t="inlineStr">
        <is>
          <t>On time</t>
        </is>
      </c>
      <c r="L1436" s="6" t="n">
        <v>0</v>
      </c>
      <c r="M1436" s="10" t="n"/>
      <c r="N1436" s="6" t="n">
        <v>29</v>
      </c>
      <c r="O1436" s="6" t="n">
        <v>2726</v>
      </c>
      <c r="P1436" s="6" t="n">
        <v>1</v>
      </c>
      <c r="Q1436" s="6">
        <f>IF(OR(K1436="On time",K1436="Late",K1436="Very late"),1,0)</f>
        <v/>
      </c>
    </row>
    <row r="1437">
      <c r="A1437" s="10" t="inlineStr">
        <is>
          <t>DN319674</t>
        </is>
      </c>
      <c r="B1437" s="10" t="inlineStr">
        <is>
          <t>SO63642</t>
        </is>
      </c>
      <c r="C1437" s="10" t="inlineStr">
        <is>
          <t>C10982</t>
        </is>
      </c>
      <c r="D1437" s="10">
        <f>INDEX(Customers!$B:$B,MATCH(C1437,Customers!$A:$A,0))</f>
        <v/>
      </c>
      <c r="E1437" s="10">
        <f>INDEX(Customers!$D:$D,MATCH(C1437,Customers!$A:$A,0))</f>
        <v/>
      </c>
      <c r="F1437" s="10" t="inlineStr">
        <is>
          <t>Own trucks</t>
        </is>
      </c>
      <c r="G1437" s="5" t="n">
        <v>46283</v>
      </c>
      <c r="H1437" s="5" t="n">
        <v>46286</v>
      </c>
      <c r="I1437" s="5" t="n">
        <v>46286</v>
      </c>
      <c r="J1437" s="10" t="inlineStr">
        <is>
          <t>12:10</t>
        </is>
      </c>
      <c r="K1437" s="10" t="inlineStr">
        <is>
          <t>On time</t>
        </is>
      </c>
      <c r="L1437" s="6" t="n">
        <v>0</v>
      </c>
      <c r="M1437" s="10" t="n"/>
      <c r="N1437" s="6" t="n">
        <v>11</v>
      </c>
      <c r="O1437" s="6" t="n">
        <v>803</v>
      </c>
      <c r="P1437" s="6" t="n">
        <v>1</v>
      </c>
      <c r="Q1437" s="6">
        <f>IF(OR(K1437="On time",K1437="Late",K1437="Very late"),1,0)</f>
        <v/>
      </c>
    </row>
    <row r="1438">
      <c r="A1438" s="10" t="inlineStr">
        <is>
          <t>DN319675</t>
        </is>
      </c>
      <c r="B1438" s="10" t="inlineStr">
        <is>
          <t>SO63643</t>
        </is>
      </c>
      <c r="C1438" s="10" t="inlineStr">
        <is>
          <t>C11107</t>
        </is>
      </c>
      <c r="D1438" s="10">
        <f>INDEX(Customers!$B:$B,MATCH(C1438,Customers!$A:$A,0))</f>
        <v/>
      </c>
      <c r="E1438" s="10">
        <f>INDEX(Customers!$D:$D,MATCH(C1438,Customers!$A:$A,0))</f>
        <v/>
      </c>
      <c r="F1438" s="10" t="inlineStr">
        <is>
          <t>Own trucks</t>
        </is>
      </c>
      <c r="G1438" s="5" t="n">
        <v>46283</v>
      </c>
      <c r="H1438" s="5" t="n">
        <v>46286</v>
      </c>
      <c r="I1438" s="5" t="n">
        <v>46286</v>
      </c>
      <c r="J1438" s="10" t="inlineStr">
        <is>
          <t>14:30</t>
        </is>
      </c>
      <c r="K1438" s="10" t="inlineStr">
        <is>
          <t>On time</t>
        </is>
      </c>
      <c r="L1438" s="6" t="n">
        <v>0</v>
      </c>
      <c r="M1438" s="10" t="n"/>
      <c r="N1438" s="6" t="n">
        <v>11</v>
      </c>
      <c r="O1438" s="6" t="n">
        <v>660</v>
      </c>
      <c r="P1438" s="6" t="n">
        <v>1</v>
      </c>
      <c r="Q1438" s="6">
        <f>IF(OR(K1438="On time",K1438="Late",K1438="Very late"),1,0)</f>
        <v/>
      </c>
    </row>
    <row r="1439">
      <c r="A1439" s="10" t="inlineStr">
        <is>
          <t>DN319676</t>
        </is>
      </c>
      <c r="B1439" s="10" t="inlineStr">
        <is>
          <t>SO63644</t>
        </is>
      </c>
      <c r="C1439" s="10" t="inlineStr">
        <is>
          <t>C11186</t>
        </is>
      </c>
      <c r="D1439" s="10">
        <f>INDEX(Customers!$B:$B,MATCH(C1439,Customers!$A:$A,0))</f>
        <v/>
      </c>
      <c r="E1439" s="10">
        <f>INDEX(Customers!$D:$D,MATCH(C1439,Customers!$A:$A,0))</f>
        <v/>
      </c>
      <c r="F1439" s="10" t="inlineStr">
        <is>
          <t>Own trucks</t>
        </is>
      </c>
      <c r="G1439" s="5" t="n">
        <v>46283</v>
      </c>
      <c r="H1439" s="5" t="n">
        <v>46286</v>
      </c>
      <c r="I1439" s="5" t="n">
        <v>46286</v>
      </c>
      <c r="J1439" s="10" t="inlineStr">
        <is>
          <t>15:30</t>
        </is>
      </c>
      <c r="K1439" s="10" t="inlineStr">
        <is>
          <t>On time</t>
        </is>
      </c>
      <c r="L1439" s="6" t="n">
        <v>0</v>
      </c>
      <c r="M1439" s="10" t="n"/>
      <c r="N1439" s="6" t="n">
        <v>35</v>
      </c>
      <c r="O1439" s="6" t="n">
        <v>2835</v>
      </c>
      <c r="P1439" s="6" t="n">
        <v>1</v>
      </c>
      <c r="Q1439" s="6">
        <f>IF(OR(K1439="On time",K1439="Late",K1439="Very late"),1,0)</f>
        <v/>
      </c>
    </row>
    <row r="1440">
      <c r="A1440" s="10" t="inlineStr">
        <is>
          <t>DN319678</t>
        </is>
      </c>
      <c r="B1440" s="10" t="inlineStr">
        <is>
          <t>SO63645</t>
        </is>
      </c>
      <c r="C1440" s="10" t="inlineStr">
        <is>
          <t>C11247</t>
        </is>
      </c>
      <c r="D1440" s="10">
        <f>INDEX(Customers!$B:$B,MATCH(C1440,Customers!$A:$A,0))</f>
        <v/>
      </c>
      <c r="E1440" s="10">
        <f>INDEX(Customers!$D:$D,MATCH(C1440,Customers!$A:$A,0))</f>
        <v/>
      </c>
      <c r="F1440" s="10" t="inlineStr">
        <is>
          <t>Own trucks</t>
        </is>
      </c>
      <c r="G1440" s="5" t="n">
        <v>46283</v>
      </c>
      <c r="H1440" s="5" t="n">
        <v>46286</v>
      </c>
      <c r="I1440" s="5" t="n">
        <v>46286</v>
      </c>
      <c r="J1440" s="10" t="inlineStr">
        <is>
          <t>13:40</t>
        </is>
      </c>
      <c r="K1440" s="10" t="inlineStr">
        <is>
          <t>On time</t>
        </is>
      </c>
      <c r="L1440" s="6" t="n">
        <v>0</v>
      </c>
      <c r="M1440" s="10" t="n"/>
      <c r="N1440" s="6" t="n">
        <v>39</v>
      </c>
      <c r="O1440" s="6" t="n">
        <v>3549</v>
      </c>
      <c r="P1440" s="6" t="n">
        <v>1</v>
      </c>
      <c r="Q1440" s="6">
        <f>IF(OR(K1440="On time",K1440="Late",K1440="Very late"),1,0)</f>
        <v/>
      </c>
    </row>
    <row r="1441">
      <c r="A1441" s="10" t="inlineStr">
        <is>
          <t>DN319679</t>
        </is>
      </c>
      <c r="B1441" s="10" t="inlineStr">
        <is>
          <t>SO63646</t>
        </is>
      </c>
      <c r="C1441" s="10" t="inlineStr">
        <is>
          <t>C11264</t>
        </is>
      </c>
      <c r="D1441" s="10">
        <f>INDEX(Customers!$B:$B,MATCH(C1441,Customers!$A:$A,0))</f>
        <v/>
      </c>
      <c r="E1441" s="10">
        <f>INDEX(Customers!$D:$D,MATCH(C1441,Customers!$A:$A,0))</f>
        <v/>
      </c>
      <c r="F1441" s="10" t="inlineStr">
        <is>
          <t>Own trucks</t>
        </is>
      </c>
      <c r="G1441" s="5" t="n">
        <v>46283</v>
      </c>
      <c r="H1441" s="5" t="n">
        <v>46286</v>
      </c>
      <c r="I1441" s="5" t="n">
        <v>46287</v>
      </c>
      <c r="J1441" s="10" t="inlineStr">
        <is>
          <t>14:00</t>
        </is>
      </c>
      <c r="K1441" s="10" t="inlineStr">
        <is>
          <t>Late</t>
        </is>
      </c>
      <c r="L1441" s="6" t="n">
        <v>1</v>
      </c>
      <c r="M1441" s="10" t="inlineStr">
        <is>
          <t>Carrier delay</t>
        </is>
      </c>
      <c r="N1441" s="6" t="n">
        <v>18</v>
      </c>
      <c r="O1441" s="6" t="n">
        <v>1476</v>
      </c>
      <c r="P1441" s="6" t="n">
        <v>1</v>
      </c>
      <c r="Q1441" s="6">
        <f>IF(OR(K1441="On time",K1441="Late",K1441="Very late"),1,0)</f>
        <v/>
      </c>
    </row>
    <row r="1442">
      <c r="A1442" s="10" t="inlineStr">
        <is>
          <t>DN319680</t>
        </is>
      </c>
      <c r="B1442" s="10" t="inlineStr">
        <is>
          <t>SO63647</t>
        </is>
      </c>
      <c r="C1442" s="10" t="inlineStr">
        <is>
          <t>C11314</t>
        </is>
      </c>
      <c r="D1442" s="10">
        <f>INDEX(Customers!$B:$B,MATCH(C1442,Customers!$A:$A,0))</f>
        <v/>
      </c>
      <c r="E1442" s="10">
        <f>INDEX(Customers!$D:$D,MATCH(C1442,Customers!$A:$A,0))</f>
        <v/>
      </c>
      <c r="F1442" s="10" t="inlineStr">
        <is>
          <t>Own trucks</t>
        </is>
      </c>
      <c r="G1442" s="5" t="n">
        <v>46283</v>
      </c>
      <c r="H1442" s="5" t="n">
        <v>46286</v>
      </c>
      <c r="I1442" s="5" t="n">
        <v>46286</v>
      </c>
      <c r="J1442" s="10" t="inlineStr">
        <is>
          <t>11:20</t>
        </is>
      </c>
      <c r="K1442" s="10" t="inlineStr">
        <is>
          <t>On time</t>
        </is>
      </c>
      <c r="L1442" s="6" t="n">
        <v>0</v>
      </c>
      <c r="M1442" s="10" t="n"/>
      <c r="N1442" s="6" t="n">
        <v>33</v>
      </c>
      <c r="O1442" s="6" t="n">
        <v>3102</v>
      </c>
      <c r="P1442" s="6" t="n">
        <v>1</v>
      </c>
      <c r="Q1442" s="6">
        <f>IF(OR(K1442="On time",K1442="Late",K1442="Very late"),1,0)</f>
        <v/>
      </c>
    </row>
    <row r="1443">
      <c r="A1443" s="10" t="inlineStr">
        <is>
          <t>DN319681</t>
        </is>
      </c>
      <c r="B1443" s="10" t="inlineStr">
        <is>
          <t>SO63649</t>
        </is>
      </c>
      <c r="C1443" s="10" t="inlineStr">
        <is>
          <t>C11400</t>
        </is>
      </c>
      <c r="D1443" s="10">
        <f>INDEX(Customers!$B:$B,MATCH(C1443,Customers!$A:$A,0))</f>
        <v/>
      </c>
      <c r="E1443" s="10">
        <f>INDEX(Customers!$D:$D,MATCH(C1443,Customers!$A:$A,0))</f>
        <v/>
      </c>
      <c r="F1443" s="10" t="inlineStr">
        <is>
          <t>Own trucks</t>
        </is>
      </c>
      <c r="G1443" s="5" t="n">
        <v>46283</v>
      </c>
      <c r="H1443" s="5" t="n">
        <v>46286</v>
      </c>
      <c r="I1443" s="5" t="n">
        <v>46286</v>
      </c>
      <c r="J1443" s="10" t="inlineStr">
        <is>
          <t>11:10</t>
        </is>
      </c>
      <c r="K1443" s="10" t="inlineStr">
        <is>
          <t>On time</t>
        </is>
      </c>
      <c r="L1443" s="6" t="n">
        <v>0</v>
      </c>
      <c r="M1443" s="10" t="n"/>
      <c r="N1443" s="6" t="n">
        <v>19</v>
      </c>
      <c r="O1443" s="6" t="n">
        <v>1140</v>
      </c>
      <c r="P1443" s="6" t="n">
        <v>1</v>
      </c>
      <c r="Q1443" s="6">
        <f>IF(OR(K1443="On time",K1443="Late",K1443="Very late"),1,0)</f>
        <v/>
      </c>
    </row>
    <row r="1444">
      <c r="A1444" s="10" t="inlineStr">
        <is>
          <t>DN319682</t>
        </is>
      </c>
      <c r="B1444" s="10" t="inlineStr">
        <is>
          <t>SO63650</t>
        </is>
      </c>
      <c r="C1444" s="10" t="inlineStr">
        <is>
          <t>C11463</t>
        </is>
      </c>
      <c r="D1444" s="10">
        <f>INDEX(Customers!$B:$B,MATCH(C1444,Customers!$A:$A,0))</f>
        <v/>
      </c>
      <c r="E1444" s="10">
        <f>INDEX(Customers!$D:$D,MATCH(C1444,Customers!$A:$A,0))</f>
        <v/>
      </c>
      <c r="F1444" s="10" t="inlineStr">
        <is>
          <t>Own trucks</t>
        </is>
      </c>
      <c r="G1444" s="5" t="n">
        <v>46283</v>
      </c>
      <c r="H1444" s="5" t="n">
        <v>46286</v>
      </c>
      <c r="I1444" s="5" t="n">
        <v>46288</v>
      </c>
      <c r="J1444" s="10" t="inlineStr">
        <is>
          <t>13:30</t>
        </is>
      </c>
      <c r="K1444" s="10" t="inlineStr">
        <is>
          <t>Very late</t>
        </is>
      </c>
      <c r="L1444" s="6" t="n">
        <v>2</v>
      </c>
      <c r="M1444" s="10" t="inlineStr">
        <is>
          <t>Carrier delay</t>
        </is>
      </c>
      <c r="N1444" s="6" t="n">
        <v>19</v>
      </c>
      <c r="O1444" s="6" t="n">
        <v>2014</v>
      </c>
      <c r="P1444" s="6" t="n">
        <v>1</v>
      </c>
      <c r="Q1444" s="6">
        <f>IF(OR(K1444="On time",K1444="Late",K1444="Very late"),1,0)</f>
        <v/>
      </c>
    </row>
    <row r="1445">
      <c r="A1445" s="10" t="inlineStr">
        <is>
          <t>DN319683</t>
        </is>
      </c>
      <c r="B1445" s="10" t="inlineStr">
        <is>
          <t>SO63651</t>
        </is>
      </c>
      <c r="C1445" s="10" t="inlineStr">
        <is>
          <t>C11579</t>
        </is>
      </c>
      <c r="D1445" s="10">
        <f>INDEX(Customers!$B:$B,MATCH(C1445,Customers!$A:$A,0))</f>
        <v/>
      </c>
      <c r="E1445" s="10">
        <f>INDEX(Customers!$D:$D,MATCH(C1445,Customers!$A:$A,0))</f>
        <v/>
      </c>
      <c r="F1445" s="10" t="inlineStr">
        <is>
          <t>Own trucks</t>
        </is>
      </c>
      <c r="G1445" s="5" t="n">
        <v>46283</v>
      </c>
      <c r="H1445" s="5" t="n">
        <v>46286</v>
      </c>
      <c r="I1445" s="5" t="n">
        <v>46287</v>
      </c>
      <c r="J1445" s="10" t="inlineStr">
        <is>
          <t>14:50</t>
        </is>
      </c>
      <c r="K1445" s="10" t="inlineStr">
        <is>
          <t>Late</t>
        </is>
      </c>
      <c r="L1445" s="6" t="n">
        <v>1</v>
      </c>
      <c r="M1445" s="10" t="inlineStr">
        <is>
          <t>Run overloaded</t>
        </is>
      </c>
      <c r="N1445" s="6" t="n">
        <v>10</v>
      </c>
      <c r="O1445" s="6" t="n">
        <v>730</v>
      </c>
      <c r="P1445" s="6" t="n">
        <v>0</v>
      </c>
      <c r="Q1445" s="6">
        <f>IF(OR(K1445="On time",K1445="Late",K1445="Very late"),1,0)</f>
        <v/>
      </c>
    </row>
    <row r="1446">
      <c r="A1446" s="10" t="inlineStr">
        <is>
          <t>DN319684</t>
        </is>
      </c>
      <c r="B1446" s="10" t="inlineStr">
        <is>
          <t>SO63653</t>
        </is>
      </c>
      <c r="C1446" s="10" t="inlineStr">
        <is>
          <t>C11616</t>
        </is>
      </c>
      <c r="D1446" s="10">
        <f>INDEX(Customers!$B:$B,MATCH(C1446,Customers!$A:$A,0))</f>
        <v/>
      </c>
      <c r="E1446" s="10">
        <f>INDEX(Customers!$D:$D,MATCH(C1446,Customers!$A:$A,0))</f>
        <v/>
      </c>
      <c r="F1446" s="10" t="inlineStr">
        <is>
          <t>Own trucks</t>
        </is>
      </c>
      <c r="G1446" s="5" t="n">
        <v>46283</v>
      </c>
      <c r="H1446" s="5" t="n">
        <v>46286</v>
      </c>
      <c r="I1446" s="5" t="n">
        <v>46286</v>
      </c>
      <c r="J1446" s="10" t="inlineStr">
        <is>
          <t>09:20</t>
        </is>
      </c>
      <c r="K1446" s="10" t="inlineStr">
        <is>
          <t>On time</t>
        </is>
      </c>
      <c r="L1446" s="6" t="n">
        <v>0</v>
      </c>
      <c r="M1446" s="10" t="n"/>
      <c r="N1446" s="6" t="n">
        <v>17</v>
      </c>
      <c r="O1446" s="6" t="n">
        <v>1802</v>
      </c>
      <c r="P1446" s="6" t="n">
        <v>1</v>
      </c>
      <c r="Q1446" s="6">
        <f>IF(OR(K1446="On time",K1446="Late",K1446="Very late"),1,0)</f>
        <v/>
      </c>
    </row>
    <row r="1447">
      <c r="A1447" s="10" t="inlineStr">
        <is>
          <t>DN319685</t>
        </is>
      </c>
      <c r="B1447" s="10" t="inlineStr">
        <is>
          <t>SO63654</t>
        </is>
      </c>
      <c r="C1447" s="10" t="inlineStr">
        <is>
          <t>C11666</t>
        </is>
      </c>
      <c r="D1447" s="10">
        <f>INDEX(Customers!$B:$B,MATCH(C1447,Customers!$A:$A,0))</f>
        <v/>
      </c>
      <c r="E1447" s="10">
        <f>INDEX(Customers!$D:$D,MATCH(C1447,Customers!$A:$A,0))</f>
        <v/>
      </c>
      <c r="F1447" s="10" t="inlineStr">
        <is>
          <t>Own trucks</t>
        </is>
      </c>
      <c r="G1447" s="5" t="n">
        <v>46283</v>
      </c>
      <c r="H1447" s="5" t="n">
        <v>46286</v>
      </c>
      <c r="I1447" s="5" t="n">
        <v>46287</v>
      </c>
      <c r="J1447" s="10" t="inlineStr">
        <is>
          <t>08:30</t>
        </is>
      </c>
      <c r="K1447" s="10" t="inlineStr">
        <is>
          <t>Late</t>
        </is>
      </c>
      <c r="L1447" s="6" t="n">
        <v>1</v>
      </c>
      <c r="M1447" s="10" t="inlineStr">
        <is>
          <t>Carrier delay</t>
        </is>
      </c>
      <c r="N1447" s="6" t="n">
        <v>5</v>
      </c>
      <c r="O1447" s="6" t="n">
        <v>575</v>
      </c>
      <c r="P1447" s="6" t="n">
        <v>1</v>
      </c>
      <c r="Q1447" s="6">
        <f>IF(OR(K1447="On time",K1447="Late",K1447="Very late"),1,0)</f>
        <v/>
      </c>
    </row>
    <row r="1448">
      <c r="A1448" s="10" t="inlineStr">
        <is>
          <t>DN319686</t>
        </is>
      </c>
      <c r="B1448" s="10" t="inlineStr">
        <is>
          <t>SO63655</t>
        </is>
      </c>
      <c r="C1448" s="10" t="inlineStr">
        <is>
          <t>C11745</t>
        </is>
      </c>
      <c r="D1448" s="10">
        <f>INDEX(Customers!$B:$B,MATCH(C1448,Customers!$A:$A,0))</f>
        <v/>
      </c>
      <c r="E1448" s="10">
        <f>INDEX(Customers!$D:$D,MATCH(C1448,Customers!$A:$A,0))</f>
        <v/>
      </c>
      <c r="F1448" s="10" t="inlineStr">
        <is>
          <t>Own trucks</t>
        </is>
      </c>
      <c r="G1448" s="5" t="n">
        <v>46283</v>
      </c>
      <c r="H1448" s="5" t="n">
        <v>46286</v>
      </c>
      <c r="I1448" s="5" t="n">
        <v>46286</v>
      </c>
      <c r="J1448" s="10" t="inlineStr">
        <is>
          <t>09:30</t>
        </is>
      </c>
      <c r="K1448" s="10" t="inlineStr">
        <is>
          <t>On time</t>
        </is>
      </c>
      <c r="L1448" s="6" t="n">
        <v>0</v>
      </c>
      <c r="M1448" s="10" t="n"/>
      <c r="N1448" s="6" t="n">
        <v>21</v>
      </c>
      <c r="O1448" s="6" t="n">
        <v>1449</v>
      </c>
      <c r="P1448" s="6" t="n">
        <v>1</v>
      </c>
      <c r="Q1448" s="6">
        <f>IF(OR(K1448="On time",K1448="Late",K1448="Very late"),1,0)</f>
        <v/>
      </c>
    </row>
    <row r="1449">
      <c r="A1449" s="10" t="inlineStr">
        <is>
          <t>DN319687</t>
        </is>
      </c>
      <c r="B1449" s="10" t="inlineStr">
        <is>
          <t>SO63656</t>
        </is>
      </c>
      <c r="C1449" s="10" t="inlineStr">
        <is>
          <t>C11858</t>
        </is>
      </c>
      <c r="D1449" s="10">
        <f>INDEX(Customers!$B:$B,MATCH(C1449,Customers!$A:$A,0))</f>
        <v/>
      </c>
      <c r="E1449" s="10">
        <f>INDEX(Customers!$D:$D,MATCH(C1449,Customers!$A:$A,0))</f>
        <v/>
      </c>
      <c r="F1449" s="10" t="inlineStr">
        <is>
          <t>Carrier A</t>
        </is>
      </c>
      <c r="G1449" s="5" t="n">
        <v>46283</v>
      </c>
      <c r="H1449" s="5" t="n">
        <v>46286</v>
      </c>
      <c r="I1449" s="5" t="n">
        <v>46286</v>
      </c>
      <c r="J1449" s="10" t="inlineStr">
        <is>
          <t>14:10</t>
        </is>
      </c>
      <c r="K1449" s="10" t="inlineStr">
        <is>
          <t>On time</t>
        </is>
      </c>
      <c r="L1449" s="6" t="n">
        <v>0</v>
      </c>
      <c r="M1449" s="10" t="n"/>
      <c r="N1449" s="6" t="n">
        <v>34</v>
      </c>
      <c r="O1449" s="6" t="n">
        <v>2720</v>
      </c>
      <c r="P1449" s="6" t="n">
        <v>1</v>
      </c>
      <c r="Q1449" s="6">
        <f>IF(OR(K1449="On time",K1449="Late",K1449="Very late"),1,0)</f>
        <v/>
      </c>
    </row>
    <row r="1450">
      <c r="A1450" s="10" t="inlineStr">
        <is>
          <t>DN319688</t>
        </is>
      </c>
      <c r="B1450" s="10" t="inlineStr">
        <is>
          <t>SO63657</t>
        </is>
      </c>
      <c r="C1450" s="10" t="inlineStr">
        <is>
          <t>C11866</t>
        </is>
      </c>
      <c r="D1450" s="10">
        <f>INDEX(Customers!$B:$B,MATCH(C1450,Customers!$A:$A,0))</f>
        <v/>
      </c>
      <c r="E1450" s="10">
        <f>INDEX(Customers!$D:$D,MATCH(C1450,Customers!$A:$A,0))</f>
        <v/>
      </c>
      <c r="F1450" s="10" t="inlineStr">
        <is>
          <t>Carrier A</t>
        </is>
      </c>
      <c r="G1450" s="5" t="n">
        <v>46283</v>
      </c>
      <c r="H1450" s="5" t="n">
        <v>46286</v>
      </c>
      <c r="I1450" s="5" t="n">
        <v>46286</v>
      </c>
      <c r="J1450" s="10" t="inlineStr">
        <is>
          <t>10:10</t>
        </is>
      </c>
      <c r="K1450" s="10" t="inlineStr">
        <is>
          <t>On time</t>
        </is>
      </c>
      <c r="L1450" s="6" t="n">
        <v>0</v>
      </c>
      <c r="M1450" s="10" t="n"/>
      <c r="N1450" s="6" t="n">
        <v>2</v>
      </c>
      <c r="O1450" s="6" t="n">
        <v>252</v>
      </c>
      <c r="P1450" s="6" t="n">
        <v>1</v>
      </c>
      <c r="Q1450" s="6">
        <f>IF(OR(K1450="On time",K1450="Late",K1450="Very late"),1,0)</f>
        <v/>
      </c>
    </row>
    <row r="1451">
      <c r="A1451" s="10" t="inlineStr">
        <is>
          <t>DN319690</t>
        </is>
      </c>
      <c r="B1451" s="10" t="inlineStr">
        <is>
          <t>SO63658</t>
        </is>
      </c>
      <c r="C1451" s="10" t="inlineStr">
        <is>
          <t>C11950</t>
        </is>
      </c>
      <c r="D1451" s="10">
        <f>INDEX(Customers!$B:$B,MATCH(C1451,Customers!$A:$A,0))</f>
        <v/>
      </c>
      <c r="E1451" s="10">
        <f>INDEX(Customers!$D:$D,MATCH(C1451,Customers!$A:$A,0))</f>
        <v/>
      </c>
      <c r="F1451" s="10" t="inlineStr">
        <is>
          <t>Carrier A</t>
        </is>
      </c>
      <c r="G1451" s="5" t="n">
        <v>46283</v>
      </c>
      <c r="H1451" s="5" t="n">
        <v>46286</v>
      </c>
      <c r="I1451" s="5" t="n">
        <v>46286</v>
      </c>
      <c r="J1451" s="10" t="inlineStr">
        <is>
          <t>12:10</t>
        </is>
      </c>
      <c r="K1451" s="10" t="inlineStr">
        <is>
          <t>On time</t>
        </is>
      </c>
      <c r="L1451" s="6" t="n">
        <v>0</v>
      </c>
      <c r="M1451" s="10" t="n"/>
      <c r="N1451" s="6" t="n">
        <v>23</v>
      </c>
      <c r="O1451" s="6" t="n">
        <v>3128</v>
      </c>
      <c r="P1451" s="6" t="n">
        <v>1</v>
      </c>
      <c r="Q1451" s="6">
        <f>IF(OR(K1451="On time",K1451="Late",K1451="Very late"),1,0)</f>
        <v/>
      </c>
    </row>
    <row r="1452">
      <c r="A1452" s="10" t="inlineStr">
        <is>
          <t>DN319691</t>
        </is>
      </c>
      <c r="B1452" s="10" t="inlineStr">
        <is>
          <t>SO63659</t>
        </is>
      </c>
      <c r="C1452" s="10" t="inlineStr">
        <is>
          <t>C11971</t>
        </is>
      </c>
      <c r="D1452" s="10">
        <f>INDEX(Customers!$B:$B,MATCH(C1452,Customers!$A:$A,0))</f>
        <v/>
      </c>
      <c r="E1452" s="10">
        <f>INDEX(Customers!$D:$D,MATCH(C1452,Customers!$A:$A,0))</f>
        <v/>
      </c>
      <c r="F1452" s="10" t="inlineStr">
        <is>
          <t>Own trucks</t>
        </is>
      </c>
      <c r="G1452" s="5" t="n">
        <v>46283</v>
      </c>
      <c r="H1452" s="5" t="n">
        <v>46286</v>
      </c>
      <c r="I1452" s="5" t="n">
        <v>46286</v>
      </c>
      <c r="J1452" s="10" t="inlineStr">
        <is>
          <t>15:40</t>
        </is>
      </c>
      <c r="K1452" s="10" t="inlineStr">
        <is>
          <t>On time</t>
        </is>
      </c>
      <c r="L1452" s="6" t="n">
        <v>0</v>
      </c>
      <c r="M1452" s="10" t="n"/>
      <c r="N1452" s="6" t="n">
        <v>7</v>
      </c>
      <c r="O1452" s="6" t="n">
        <v>714</v>
      </c>
      <c r="P1452" s="6" t="n">
        <v>1</v>
      </c>
      <c r="Q1452" s="6">
        <f>IF(OR(K1452="On time",K1452="Late",K1452="Very late"),1,0)</f>
        <v/>
      </c>
    </row>
    <row r="1453">
      <c r="A1453" s="10" t="inlineStr">
        <is>
          <t>DN319692</t>
        </is>
      </c>
      <c r="B1453" s="10" t="inlineStr">
        <is>
          <t>SO63660</t>
        </is>
      </c>
      <c r="C1453" s="10" t="inlineStr">
        <is>
          <t>C12037</t>
        </is>
      </c>
      <c r="D1453" s="10">
        <f>INDEX(Customers!$B:$B,MATCH(C1453,Customers!$A:$A,0))</f>
        <v/>
      </c>
      <c r="E1453" s="10">
        <f>INDEX(Customers!$D:$D,MATCH(C1453,Customers!$A:$A,0))</f>
        <v/>
      </c>
      <c r="F1453" s="10" t="inlineStr">
        <is>
          <t>Own trucks</t>
        </is>
      </c>
      <c r="G1453" s="5" t="n">
        <v>46283</v>
      </c>
      <c r="H1453" s="5" t="n">
        <v>46286</v>
      </c>
      <c r="I1453" s="5" t="n">
        <v>46286</v>
      </c>
      <c r="J1453" s="10" t="inlineStr">
        <is>
          <t>13:00</t>
        </is>
      </c>
      <c r="K1453" s="10" t="inlineStr">
        <is>
          <t>On time</t>
        </is>
      </c>
      <c r="L1453" s="6" t="n">
        <v>0</v>
      </c>
      <c r="M1453" s="10" t="n"/>
      <c r="N1453" s="6" t="n">
        <v>20</v>
      </c>
      <c r="O1453" s="6" t="n">
        <v>2800</v>
      </c>
      <c r="P1453" s="6" t="n">
        <v>1</v>
      </c>
      <c r="Q1453" s="6">
        <f>IF(OR(K1453="On time",K1453="Late",K1453="Very late"),1,0)</f>
        <v/>
      </c>
    </row>
    <row r="1454">
      <c r="A1454" s="10" t="inlineStr">
        <is>
          <t>DN319693</t>
        </is>
      </c>
      <c r="B1454" s="10" t="inlineStr">
        <is>
          <t>SO63661</t>
        </is>
      </c>
      <c r="C1454" s="10" t="inlineStr">
        <is>
          <t>C12103</t>
        </is>
      </c>
      <c r="D1454" s="10">
        <f>INDEX(Customers!$B:$B,MATCH(C1454,Customers!$A:$A,0))</f>
        <v/>
      </c>
      <c r="E1454" s="10">
        <f>INDEX(Customers!$D:$D,MATCH(C1454,Customers!$A:$A,0))</f>
        <v/>
      </c>
      <c r="F1454" s="10" t="inlineStr">
        <is>
          <t>Own trucks</t>
        </is>
      </c>
      <c r="G1454" s="5" t="n">
        <v>46283</v>
      </c>
      <c r="H1454" s="5" t="n">
        <v>46286</v>
      </c>
      <c r="I1454" s="5" t="n">
        <v>46287</v>
      </c>
      <c r="J1454" s="10" t="inlineStr">
        <is>
          <t>13:50</t>
        </is>
      </c>
      <c r="K1454" s="10" t="inlineStr">
        <is>
          <t>Late</t>
        </is>
      </c>
      <c r="L1454" s="6" t="n">
        <v>1</v>
      </c>
      <c r="M1454" s="10" t="inlineStr">
        <is>
          <t>Stock not ready</t>
        </is>
      </c>
      <c r="N1454" s="6" t="n">
        <v>17</v>
      </c>
      <c r="O1454" s="6" t="n">
        <v>2193</v>
      </c>
      <c r="P1454" s="6" t="n">
        <v>1</v>
      </c>
      <c r="Q1454" s="6">
        <f>IF(OR(K1454="On time",K1454="Late",K1454="Very late"),1,0)</f>
        <v/>
      </c>
    </row>
    <row r="1455">
      <c r="A1455" s="10" t="inlineStr">
        <is>
          <t>DN319694</t>
        </is>
      </c>
      <c r="B1455" s="10" t="inlineStr">
        <is>
          <t>SO63663</t>
        </is>
      </c>
      <c r="C1455" s="10" t="inlineStr">
        <is>
          <t>C12239</t>
        </is>
      </c>
      <c r="D1455" s="10">
        <f>INDEX(Customers!$B:$B,MATCH(C1455,Customers!$A:$A,0))</f>
        <v/>
      </c>
      <c r="E1455" s="10">
        <f>INDEX(Customers!$D:$D,MATCH(C1455,Customers!$A:$A,0))</f>
        <v/>
      </c>
      <c r="F1455" s="10" t="inlineStr">
        <is>
          <t>Carrier B</t>
        </is>
      </c>
      <c r="G1455" s="5" t="n">
        <v>46283</v>
      </c>
      <c r="H1455" s="5" t="n">
        <v>46286</v>
      </c>
      <c r="I1455" s="5" t="n">
        <v>46286</v>
      </c>
      <c r="J1455" s="10" t="inlineStr">
        <is>
          <t>10:40</t>
        </is>
      </c>
      <c r="K1455" s="10" t="inlineStr">
        <is>
          <t>On time</t>
        </is>
      </c>
      <c r="L1455" s="6" t="n">
        <v>0</v>
      </c>
      <c r="M1455" s="10" t="n"/>
      <c r="N1455" s="6" t="n">
        <v>7</v>
      </c>
      <c r="O1455" s="6" t="n">
        <v>728</v>
      </c>
      <c r="P1455" s="6" t="n">
        <v>1</v>
      </c>
      <c r="Q1455" s="6">
        <f>IF(OR(K1455="On time",K1455="Late",K1455="Very late"),1,0)</f>
        <v/>
      </c>
    </row>
    <row r="1456">
      <c r="A1456" s="10" t="inlineStr">
        <is>
          <t>DN319695</t>
        </is>
      </c>
      <c r="B1456" s="10" t="inlineStr">
        <is>
          <t>SO63665</t>
        </is>
      </c>
      <c r="C1456" s="10" t="inlineStr">
        <is>
          <t>C12262</t>
        </is>
      </c>
      <c r="D1456" s="10">
        <f>INDEX(Customers!$B:$B,MATCH(C1456,Customers!$A:$A,0))</f>
        <v/>
      </c>
      <c r="E1456" s="10">
        <f>INDEX(Customers!$D:$D,MATCH(C1456,Customers!$A:$A,0))</f>
        <v/>
      </c>
      <c r="F1456" s="10" t="inlineStr">
        <is>
          <t>Carrier B</t>
        </is>
      </c>
      <c r="G1456" s="5" t="n">
        <v>46283</v>
      </c>
      <c r="H1456" s="5" t="n">
        <v>46286</v>
      </c>
      <c r="I1456" s="5" t="n">
        <v>46286</v>
      </c>
      <c r="J1456" s="10" t="inlineStr">
        <is>
          <t>16:20</t>
        </is>
      </c>
      <c r="K1456" s="10" t="inlineStr">
        <is>
          <t>On time</t>
        </is>
      </c>
      <c r="L1456" s="6" t="n">
        <v>0</v>
      </c>
      <c r="M1456" s="10" t="n"/>
      <c r="N1456" s="6" t="n">
        <v>15</v>
      </c>
      <c r="O1456" s="6" t="n">
        <v>1245</v>
      </c>
      <c r="P1456" s="6" t="n">
        <v>1</v>
      </c>
      <c r="Q1456" s="6">
        <f>IF(OR(K1456="On time",K1456="Late",K1456="Very late"),1,0)</f>
        <v/>
      </c>
    </row>
    <row r="1457">
      <c r="A1457" s="10" t="inlineStr">
        <is>
          <t>DN319696</t>
        </is>
      </c>
      <c r="B1457" s="10" t="inlineStr">
        <is>
          <t>SO63666</t>
        </is>
      </c>
      <c r="C1457" s="10" t="inlineStr">
        <is>
          <t>C12305</t>
        </is>
      </c>
      <c r="D1457" s="10">
        <f>INDEX(Customers!$B:$B,MATCH(C1457,Customers!$A:$A,0))</f>
        <v/>
      </c>
      <c r="E1457" s="10">
        <f>INDEX(Customers!$D:$D,MATCH(C1457,Customers!$A:$A,0))</f>
        <v/>
      </c>
      <c r="F1457" s="10" t="inlineStr">
        <is>
          <t>Carrier B</t>
        </is>
      </c>
      <c r="G1457" s="5" t="n">
        <v>46283</v>
      </c>
      <c r="H1457" s="5" t="n">
        <v>46286</v>
      </c>
      <c r="I1457" s="5" t="n">
        <v>46286</v>
      </c>
      <c r="J1457" s="10" t="inlineStr">
        <is>
          <t>14:00</t>
        </is>
      </c>
      <c r="K1457" s="10" t="inlineStr">
        <is>
          <t>On time</t>
        </is>
      </c>
      <c r="L1457" s="6" t="n">
        <v>0</v>
      </c>
      <c r="M1457" s="10" t="n"/>
      <c r="N1457" s="6" t="n">
        <v>12</v>
      </c>
      <c r="O1457" s="6" t="n">
        <v>1128</v>
      </c>
      <c r="P1457" s="6" t="n">
        <v>1</v>
      </c>
      <c r="Q1457" s="6">
        <f>IF(OR(K1457="On time",K1457="Late",K1457="Very late"),1,0)</f>
        <v/>
      </c>
    </row>
    <row r="1458">
      <c r="A1458" s="10" t="inlineStr">
        <is>
          <t>DN319697</t>
        </is>
      </c>
      <c r="B1458" s="10" t="inlineStr">
        <is>
          <t>SO63667</t>
        </is>
      </c>
      <c r="C1458" s="10" t="inlineStr">
        <is>
          <t>C12365</t>
        </is>
      </c>
      <c r="D1458" s="10">
        <f>INDEX(Customers!$B:$B,MATCH(C1458,Customers!$A:$A,0))</f>
        <v/>
      </c>
      <c r="E1458" s="10">
        <f>INDEX(Customers!$D:$D,MATCH(C1458,Customers!$A:$A,0))</f>
        <v/>
      </c>
      <c r="F1458" s="10" t="inlineStr">
        <is>
          <t>Carrier B</t>
        </is>
      </c>
      <c r="G1458" s="5" t="n">
        <v>46283</v>
      </c>
      <c r="H1458" s="5" t="n">
        <v>46286</v>
      </c>
      <c r="I1458" s="5" t="n">
        <v>46286</v>
      </c>
      <c r="J1458" s="10" t="inlineStr">
        <is>
          <t>15:00</t>
        </is>
      </c>
      <c r="K1458" s="10" t="inlineStr">
        <is>
          <t>On time</t>
        </is>
      </c>
      <c r="L1458" s="6" t="n">
        <v>0</v>
      </c>
      <c r="M1458" s="10" t="n"/>
      <c r="N1458" s="6" t="n">
        <v>19</v>
      </c>
      <c r="O1458" s="6" t="n">
        <v>2375</v>
      </c>
      <c r="P1458" s="6" t="n">
        <v>1</v>
      </c>
      <c r="Q1458" s="6">
        <f>IF(OR(K1458="On time",K1458="Late",K1458="Very late"),1,0)</f>
        <v/>
      </c>
    </row>
    <row r="1459">
      <c r="A1459" s="10" t="inlineStr">
        <is>
          <t>DN319698</t>
        </is>
      </c>
      <c r="B1459" s="10" t="inlineStr">
        <is>
          <t>SO63668</t>
        </is>
      </c>
      <c r="C1459" s="10" t="inlineStr">
        <is>
          <t>C12371</t>
        </is>
      </c>
      <c r="D1459" s="10">
        <f>INDEX(Customers!$B:$B,MATCH(C1459,Customers!$A:$A,0))</f>
        <v/>
      </c>
      <c r="E1459" s="10">
        <f>INDEX(Customers!$D:$D,MATCH(C1459,Customers!$A:$A,0))</f>
        <v/>
      </c>
      <c r="F1459" s="10" t="inlineStr">
        <is>
          <t>Carrier A</t>
        </is>
      </c>
      <c r="G1459" s="5" t="n">
        <v>46283</v>
      </c>
      <c r="H1459" s="5" t="n">
        <v>46286</v>
      </c>
      <c r="I1459" s="5" t="n">
        <v>46286</v>
      </c>
      <c r="J1459" s="10" t="inlineStr">
        <is>
          <t>10:50</t>
        </is>
      </c>
      <c r="K1459" s="10" t="inlineStr">
        <is>
          <t>On time</t>
        </is>
      </c>
      <c r="L1459" s="6" t="n">
        <v>0</v>
      </c>
      <c r="M1459" s="10" t="n"/>
      <c r="N1459" s="6" t="n">
        <v>6</v>
      </c>
      <c r="O1459" s="6" t="n">
        <v>510</v>
      </c>
      <c r="P1459" s="6" t="n">
        <v>1</v>
      </c>
      <c r="Q1459" s="6">
        <f>IF(OR(K1459="On time",K1459="Late",K1459="Very late"),1,0)</f>
        <v/>
      </c>
    </row>
    <row r="1460">
      <c r="A1460" s="10" t="inlineStr">
        <is>
          <t>DN319699</t>
        </is>
      </c>
      <c r="B1460" s="10" t="inlineStr">
        <is>
          <t>SO63669</t>
        </is>
      </c>
      <c r="C1460" s="10" t="inlineStr">
        <is>
          <t>C12420</t>
        </is>
      </c>
      <c r="D1460" s="10">
        <f>INDEX(Customers!$B:$B,MATCH(C1460,Customers!$A:$A,0))</f>
        <v/>
      </c>
      <c r="E1460" s="10">
        <f>INDEX(Customers!$D:$D,MATCH(C1460,Customers!$A:$A,0))</f>
        <v/>
      </c>
      <c r="F1460" s="10" t="inlineStr">
        <is>
          <t>Carrier A</t>
        </is>
      </c>
      <c r="G1460" s="5" t="n">
        <v>46283</v>
      </c>
      <c r="H1460" s="5" t="n">
        <v>46286</v>
      </c>
      <c r="I1460" s="5" t="n">
        <v>46286</v>
      </c>
      <c r="J1460" s="10" t="inlineStr">
        <is>
          <t>12:00</t>
        </is>
      </c>
      <c r="K1460" s="10" t="inlineStr">
        <is>
          <t>On time</t>
        </is>
      </c>
      <c r="L1460" s="6" t="n">
        <v>0</v>
      </c>
      <c r="M1460" s="10" t="n"/>
      <c r="N1460" s="6" t="n">
        <v>8</v>
      </c>
      <c r="O1460" s="6" t="n">
        <v>480</v>
      </c>
      <c r="P1460" s="6" t="n">
        <v>1</v>
      </c>
      <c r="Q1460" s="6">
        <f>IF(OR(K1460="On time",K1460="Late",K1460="Very late"),1,0)</f>
        <v/>
      </c>
    </row>
    <row r="1461">
      <c r="A1461" s="10" t="inlineStr">
        <is>
          <t>DN319700</t>
        </is>
      </c>
      <c r="B1461" s="10" t="inlineStr">
        <is>
          <t>SO63670</t>
        </is>
      </c>
      <c r="C1461" s="10" t="inlineStr">
        <is>
          <t>C12543</t>
        </is>
      </c>
      <c r="D1461" s="10">
        <f>INDEX(Customers!$B:$B,MATCH(C1461,Customers!$A:$A,0))</f>
        <v/>
      </c>
      <c r="E1461" s="10">
        <f>INDEX(Customers!$D:$D,MATCH(C1461,Customers!$A:$A,0))</f>
        <v/>
      </c>
      <c r="F1461" s="10" t="inlineStr">
        <is>
          <t>Carrier B</t>
        </is>
      </c>
      <c r="G1461" s="5" t="n">
        <v>46282</v>
      </c>
      <c r="H1461" s="5" t="n">
        <v>46286</v>
      </c>
      <c r="I1461" s="5" t="n">
        <v>46286</v>
      </c>
      <c r="J1461" s="10" t="inlineStr">
        <is>
          <t>08:20</t>
        </is>
      </c>
      <c r="K1461" s="10" t="inlineStr">
        <is>
          <t>On time</t>
        </is>
      </c>
      <c r="L1461" s="6" t="n">
        <v>0</v>
      </c>
      <c r="M1461" s="10" t="n"/>
      <c r="N1461" s="6" t="n">
        <v>33</v>
      </c>
      <c r="O1461" s="6" t="n">
        <v>3993</v>
      </c>
      <c r="P1461" s="6" t="n">
        <v>1</v>
      </c>
      <c r="Q1461" s="6">
        <f>IF(OR(K1461="On time",K1461="Late",K1461="Very late"),1,0)</f>
        <v/>
      </c>
    </row>
    <row r="1462">
      <c r="A1462" s="10" t="inlineStr">
        <is>
          <t>DN319701</t>
        </is>
      </c>
      <c r="B1462" s="10" t="inlineStr">
        <is>
          <t>SO63671</t>
        </is>
      </c>
      <c r="C1462" s="10" t="inlineStr">
        <is>
          <t>C12617</t>
        </is>
      </c>
      <c r="D1462" s="10">
        <f>INDEX(Customers!$B:$B,MATCH(C1462,Customers!$A:$A,0))</f>
        <v/>
      </c>
      <c r="E1462" s="10">
        <f>INDEX(Customers!$D:$D,MATCH(C1462,Customers!$A:$A,0))</f>
        <v/>
      </c>
      <c r="F1462" s="10" t="inlineStr">
        <is>
          <t>Carrier B</t>
        </is>
      </c>
      <c r="G1462" s="5" t="n">
        <v>46282</v>
      </c>
      <c r="H1462" s="5" t="n">
        <v>46286</v>
      </c>
      <c r="I1462" s="5" t="n">
        <v>46286</v>
      </c>
      <c r="J1462" s="10" t="inlineStr">
        <is>
          <t>10:00</t>
        </is>
      </c>
      <c r="K1462" s="10" t="inlineStr">
        <is>
          <t>On time</t>
        </is>
      </c>
      <c r="L1462" s="6" t="n">
        <v>0</v>
      </c>
      <c r="M1462" s="10" t="n"/>
      <c r="N1462" s="6" t="n">
        <v>2</v>
      </c>
      <c r="O1462" s="6" t="n">
        <v>184</v>
      </c>
      <c r="P1462" s="6" t="n">
        <v>1</v>
      </c>
      <c r="Q1462" s="6">
        <f>IF(OR(K1462="On time",K1462="Late",K1462="Very late"),1,0)</f>
        <v/>
      </c>
    </row>
    <row r="1463">
      <c r="A1463" s="10" t="inlineStr">
        <is>
          <t>DN319702</t>
        </is>
      </c>
      <c r="B1463" s="10" t="inlineStr">
        <is>
          <t>SO63672</t>
        </is>
      </c>
      <c r="C1463" s="10" t="inlineStr">
        <is>
          <t>C12631</t>
        </is>
      </c>
      <c r="D1463" s="10">
        <f>INDEX(Customers!$B:$B,MATCH(C1463,Customers!$A:$A,0))</f>
        <v/>
      </c>
      <c r="E1463" s="10">
        <f>INDEX(Customers!$D:$D,MATCH(C1463,Customers!$A:$A,0))</f>
        <v/>
      </c>
      <c r="F1463" s="10" t="inlineStr">
        <is>
          <t>Carrier B</t>
        </is>
      </c>
      <c r="G1463" s="5" t="n">
        <v>46282</v>
      </c>
      <c r="H1463" s="5" t="n">
        <v>46286</v>
      </c>
      <c r="I1463" s="5" t="n">
        <v>46286</v>
      </c>
      <c r="J1463" s="10" t="inlineStr">
        <is>
          <t>11:20</t>
        </is>
      </c>
      <c r="K1463" s="10" t="inlineStr">
        <is>
          <t>On time</t>
        </is>
      </c>
      <c r="L1463" s="6" t="n">
        <v>0</v>
      </c>
      <c r="M1463" s="10" t="n"/>
      <c r="N1463" s="6" t="n">
        <v>17</v>
      </c>
      <c r="O1463" s="6" t="n">
        <v>2363</v>
      </c>
      <c r="P1463" s="6" t="n">
        <v>1</v>
      </c>
      <c r="Q1463" s="6">
        <f>IF(OR(K1463="On time",K1463="Late",K1463="Very late"),1,0)</f>
        <v/>
      </c>
    </row>
    <row r="1464">
      <c r="A1464" s="10" t="inlineStr">
        <is>
          <t>DN319703</t>
        </is>
      </c>
      <c r="B1464" s="10" t="inlineStr">
        <is>
          <t>SO63673</t>
        </is>
      </c>
      <c r="C1464" s="10" t="inlineStr">
        <is>
          <t>C12639</t>
        </is>
      </c>
      <c r="D1464" s="10">
        <f>INDEX(Customers!$B:$B,MATCH(C1464,Customers!$A:$A,0))</f>
        <v/>
      </c>
      <c r="E1464" s="10">
        <f>INDEX(Customers!$D:$D,MATCH(C1464,Customers!$A:$A,0))</f>
        <v/>
      </c>
      <c r="F1464" s="10" t="inlineStr">
        <is>
          <t>Carrier B</t>
        </is>
      </c>
      <c r="G1464" s="5" t="n">
        <v>46282</v>
      </c>
      <c r="H1464" s="5" t="n">
        <v>46286</v>
      </c>
      <c r="I1464" s="5" t="n">
        <v>46286</v>
      </c>
      <c r="J1464" s="10" t="inlineStr">
        <is>
          <t>16:20</t>
        </is>
      </c>
      <c r="K1464" s="10" t="inlineStr">
        <is>
          <t>On time</t>
        </is>
      </c>
      <c r="L1464" s="6" t="n">
        <v>0</v>
      </c>
      <c r="M1464" s="10" t="n"/>
      <c r="N1464" s="6" t="n">
        <v>21</v>
      </c>
      <c r="O1464" s="6" t="n">
        <v>1176</v>
      </c>
      <c r="P1464" s="6" t="n">
        <v>1</v>
      </c>
      <c r="Q1464" s="6">
        <f>IF(OR(K1464="On time",K1464="Late",K1464="Very late"),1,0)</f>
        <v/>
      </c>
    </row>
    <row r="1465">
      <c r="A1465" s="10" t="inlineStr">
        <is>
          <t>DN319704</t>
        </is>
      </c>
      <c r="B1465" s="10" t="inlineStr">
        <is>
          <t>SO63674</t>
        </is>
      </c>
      <c r="C1465" s="10" t="inlineStr">
        <is>
          <t>C12675</t>
        </is>
      </c>
      <c r="D1465" s="10">
        <f>INDEX(Customers!$B:$B,MATCH(C1465,Customers!$A:$A,0))</f>
        <v/>
      </c>
      <c r="E1465" s="10">
        <f>INDEX(Customers!$D:$D,MATCH(C1465,Customers!$A:$A,0))</f>
        <v/>
      </c>
      <c r="F1465" s="10" t="inlineStr">
        <is>
          <t>Carrier B</t>
        </is>
      </c>
      <c r="G1465" s="5" t="n">
        <v>46282</v>
      </c>
      <c r="H1465" s="5" t="n">
        <v>46286</v>
      </c>
      <c r="I1465" s="5" t="n">
        <v>46286</v>
      </c>
      <c r="J1465" s="10" t="inlineStr">
        <is>
          <t>09:00</t>
        </is>
      </c>
      <c r="K1465" s="10" t="inlineStr">
        <is>
          <t>On time</t>
        </is>
      </c>
      <c r="L1465" s="6" t="n">
        <v>0</v>
      </c>
      <c r="M1465" s="10" t="n"/>
      <c r="N1465" s="6" t="n">
        <v>39</v>
      </c>
      <c r="O1465" s="6" t="n">
        <v>3900</v>
      </c>
      <c r="P1465" s="6" t="n">
        <v>1</v>
      </c>
      <c r="Q1465" s="6">
        <f>IF(OR(K1465="On time",K1465="Late",K1465="Very late"),1,0)</f>
        <v/>
      </c>
    </row>
    <row r="1466">
      <c r="A1466" s="10" t="inlineStr">
        <is>
          <t>DN319705</t>
        </is>
      </c>
      <c r="B1466" s="10" t="inlineStr">
        <is>
          <t>SO63675</t>
        </is>
      </c>
      <c r="C1466" s="10" t="inlineStr">
        <is>
          <t>C10322</t>
        </is>
      </c>
      <c r="D1466" s="10">
        <f>INDEX(Customers!$B:$B,MATCH(C1466,Customers!$A:$A,0))</f>
        <v/>
      </c>
      <c r="E1466" s="10">
        <f>INDEX(Customers!$D:$D,MATCH(C1466,Customers!$A:$A,0))</f>
        <v/>
      </c>
      <c r="F1466" s="10" t="inlineStr">
        <is>
          <t>Own trucks</t>
        </is>
      </c>
      <c r="G1466" s="5" t="n">
        <v>46286</v>
      </c>
      <c r="H1466" s="5" t="n">
        <v>46287</v>
      </c>
      <c r="I1466" s="5" t="n">
        <v>46287</v>
      </c>
      <c r="J1466" s="10" t="inlineStr">
        <is>
          <t>14:10</t>
        </is>
      </c>
      <c r="K1466" s="10" t="inlineStr">
        <is>
          <t>On time</t>
        </is>
      </c>
      <c r="L1466" s="6" t="n">
        <v>0</v>
      </c>
      <c r="M1466" s="10" t="n"/>
      <c r="N1466" s="6" t="n">
        <v>29</v>
      </c>
      <c r="O1466" s="6" t="n">
        <v>2929</v>
      </c>
      <c r="P1466" s="6" t="n">
        <v>1</v>
      </c>
      <c r="Q1466" s="6">
        <f>IF(OR(K1466="On time",K1466="Late",K1466="Very late"),1,0)</f>
        <v/>
      </c>
    </row>
    <row r="1467">
      <c r="A1467" s="10" t="inlineStr">
        <is>
          <t>DN319706</t>
        </is>
      </c>
      <c r="B1467" s="10" t="inlineStr">
        <is>
          <t>SO63676</t>
        </is>
      </c>
      <c r="C1467" s="10" t="inlineStr">
        <is>
          <t>C10343</t>
        </is>
      </c>
      <c r="D1467" s="10">
        <f>INDEX(Customers!$B:$B,MATCH(C1467,Customers!$A:$A,0))</f>
        <v/>
      </c>
      <c r="E1467" s="10">
        <f>INDEX(Customers!$D:$D,MATCH(C1467,Customers!$A:$A,0))</f>
        <v/>
      </c>
      <c r="F1467" s="10" t="inlineStr">
        <is>
          <t>Own trucks</t>
        </is>
      </c>
      <c r="G1467" s="5" t="n">
        <v>46286</v>
      </c>
      <c r="H1467" s="5" t="n">
        <v>46287</v>
      </c>
      <c r="I1467" s="5" t="n">
        <v>46287</v>
      </c>
      <c r="J1467" s="10" t="inlineStr">
        <is>
          <t>13:20</t>
        </is>
      </c>
      <c r="K1467" s="10" t="inlineStr">
        <is>
          <t>On time</t>
        </is>
      </c>
      <c r="L1467" s="6" t="n">
        <v>0</v>
      </c>
      <c r="M1467" s="10" t="n"/>
      <c r="N1467" s="6" t="n">
        <v>9</v>
      </c>
      <c r="O1467" s="6" t="n">
        <v>1251</v>
      </c>
      <c r="P1467" s="6" t="n">
        <v>1</v>
      </c>
      <c r="Q1467" s="6">
        <f>IF(OR(K1467="On time",K1467="Late",K1467="Very late"),1,0)</f>
        <v/>
      </c>
    </row>
    <row r="1468">
      <c r="A1468" s="10" t="inlineStr">
        <is>
          <t>DN319707</t>
        </is>
      </c>
      <c r="B1468" s="10" t="inlineStr">
        <is>
          <t>SO63677</t>
        </is>
      </c>
      <c r="C1468" s="10" t="inlineStr">
        <is>
          <t>C10446</t>
        </is>
      </c>
      <c r="D1468" s="10">
        <f>INDEX(Customers!$B:$B,MATCH(C1468,Customers!$A:$A,0))</f>
        <v/>
      </c>
      <c r="E1468" s="10">
        <f>INDEX(Customers!$D:$D,MATCH(C1468,Customers!$A:$A,0))</f>
        <v/>
      </c>
      <c r="F1468" s="10" t="inlineStr">
        <is>
          <t>Own trucks</t>
        </is>
      </c>
      <c r="G1468" s="5" t="n">
        <v>46286</v>
      </c>
      <c r="H1468" s="5" t="n">
        <v>46287</v>
      </c>
      <c r="I1468" s="5" t="n">
        <v>46287</v>
      </c>
      <c r="J1468" s="10" t="inlineStr">
        <is>
          <t>12:30</t>
        </is>
      </c>
      <c r="K1468" s="10" t="inlineStr">
        <is>
          <t>On time</t>
        </is>
      </c>
      <c r="L1468" s="6" t="n">
        <v>0</v>
      </c>
      <c r="M1468" s="10" t="n"/>
      <c r="N1468" s="6" t="n">
        <v>30</v>
      </c>
      <c r="O1468" s="6" t="n">
        <v>3840</v>
      </c>
      <c r="P1468" s="6" t="n">
        <v>1</v>
      </c>
      <c r="Q1468" s="6">
        <f>IF(OR(K1468="On time",K1468="Late",K1468="Very late"),1,0)</f>
        <v/>
      </c>
    </row>
    <row r="1469">
      <c r="A1469" s="10" t="inlineStr">
        <is>
          <t>DN319708</t>
        </is>
      </c>
      <c r="B1469" s="10" t="inlineStr">
        <is>
          <t>SO63678</t>
        </is>
      </c>
      <c r="C1469" s="10" t="inlineStr">
        <is>
          <t>C10522</t>
        </is>
      </c>
      <c r="D1469" s="10">
        <f>INDEX(Customers!$B:$B,MATCH(C1469,Customers!$A:$A,0))</f>
        <v/>
      </c>
      <c r="E1469" s="10">
        <f>INDEX(Customers!$D:$D,MATCH(C1469,Customers!$A:$A,0))</f>
        <v/>
      </c>
      <c r="F1469" s="10" t="inlineStr">
        <is>
          <t>Same-day courier</t>
        </is>
      </c>
      <c r="G1469" s="5" t="n">
        <v>46286</v>
      </c>
      <c r="H1469" s="5" t="n">
        <v>46287</v>
      </c>
      <c r="I1469" s="5" t="n">
        <v>46287</v>
      </c>
      <c r="J1469" s="10" t="inlineStr">
        <is>
          <t>09:30</t>
        </is>
      </c>
      <c r="K1469" s="10" t="inlineStr">
        <is>
          <t>On time</t>
        </is>
      </c>
      <c r="L1469" s="6" t="n">
        <v>0</v>
      </c>
      <c r="M1469" s="10" t="n"/>
      <c r="N1469" s="6" t="n">
        <v>35</v>
      </c>
      <c r="O1469" s="6" t="n">
        <v>2625</v>
      </c>
      <c r="P1469" s="6" t="n">
        <v>1</v>
      </c>
      <c r="Q1469" s="6">
        <f>IF(OR(K1469="On time",K1469="Late",K1469="Very late"),1,0)</f>
        <v/>
      </c>
    </row>
    <row r="1470">
      <c r="A1470" s="10" t="inlineStr">
        <is>
          <t>DN319709</t>
        </is>
      </c>
      <c r="B1470" s="10" t="inlineStr">
        <is>
          <t>SO63679</t>
        </is>
      </c>
      <c r="C1470" s="10" t="inlineStr">
        <is>
          <t>C10536</t>
        </is>
      </c>
      <c r="D1470" s="10">
        <f>INDEX(Customers!$B:$B,MATCH(C1470,Customers!$A:$A,0))</f>
        <v/>
      </c>
      <c r="E1470" s="10">
        <f>INDEX(Customers!$D:$D,MATCH(C1470,Customers!$A:$A,0))</f>
        <v/>
      </c>
      <c r="F1470" s="10" t="inlineStr">
        <is>
          <t>Own trucks</t>
        </is>
      </c>
      <c r="G1470" s="5" t="n">
        <v>46286</v>
      </c>
      <c r="H1470" s="5" t="n">
        <v>46287</v>
      </c>
      <c r="I1470" s="5" t="n">
        <v>46287</v>
      </c>
      <c r="J1470" s="10" t="inlineStr">
        <is>
          <t>09:20</t>
        </is>
      </c>
      <c r="K1470" s="10" t="inlineStr">
        <is>
          <t>On time</t>
        </is>
      </c>
      <c r="L1470" s="6" t="n">
        <v>0</v>
      </c>
      <c r="M1470" s="10" t="n"/>
      <c r="N1470" s="6" t="n">
        <v>37</v>
      </c>
      <c r="O1470" s="6" t="n">
        <v>2479</v>
      </c>
      <c r="P1470" s="6" t="n">
        <v>1</v>
      </c>
      <c r="Q1470" s="6">
        <f>IF(OR(K1470="On time",K1470="Late",K1470="Very late"),1,0)</f>
        <v/>
      </c>
    </row>
    <row r="1471">
      <c r="A1471" s="10" t="inlineStr">
        <is>
          <t>DN319710</t>
        </is>
      </c>
      <c r="B1471" s="10" t="inlineStr">
        <is>
          <t>SO63680</t>
        </is>
      </c>
      <c r="C1471" s="10" t="inlineStr">
        <is>
          <t>C10589</t>
        </is>
      </c>
      <c r="D1471" s="10">
        <f>INDEX(Customers!$B:$B,MATCH(C1471,Customers!$A:$A,0))</f>
        <v/>
      </c>
      <c r="E1471" s="10">
        <f>INDEX(Customers!$D:$D,MATCH(C1471,Customers!$A:$A,0))</f>
        <v/>
      </c>
      <c r="F1471" s="10" t="inlineStr">
        <is>
          <t>Own trucks</t>
        </is>
      </c>
      <c r="G1471" s="5" t="n">
        <v>46286</v>
      </c>
      <c r="H1471" s="5" t="n">
        <v>46287</v>
      </c>
      <c r="I1471" s="5" t="n">
        <v>46287</v>
      </c>
      <c r="J1471" s="10" t="inlineStr">
        <is>
          <t>08:00</t>
        </is>
      </c>
      <c r="K1471" s="10" t="inlineStr">
        <is>
          <t>On time</t>
        </is>
      </c>
      <c r="L1471" s="6" t="n">
        <v>0</v>
      </c>
      <c r="M1471" s="10" t="n"/>
      <c r="N1471" s="6" t="n">
        <v>39</v>
      </c>
      <c r="O1471" s="6" t="n">
        <v>4134</v>
      </c>
      <c r="P1471" s="6" t="n">
        <v>1</v>
      </c>
      <c r="Q1471" s="6">
        <f>IF(OR(K1471="On time",K1471="Late",K1471="Very late"),1,0)</f>
        <v/>
      </c>
    </row>
    <row r="1472">
      <c r="A1472" s="10" t="inlineStr">
        <is>
          <t>DN319711</t>
        </is>
      </c>
      <c r="B1472" s="10" t="inlineStr">
        <is>
          <t>SO63682</t>
        </is>
      </c>
      <c r="C1472" s="10" t="inlineStr">
        <is>
          <t>C10648</t>
        </is>
      </c>
      <c r="D1472" s="10">
        <f>INDEX(Customers!$B:$B,MATCH(C1472,Customers!$A:$A,0))</f>
        <v/>
      </c>
      <c r="E1472" s="10">
        <f>INDEX(Customers!$D:$D,MATCH(C1472,Customers!$A:$A,0))</f>
        <v/>
      </c>
      <c r="F1472" s="10" t="inlineStr">
        <is>
          <t>Own trucks</t>
        </is>
      </c>
      <c r="G1472" s="5" t="n">
        <v>46286</v>
      </c>
      <c r="H1472" s="5" t="n">
        <v>46287</v>
      </c>
      <c r="I1472" s="5" t="n">
        <v>46287</v>
      </c>
      <c r="J1472" s="10" t="inlineStr">
        <is>
          <t>12:30</t>
        </is>
      </c>
      <c r="K1472" s="10" t="inlineStr">
        <is>
          <t>On time</t>
        </is>
      </c>
      <c r="L1472" s="6" t="n">
        <v>0</v>
      </c>
      <c r="M1472" s="10" t="n"/>
      <c r="N1472" s="6" t="n">
        <v>19</v>
      </c>
      <c r="O1472" s="6" t="n">
        <v>1121</v>
      </c>
      <c r="P1472" s="6" t="n">
        <v>1</v>
      </c>
      <c r="Q1472" s="6">
        <f>IF(OR(K1472="On time",K1472="Late",K1472="Very late"),1,0)</f>
        <v/>
      </c>
    </row>
    <row r="1473">
      <c r="A1473" s="10" t="inlineStr">
        <is>
          <t>DN319712</t>
        </is>
      </c>
      <c r="B1473" s="10" t="inlineStr">
        <is>
          <t>SO63683</t>
        </is>
      </c>
      <c r="C1473" s="10" t="inlineStr">
        <is>
          <t>C10676</t>
        </is>
      </c>
      <c r="D1473" s="10">
        <f>INDEX(Customers!$B:$B,MATCH(C1473,Customers!$A:$A,0))</f>
        <v/>
      </c>
      <c r="E1473" s="10">
        <f>INDEX(Customers!$D:$D,MATCH(C1473,Customers!$A:$A,0))</f>
        <v/>
      </c>
      <c r="F1473" s="10" t="inlineStr">
        <is>
          <t>Own trucks</t>
        </is>
      </c>
      <c r="G1473" s="5" t="n">
        <v>46286</v>
      </c>
      <c r="H1473" s="5" t="n">
        <v>46287</v>
      </c>
      <c r="I1473" s="5" t="n">
        <v>46287</v>
      </c>
      <c r="J1473" s="10" t="inlineStr">
        <is>
          <t>10:20</t>
        </is>
      </c>
      <c r="K1473" s="10" t="inlineStr">
        <is>
          <t>On time</t>
        </is>
      </c>
      <c r="L1473" s="6" t="n">
        <v>0</v>
      </c>
      <c r="M1473" s="10" t="n"/>
      <c r="N1473" s="6" t="n">
        <v>30</v>
      </c>
      <c r="O1473" s="6" t="n">
        <v>4020</v>
      </c>
      <c r="P1473" s="6" t="n">
        <v>1</v>
      </c>
      <c r="Q1473" s="6">
        <f>IF(OR(K1473="On time",K1473="Late",K1473="Very late"),1,0)</f>
        <v/>
      </c>
    </row>
    <row r="1474">
      <c r="A1474" s="10" t="inlineStr">
        <is>
          <t>DN319713</t>
        </is>
      </c>
      <c r="B1474" s="10" t="inlineStr">
        <is>
          <t>SO63684</t>
        </is>
      </c>
      <c r="C1474" s="10" t="inlineStr">
        <is>
          <t>C10746</t>
        </is>
      </c>
      <c r="D1474" s="10">
        <f>INDEX(Customers!$B:$B,MATCH(C1474,Customers!$A:$A,0))</f>
        <v/>
      </c>
      <c r="E1474" s="10">
        <f>INDEX(Customers!$D:$D,MATCH(C1474,Customers!$A:$A,0))</f>
        <v/>
      </c>
      <c r="F1474" s="10" t="inlineStr">
        <is>
          <t>Own trucks</t>
        </is>
      </c>
      <c r="G1474" s="5" t="n">
        <v>46286</v>
      </c>
      <c r="H1474" s="5" t="n">
        <v>46287</v>
      </c>
      <c r="I1474" s="5" t="n">
        <v>46287</v>
      </c>
      <c r="J1474" s="10" t="inlineStr">
        <is>
          <t>09:00</t>
        </is>
      </c>
      <c r="K1474" s="10" t="inlineStr">
        <is>
          <t>On time</t>
        </is>
      </c>
      <c r="L1474" s="6" t="n">
        <v>0</v>
      </c>
      <c r="M1474" s="10" t="n"/>
      <c r="N1474" s="6" t="n">
        <v>23</v>
      </c>
      <c r="O1474" s="6" t="n">
        <v>2921</v>
      </c>
      <c r="P1474" s="6" t="n">
        <v>1</v>
      </c>
      <c r="Q1474" s="6">
        <f>IF(OR(K1474="On time",K1474="Late",K1474="Very late"),1,0)</f>
        <v/>
      </c>
    </row>
    <row r="1475">
      <c r="A1475" s="10" t="inlineStr">
        <is>
          <t>DN319714</t>
        </is>
      </c>
      <c r="B1475" s="10" t="inlineStr">
        <is>
          <t>SO63686</t>
        </is>
      </c>
      <c r="C1475" s="10" t="inlineStr">
        <is>
          <t>C10796</t>
        </is>
      </c>
      <c r="D1475" s="10">
        <f>INDEX(Customers!$B:$B,MATCH(C1475,Customers!$A:$A,0))</f>
        <v/>
      </c>
      <c r="E1475" s="10">
        <f>INDEX(Customers!$D:$D,MATCH(C1475,Customers!$A:$A,0))</f>
        <v/>
      </c>
      <c r="F1475" s="10" t="inlineStr">
        <is>
          <t>Own trucks</t>
        </is>
      </c>
      <c r="G1475" s="5" t="n">
        <v>46286</v>
      </c>
      <c r="H1475" s="5" t="n">
        <v>46287</v>
      </c>
      <c r="I1475" s="5" t="n">
        <v>46287</v>
      </c>
      <c r="J1475" s="10" t="inlineStr">
        <is>
          <t>13:10</t>
        </is>
      </c>
      <c r="K1475" s="10" t="inlineStr">
        <is>
          <t>On time</t>
        </is>
      </c>
      <c r="L1475" s="6" t="n">
        <v>0</v>
      </c>
      <c r="M1475" s="10" t="n"/>
      <c r="N1475" s="6" t="n">
        <v>21</v>
      </c>
      <c r="O1475" s="6" t="n">
        <v>1281</v>
      </c>
      <c r="P1475" s="6" t="n">
        <v>1</v>
      </c>
      <c r="Q1475" s="6">
        <f>IF(OR(K1475="On time",K1475="Late",K1475="Very late"),1,0)</f>
        <v/>
      </c>
    </row>
    <row r="1476">
      <c r="A1476" s="10" t="inlineStr">
        <is>
          <t>DN319715</t>
        </is>
      </c>
      <c r="B1476" s="10" t="inlineStr">
        <is>
          <t>SO63687</t>
        </is>
      </c>
      <c r="C1476" s="10" t="inlineStr">
        <is>
          <t>C10847</t>
        </is>
      </c>
      <c r="D1476" s="10">
        <f>INDEX(Customers!$B:$B,MATCH(C1476,Customers!$A:$A,0))</f>
        <v/>
      </c>
      <c r="E1476" s="10">
        <f>INDEX(Customers!$D:$D,MATCH(C1476,Customers!$A:$A,0))</f>
        <v/>
      </c>
      <c r="F1476" s="10" t="inlineStr">
        <is>
          <t>Own trucks</t>
        </is>
      </c>
      <c r="G1476" s="5" t="n">
        <v>46286</v>
      </c>
      <c r="H1476" s="5" t="n">
        <v>46287</v>
      </c>
      <c r="I1476" s="5" t="n">
        <v>46287</v>
      </c>
      <c r="J1476" s="10" t="inlineStr">
        <is>
          <t>14:40</t>
        </is>
      </c>
      <c r="K1476" s="10" t="inlineStr">
        <is>
          <t>On time</t>
        </is>
      </c>
      <c r="L1476" s="6" t="n">
        <v>0</v>
      </c>
      <c r="M1476" s="10" t="n"/>
      <c r="N1476" s="6" t="n">
        <v>26</v>
      </c>
      <c r="O1476" s="6" t="n">
        <v>1482</v>
      </c>
      <c r="P1476" s="6" t="n">
        <v>1</v>
      </c>
      <c r="Q1476" s="6">
        <f>IF(OR(K1476="On time",K1476="Late",K1476="Very late"),1,0)</f>
        <v/>
      </c>
    </row>
    <row r="1477">
      <c r="A1477" s="10" t="inlineStr">
        <is>
          <t>DN319716</t>
        </is>
      </c>
      <c r="B1477" s="10" t="inlineStr">
        <is>
          <t>SO63688</t>
        </is>
      </c>
      <c r="C1477" s="10" t="inlineStr">
        <is>
          <t>C10915</t>
        </is>
      </c>
      <c r="D1477" s="10">
        <f>INDEX(Customers!$B:$B,MATCH(C1477,Customers!$A:$A,0))</f>
        <v/>
      </c>
      <c r="E1477" s="10">
        <f>INDEX(Customers!$D:$D,MATCH(C1477,Customers!$A:$A,0))</f>
        <v/>
      </c>
      <c r="F1477" s="10" t="inlineStr">
        <is>
          <t>Own trucks</t>
        </is>
      </c>
      <c r="G1477" s="5" t="n">
        <v>46286</v>
      </c>
      <c r="H1477" s="5" t="n">
        <v>46287</v>
      </c>
      <c r="I1477" s="5" t="n">
        <v>46287</v>
      </c>
      <c r="J1477" s="10" t="inlineStr">
        <is>
          <t>11:30</t>
        </is>
      </c>
      <c r="K1477" s="10" t="inlineStr">
        <is>
          <t>On time</t>
        </is>
      </c>
      <c r="L1477" s="6" t="n">
        <v>0</v>
      </c>
      <c r="M1477" s="10" t="n"/>
      <c r="N1477" s="6" t="n">
        <v>2</v>
      </c>
      <c r="O1477" s="6" t="n">
        <v>236</v>
      </c>
      <c r="P1477" s="6" t="n">
        <v>1</v>
      </c>
      <c r="Q1477" s="6">
        <f>IF(OR(K1477="On time",K1477="Late",K1477="Very late"),1,0)</f>
        <v/>
      </c>
    </row>
    <row r="1478">
      <c r="A1478" s="10" t="inlineStr">
        <is>
          <t>DN319717</t>
        </is>
      </c>
      <c r="B1478" s="10" t="inlineStr">
        <is>
          <t>SO63689</t>
        </is>
      </c>
      <c r="C1478" s="10" t="inlineStr">
        <is>
          <t>C10982</t>
        </is>
      </c>
      <c r="D1478" s="10">
        <f>INDEX(Customers!$B:$B,MATCH(C1478,Customers!$A:$A,0))</f>
        <v/>
      </c>
      <c r="E1478" s="10">
        <f>INDEX(Customers!$D:$D,MATCH(C1478,Customers!$A:$A,0))</f>
        <v/>
      </c>
      <c r="F1478" s="10" t="inlineStr">
        <is>
          <t>Own trucks</t>
        </is>
      </c>
      <c r="G1478" s="5" t="n">
        <v>46286</v>
      </c>
      <c r="H1478" s="5" t="n">
        <v>46287</v>
      </c>
      <c r="I1478" s="5" t="n">
        <v>46288</v>
      </c>
      <c r="J1478" s="10" t="inlineStr">
        <is>
          <t>09:30</t>
        </is>
      </c>
      <c r="K1478" s="10" t="inlineStr">
        <is>
          <t>Late</t>
        </is>
      </c>
      <c r="L1478" s="6" t="n">
        <v>1</v>
      </c>
      <c r="M1478" s="10" t="inlineStr">
        <is>
          <t>Customer closed (failed attempt)</t>
        </is>
      </c>
      <c r="N1478" s="6" t="n">
        <v>9</v>
      </c>
      <c r="O1478" s="6" t="n">
        <v>747</v>
      </c>
      <c r="P1478" s="6" t="n">
        <v>1</v>
      </c>
      <c r="Q1478" s="6">
        <f>IF(OR(K1478="On time",K1478="Late",K1478="Very late"),1,0)</f>
        <v/>
      </c>
    </row>
    <row r="1479">
      <c r="A1479" s="10" t="inlineStr">
        <is>
          <t>DN319718</t>
        </is>
      </c>
      <c r="B1479" s="10" t="inlineStr">
        <is>
          <t>SO63690</t>
        </is>
      </c>
      <c r="C1479" s="10" t="inlineStr">
        <is>
          <t>C11107</t>
        </is>
      </c>
      <c r="D1479" s="10">
        <f>INDEX(Customers!$B:$B,MATCH(C1479,Customers!$A:$A,0))</f>
        <v/>
      </c>
      <c r="E1479" s="10">
        <f>INDEX(Customers!$D:$D,MATCH(C1479,Customers!$A:$A,0))</f>
        <v/>
      </c>
      <c r="F1479" s="10" t="inlineStr">
        <is>
          <t>Own trucks</t>
        </is>
      </c>
      <c r="G1479" s="5" t="n">
        <v>46286</v>
      </c>
      <c r="H1479" s="5" t="n">
        <v>46287</v>
      </c>
      <c r="I1479" s="5" t="n">
        <v>46288</v>
      </c>
      <c r="J1479" s="10" t="inlineStr">
        <is>
          <t>08:30</t>
        </is>
      </c>
      <c r="K1479" s="10" t="inlineStr">
        <is>
          <t>Late</t>
        </is>
      </c>
      <c r="L1479" s="6" t="n">
        <v>1</v>
      </c>
      <c r="M1479" s="10" t="inlineStr">
        <is>
          <t>Customer closed (failed attempt)</t>
        </is>
      </c>
      <c r="N1479" s="6" t="n">
        <v>26</v>
      </c>
      <c r="O1479" s="6" t="n">
        <v>2262</v>
      </c>
      <c r="P1479" s="6" t="n">
        <v>1</v>
      </c>
      <c r="Q1479" s="6">
        <f>IF(OR(K1479="On time",K1479="Late",K1479="Very late"),1,0)</f>
        <v/>
      </c>
    </row>
    <row r="1480">
      <c r="A1480" s="10" t="inlineStr">
        <is>
          <t>DN319719</t>
        </is>
      </c>
      <c r="B1480" s="10" t="inlineStr">
        <is>
          <t>SO63691</t>
        </is>
      </c>
      <c r="C1480" s="10" t="inlineStr">
        <is>
          <t>C11143</t>
        </is>
      </c>
      <c r="D1480" s="10">
        <f>INDEX(Customers!$B:$B,MATCH(C1480,Customers!$A:$A,0))</f>
        <v/>
      </c>
      <c r="E1480" s="10">
        <f>INDEX(Customers!$D:$D,MATCH(C1480,Customers!$A:$A,0))</f>
        <v/>
      </c>
      <c r="F1480" s="10" t="inlineStr">
        <is>
          <t>Own trucks</t>
        </is>
      </c>
      <c r="G1480" s="5" t="n">
        <v>46286</v>
      </c>
      <c r="H1480" s="5" t="n">
        <v>46287</v>
      </c>
      <c r="I1480" s="5" t="n">
        <v>46287</v>
      </c>
      <c r="J1480" s="10" t="inlineStr">
        <is>
          <t>11:40</t>
        </is>
      </c>
      <c r="K1480" s="10" t="inlineStr">
        <is>
          <t>On time</t>
        </is>
      </c>
      <c r="L1480" s="6" t="n">
        <v>0</v>
      </c>
      <c r="M1480" s="10" t="n"/>
      <c r="N1480" s="6" t="n">
        <v>21</v>
      </c>
      <c r="O1480" s="6" t="n">
        <v>1512</v>
      </c>
      <c r="P1480" s="6" t="n">
        <v>1</v>
      </c>
      <c r="Q1480" s="6">
        <f>IF(OR(K1480="On time",K1480="Late",K1480="Very late"),1,0)</f>
        <v/>
      </c>
    </row>
    <row r="1481">
      <c r="A1481" s="10" t="inlineStr">
        <is>
          <t>DN319720</t>
        </is>
      </c>
      <c r="B1481" s="10" t="inlineStr">
        <is>
          <t>SO63693</t>
        </is>
      </c>
      <c r="C1481" s="10" t="inlineStr">
        <is>
          <t>C11186</t>
        </is>
      </c>
      <c r="D1481" s="10">
        <f>INDEX(Customers!$B:$B,MATCH(C1481,Customers!$A:$A,0))</f>
        <v/>
      </c>
      <c r="E1481" s="10">
        <f>INDEX(Customers!$D:$D,MATCH(C1481,Customers!$A:$A,0))</f>
        <v/>
      </c>
      <c r="F1481" s="10" t="inlineStr">
        <is>
          <t>Own trucks</t>
        </is>
      </c>
      <c r="G1481" s="5" t="n">
        <v>46286</v>
      </c>
      <c r="H1481" s="5" t="n">
        <v>46287</v>
      </c>
      <c r="I1481" s="5" t="n">
        <v>46287</v>
      </c>
      <c r="J1481" s="10" t="inlineStr">
        <is>
          <t>10:20</t>
        </is>
      </c>
      <c r="K1481" s="10" t="inlineStr">
        <is>
          <t>On time</t>
        </is>
      </c>
      <c r="L1481" s="6" t="n">
        <v>0</v>
      </c>
      <c r="M1481" s="10" t="n"/>
      <c r="N1481" s="6" t="n">
        <v>24</v>
      </c>
      <c r="O1481" s="6" t="n">
        <v>1872</v>
      </c>
      <c r="P1481" s="6" t="n">
        <v>0</v>
      </c>
      <c r="Q1481" s="6">
        <f>IF(OR(K1481="On time",K1481="Late",K1481="Very late"),1,0)</f>
        <v/>
      </c>
    </row>
    <row r="1482">
      <c r="A1482" s="10" t="inlineStr">
        <is>
          <t>DN319721</t>
        </is>
      </c>
      <c r="B1482" s="10" t="inlineStr">
        <is>
          <t>SO63694</t>
        </is>
      </c>
      <c r="C1482" s="10" t="inlineStr">
        <is>
          <t>C11247</t>
        </is>
      </c>
      <c r="D1482" s="10">
        <f>INDEX(Customers!$B:$B,MATCH(C1482,Customers!$A:$A,0))</f>
        <v/>
      </c>
      <c r="E1482" s="10">
        <f>INDEX(Customers!$D:$D,MATCH(C1482,Customers!$A:$A,0))</f>
        <v/>
      </c>
      <c r="F1482" s="10" t="inlineStr">
        <is>
          <t>Own trucks</t>
        </is>
      </c>
      <c r="G1482" s="5" t="n">
        <v>46286</v>
      </c>
      <c r="H1482" s="5" t="n">
        <v>46287</v>
      </c>
      <c r="I1482" s="5" t="n">
        <v>46287</v>
      </c>
      <c r="J1482" s="10" t="inlineStr">
        <is>
          <t>09:50</t>
        </is>
      </c>
      <c r="K1482" s="10" t="inlineStr">
        <is>
          <t>On time</t>
        </is>
      </c>
      <c r="L1482" s="6" t="n">
        <v>0</v>
      </c>
      <c r="M1482" s="10" t="n"/>
      <c r="N1482" s="6" t="n">
        <v>25</v>
      </c>
      <c r="O1482" s="6" t="n">
        <v>1725</v>
      </c>
      <c r="P1482" s="6" t="n">
        <v>1</v>
      </c>
      <c r="Q1482" s="6">
        <f>IF(OR(K1482="On time",K1482="Late",K1482="Very late"),1,0)</f>
        <v/>
      </c>
    </row>
    <row r="1483">
      <c r="A1483" s="10" t="inlineStr">
        <is>
          <t>DN319722</t>
        </is>
      </c>
      <c r="B1483" s="10" t="inlineStr">
        <is>
          <t>SO63695</t>
        </is>
      </c>
      <c r="C1483" s="10" t="inlineStr">
        <is>
          <t>C11264</t>
        </is>
      </c>
      <c r="D1483" s="10">
        <f>INDEX(Customers!$B:$B,MATCH(C1483,Customers!$A:$A,0))</f>
        <v/>
      </c>
      <c r="E1483" s="10">
        <f>INDEX(Customers!$D:$D,MATCH(C1483,Customers!$A:$A,0))</f>
        <v/>
      </c>
      <c r="F1483" s="10" t="inlineStr">
        <is>
          <t>Own trucks</t>
        </is>
      </c>
      <c r="G1483" s="5" t="n">
        <v>46286</v>
      </c>
      <c r="H1483" s="5" t="n">
        <v>46287</v>
      </c>
      <c r="I1483" s="5" t="n">
        <v>46287</v>
      </c>
      <c r="J1483" s="10" t="inlineStr">
        <is>
          <t>10:40</t>
        </is>
      </c>
      <c r="K1483" s="10" t="inlineStr">
        <is>
          <t>On time</t>
        </is>
      </c>
      <c r="L1483" s="6" t="n">
        <v>0</v>
      </c>
      <c r="M1483" s="10" t="n"/>
      <c r="N1483" s="6" t="n">
        <v>30</v>
      </c>
      <c r="O1483" s="6" t="n">
        <v>2460</v>
      </c>
      <c r="P1483" s="6" t="n">
        <v>1</v>
      </c>
      <c r="Q1483" s="6">
        <f>IF(OR(K1483="On time",K1483="Late",K1483="Very late"),1,0)</f>
        <v/>
      </c>
    </row>
    <row r="1484">
      <c r="A1484" s="10" t="inlineStr">
        <is>
          <t>DN319724</t>
        </is>
      </c>
      <c r="B1484" s="10" t="inlineStr">
        <is>
          <t>SO63696</t>
        </is>
      </c>
      <c r="C1484" s="10" t="inlineStr">
        <is>
          <t>C11314</t>
        </is>
      </c>
      <c r="D1484" s="10">
        <f>INDEX(Customers!$B:$B,MATCH(C1484,Customers!$A:$A,0))</f>
        <v/>
      </c>
      <c r="E1484" s="10">
        <f>INDEX(Customers!$D:$D,MATCH(C1484,Customers!$A:$A,0))</f>
        <v/>
      </c>
      <c r="F1484" s="10" t="inlineStr">
        <is>
          <t>Own trucks</t>
        </is>
      </c>
      <c r="G1484" s="5" t="n">
        <v>46286</v>
      </c>
      <c r="H1484" s="5" t="n">
        <v>46287</v>
      </c>
      <c r="I1484" s="5" t="n">
        <v>46287</v>
      </c>
      <c r="J1484" s="10" t="inlineStr">
        <is>
          <t>11:30</t>
        </is>
      </c>
      <c r="K1484" s="10" t="inlineStr">
        <is>
          <t>On time</t>
        </is>
      </c>
      <c r="L1484" s="6" t="n">
        <v>0</v>
      </c>
      <c r="M1484" s="10" t="n"/>
      <c r="N1484" s="6" t="n">
        <v>6</v>
      </c>
      <c r="O1484" s="6" t="n">
        <v>690</v>
      </c>
      <c r="P1484" s="6" t="n">
        <v>1</v>
      </c>
      <c r="Q1484" s="6">
        <f>IF(OR(K1484="On time",K1484="Late",K1484="Very late"),1,0)</f>
        <v/>
      </c>
    </row>
    <row r="1485">
      <c r="A1485" s="10" t="inlineStr">
        <is>
          <t>DN319725</t>
        </is>
      </c>
      <c r="B1485" s="10" t="inlineStr">
        <is>
          <t>SO63697</t>
        </is>
      </c>
      <c r="C1485" s="10" t="inlineStr">
        <is>
          <t>C11518</t>
        </is>
      </c>
      <c r="D1485" s="10">
        <f>INDEX(Customers!$B:$B,MATCH(C1485,Customers!$A:$A,0))</f>
        <v/>
      </c>
      <c r="E1485" s="10">
        <f>INDEX(Customers!$D:$D,MATCH(C1485,Customers!$A:$A,0))</f>
        <v/>
      </c>
      <c r="F1485" s="10" t="inlineStr">
        <is>
          <t>Own trucks</t>
        </is>
      </c>
      <c r="G1485" s="5" t="n">
        <v>46286</v>
      </c>
      <c r="H1485" s="5" t="n">
        <v>46287</v>
      </c>
      <c r="I1485" s="5" t="n">
        <v>46287</v>
      </c>
      <c r="J1485" s="10" t="inlineStr">
        <is>
          <t>16:20</t>
        </is>
      </c>
      <c r="K1485" s="10" t="inlineStr">
        <is>
          <t>On time</t>
        </is>
      </c>
      <c r="L1485" s="6" t="n">
        <v>0</v>
      </c>
      <c r="M1485" s="10" t="n"/>
      <c r="N1485" s="6" t="n">
        <v>24</v>
      </c>
      <c r="O1485" s="6" t="n">
        <v>1536</v>
      </c>
      <c r="P1485" s="6" t="n">
        <v>1</v>
      </c>
      <c r="Q1485" s="6">
        <f>IF(OR(K1485="On time",K1485="Late",K1485="Very late"),1,0)</f>
        <v/>
      </c>
    </row>
    <row r="1486">
      <c r="A1486" s="10" t="inlineStr">
        <is>
          <t>DN319726</t>
        </is>
      </c>
      <c r="B1486" s="10" t="inlineStr">
        <is>
          <t>SO63699</t>
        </is>
      </c>
      <c r="C1486" s="10" t="inlineStr">
        <is>
          <t>C11579</t>
        </is>
      </c>
      <c r="D1486" s="10">
        <f>INDEX(Customers!$B:$B,MATCH(C1486,Customers!$A:$A,0))</f>
        <v/>
      </c>
      <c r="E1486" s="10">
        <f>INDEX(Customers!$D:$D,MATCH(C1486,Customers!$A:$A,0))</f>
        <v/>
      </c>
      <c r="F1486" s="10" t="inlineStr">
        <is>
          <t>Own trucks</t>
        </is>
      </c>
      <c r="G1486" s="5" t="n">
        <v>46286</v>
      </c>
      <c r="H1486" s="5" t="n">
        <v>46287</v>
      </c>
      <c r="I1486" s="5" t="n">
        <v>46287</v>
      </c>
      <c r="J1486" s="10" t="inlineStr">
        <is>
          <t>09:20</t>
        </is>
      </c>
      <c r="K1486" s="10" t="inlineStr">
        <is>
          <t>On time</t>
        </is>
      </c>
      <c r="L1486" s="6" t="n">
        <v>0</v>
      </c>
      <c r="M1486" s="10" t="n"/>
      <c r="N1486" s="6" t="n">
        <v>16</v>
      </c>
      <c r="O1486" s="6" t="n">
        <v>1840</v>
      </c>
      <c r="P1486" s="6" t="n">
        <v>1</v>
      </c>
      <c r="Q1486" s="6">
        <f>IF(OR(K1486="On time",K1486="Late",K1486="Very late"),1,0)</f>
        <v/>
      </c>
    </row>
    <row r="1487">
      <c r="A1487" s="10" t="inlineStr">
        <is>
          <t>DN319727</t>
        </is>
      </c>
      <c r="B1487" s="10" t="inlineStr">
        <is>
          <t>SO63700</t>
        </is>
      </c>
      <c r="C1487" s="10" t="inlineStr">
        <is>
          <t>C11616</t>
        </is>
      </c>
      <c r="D1487" s="10">
        <f>INDEX(Customers!$B:$B,MATCH(C1487,Customers!$A:$A,0))</f>
        <v/>
      </c>
      <c r="E1487" s="10">
        <f>INDEX(Customers!$D:$D,MATCH(C1487,Customers!$A:$A,0))</f>
        <v/>
      </c>
      <c r="F1487" s="10" t="inlineStr">
        <is>
          <t>Own trucks</t>
        </is>
      </c>
      <c r="G1487" s="5" t="n">
        <v>46286</v>
      </c>
      <c r="H1487" s="5" t="n">
        <v>46287</v>
      </c>
      <c r="I1487" s="5" t="n">
        <v>46287</v>
      </c>
      <c r="J1487" s="10" t="inlineStr">
        <is>
          <t>08:50</t>
        </is>
      </c>
      <c r="K1487" s="10" t="inlineStr">
        <is>
          <t>On time</t>
        </is>
      </c>
      <c r="L1487" s="6" t="n">
        <v>0</v>
      </c>
      <c r="M1487" s="10" t="n"/>
      <c r="N1487" s="6" t="n">
        <v>23</v>
      </c>
      <c r="O1487" s="6" t="n">
        <v>2277</v>
      </c>
      <c r="P1487" s="6" t="n">
        <v>1</v>
      </c>
      <c r="Q1487" s="6">
        <f>IF(OR(K1487="On time",K1487="Late",K1487="Very late"),1,0)</f>
        <v/>
      </c>
    </row>
    <row r="1488">
      <c r="A1488" s="10" t="inlineStr">
        <is>
          <t>DN319728</t>
        </is>
      </c>
      <c r="B1488" s="10" t="inlineStr">
        <is>
          <t>SO63701</t>
        </is>
      </c>
      <c r="C1488" s="10" t="inlineStr">
        <is>
          <t>C11666</t>
        </is>
      </c>
      <c r="D1488" s="10">
        <f>INDEX(Customers!$B:$B,MATCH(C1488,Customers!$A:$A,0))</f>
        <v/>
      </c>
      <c r="E1488" s="10">
        <f>INDEX(Customers!$D:$D,MATCH(C1488,Customers!$A:$A,0))</f>
        <v/>
      </c>
      <c r="F1488" s="10" t="inlineStr">
        <is>
          <t>Own trucks</t>
        </is>
      </c>
      <c r="G1488" s="5" t="n">
        <v>46286</v>
      </c>
      <c r="H1488" s="5" t="n">
        <v>46287</v>
      </c>
      <c r="I1488" s="5" t="n">
        <v>46287</v>
      </c>
      <c r="J1488" s="10" t="inlineStr">
        <is>
          <t>08:10</t>
        </is>
      </c>
      <c r="K1488" s="10" t="inlineStr">
        <is>
          <t>On time</t>
        </is>
      </c>
      <c r="L1488" s="6" t="n">
        <v>0</v>
      </c>
      <c r="M1488" s="10" t="n"/>
      <c r="N1488" s="6" t="n">
        <v>23</v>
      </c>
      <c r="O1488" s="6" t="n">
        <v>2875</v>
      </c>
      <c r="P1488" s="6" t="n">
        <v>1</v>
      </c>
      <c r="Q1488" s="6">
        <f>IF(OR(K1488="On time",K1488="Late",K1488="Very late"),1,0)</f>
        <v/>
      </c>
    </row>
    <row r="1489">
      <c r="A1489" s="10" t="inlineStr">
        <is>
          <t>DN319729</t>
        </is>
      </c>
      <c r="B1489" s="10" t="inlineStr">
        <is>
          <t>SO63702</t>
        </is>
      </c>
      <c r="C1489" s="10" t="inlineStr">
        <is>
          <t>C11858</t>
        </is>
      </c>
      <c r="D1489" s="10">
        <f>INDEX(Customers!$B:$B,MATCH(C1489,Customers!$A:$A,0))</f>
        <v/>
      </c>
      <c r="E1489" s="10">
        <f>INDEX(Customers!$D:$D,MATCH(C1489,Customers!$A:$A,0))</f>
        <v/>
      </c>
      <c r="F1489" s="10" t="inlineStr">
        <is>
          <t>Carrier A</t>
        </is>
      </c>
      <c r="G1489" s="5" t="n">
        <v>46286</v>
      </c>
      <c r="H1489" s="5" t="n">
        <v>46287</v>
      </c>
      <c r="I1489" s="5" t="n">
        <v>46287</v>
      </c>
      <c r="J1489" s="10" t="inlineStr">
        <is>
          <t>14:00</t>
        </is>
      </c>
      <c r="K1489" s="10" t="inlineStr">
        <is>
          <t>On time</t>
        </is>
      </c>
      <c r="L1489" s="6" t="n">
        <v>0</v>
      </c>
      <c r="M1489" s="10" t="n"/>
      <c r="N1489" s="6" t="n">
        <v>34</v>
      </c>
      <c r="O1489" s="6" t="n">
        <v>3230</v>
      </c>
      <c r="P1489" s="6" t="n">
        <v>1</v>
      </c>
      <c r="Q1489" s="6">
        <f>IF(OR(K1489="On time",K1489="Late",K1489="Very late"),1,0)</f>
        <v/>
      </c>
    </row>
    <row r="1490">
      <c r="A1490" s="10" t="inlineStr">
        <is>
          <t>DN319730</t>
        </is>
      </c>
      <c r="B1490" s="10" t="inlineStr">
        <is>
          <t>SO63703</t>
        </is>
      </c>
      <c r="C1490" s="10" t="inlineStr">
        <is>
          <t>C11866</t>
        </is>
      </c>
      <c r="D1490" s="10">
        <f>INDEX(Customers!$B:$B,MATCH(C1490,Customers!$A:$A,0))</f>
        <v/>
      </c>
      <c r="E1490" s="10">
        <f>INDEX(Customers!$D:$D,MATCH(C1490,Customers!$A:$A,0))</f>
        <v/>
      </c>
      <c r="F1490" s="10" t="inlineStr">
        <is>
          <t>Carrier A</t>
        </is>
      </c>
      <c r="G1490" s="5" t="n">
        <v>46286</v>
      </c>
      <c r="H1490" s="5" t="n">
        <v>46287</v>
      </c>
      <c r="I1490" s="5" t="n">
        <v>46287</v>
      </c>
      <c r="J1490" s="10" t="inlineStr">
        <is>
          <t>15:20</t>
        </is>
      </c>
      <c r="K1490" s="10" t="inlineStr">
        <is>
          <t>On time</t>
        </is>
      </c>
      <c r="L1490" s="6" t="n">
        <v>0</v>
      </c>
      <c r="M1490" s="10" t="n"/>
      <c r="N1490" s="6" t="n">
        <v>14</v>
      </c>
      <c r="O1490" s="6" t="n">
        <v>1372</v>
      </c>
      <c r="P1490" s="6" t="n">
        <v>1</v>
      </c>
      <c r="Q1490" s="6">
        <f>IF(OR(K1490="On time",K1490="Late",K1490="Very late"),1,0)</f>
        <v/>
      </c>
    </row>
    <row r="1491">
      <c r="A1491" s="10" t="inlineStr">
        <is>
          <t>DN319731</t>
        </is>
      </c>
      <c r="B1491" s="10" t="inlineStr">
        <is>
          <t>SO63704</t>
        </is>
      </c>
      <c r="C1491" s="10" t="inlineStr">
        <is>
          <t>C11971</t>
        </is>
      </c>
      <c r="D1491" s="10">
        <f>INDEX(Customers!$B:$B,MATCH(C1491,Customers!$A:$A,0))</f>
        <v/>
      </c>
      <c r="E1491" s="10">
        <f>INDEX(Customers!$D:$D,MATCH(C1491,Customers!$A:$A,0))</f>
        <v/>
      </c>
      <c r="F1491" s="10" t="inlineStr">
        <is>
          <t>Own trucks</t>
        </is>
      </c>
      <c r="G1491" s="5" t="n">
        <v>46286</v>
      </c>
      <c r="H1491" s="5" t="n">
        <v>46287</v>
      </c>
      <c r="I1491" s="5" t="n">
        <v>46287</v>
      </c>
      <c r="J1491" s="10" t="inlineStr">
        <is>
          <t>08:40</t>
        </is>
      </c>
      <c r="K1491" s="10" t="inlineStr">
        <is>
          <t>On time</t>
        </is>
      </c>
      <c r="L1491" s="6" t="n">
        <v>0</v>
      </c>
      <c r="M1491" s="10" t="n"/>
      <c r="N1491" s="6" t="n">
        <v>15</v>
      </c>
      <c r="O1491" s="6" t="n">
        <v>1500</v>
      </c>
      <c r="P1491" s="6" t="n">
        <v>1</v>
      </c>
      <c r="Q1491" s="6">
        <f>IF(OR(K1491="On time",K1491="Late",K1491="Very late"),1,0)</f>
        <v/>
      </c>
    </row>
    <row r="1492">
      <c r="A1492" s="10" t="inlineStr">
        <is>
          <t>DN319732</t>
        </is>
      </c>
      <c r="B1492" s="10" t="inlineStr">
        <is>
          <t>SO63705</t>
        </is>
      </c>
      <c r="C1492" s="10" t="inlineStr">
        <is>
          <t>C11982</t>
        </is>
      </c>
      <c r="D1492" s="10">
        <f>INDEX(Customers!$B:$B,MATCH(C1492,Customers!$A:$A,0))</f>
        <v/>
      </c>
      <c r="E1492" s="10">
        <f>INDEX(Customers!$D:$D,MATCH(C1492,Customers!$A:$A,0))</f>
        <v/>
      </c>
      <c r="F1492" s="10" t="inlineStr">
        <is>
          <t>Own trucks</t>
        </is>
      </c>
      <c r="G1492" s="5" t="n">
        <v>46286</v>
      </c>
      <c r="H1492" s="5" t="n">
        <v>46287</v>
      </c>
      <c r="I1492" s="5" t="n">
        <v>46287</v>
      </c>
      <c r="J1492" s="10" t="inlineStr">
        <is>
          <t>16:20</t>
        </is>
      </c>
      <c r="K1492" s="10" t="inlineStr">
        <is>
          <t>On time</t>
        </is>
      </c>
      <c r="L1492" s="6" t="n">
        <v>0</v>
      </c>
      <c r="M1492" s="10" t="n"/>
      <c r="N1492" s="6" t="n">
        <v>28</v>
      </c>
      <c r="O1492" s="6" t="n">
        <v>3836</v>
      </c>
      <c r="P1492" s="6" t="n">
        <v>1</v>
      </c>
      <c r="Q1492" s="6">
        <f>IF(OR(K1492="On time",K1492="Late",K1492="Very late"),1,0)</f>
        <v/>
      </c>
    </row>
    <row r="1493">
      <c r="A1493" s="10" t="inlineStr">
        <is>
          <t>DN319733</t>
        </is>
      </c>
      <c r="B1493" s="10" t="inlineStr">
        <is>
          <t>SO63706</t>
        </is>
      </c>
      <c r="C1493" s="10" t="inlineStr">
        <is>
          <t>C12037</t>
        </is>
      </c>
      <c r="D1493" s="10">
        <f>INDEX(Customers!$B:$B,MATCH(C1493,Customers!$A:$A,0))</f>
        <v/>
      </c>
      <c r="E1493" s="10">
        <f>INDEX(Customers!$D:$D,MATCH(C1493,Customers!$A:$A,0))</f>
        <v/>
      </c>
      <c r="F1493" s="10" t="inlineStr">
        <is>
          <t>Own trucks</t>
        </is>
      </c>
      <c r="G1493" s="5" t="n">
        <v>46286</v>
      </c>
      <c r="H1493" s="5" t="n">
        <v>46287</v>
      </c>
      <c r="I1493" s="5" t="n">
        <v>46287</v>
      </c>
      <c r="J1493" s="10" t="inlineStr">
        <is>
          <t>08:30</t>
        </is>
      </c>
      <c r="K1493" s="10" t="inlineStr">
        <is>
          <t>On time</t>
        </is>
      </c>
      <c r="L1493" s="6" t="n">
        <v>0</v>
      </c>
      <c r="M1493" s="10" t="n"/>
      <c r="N1493" s="6" t="n">
        <v>34</v>
      </c>
      <c r="O1493" s="6" t="n">
        <v>3910</v>
      </c>
      <c r="P1493" s="6" t="n">
        <v>0</v>
      </c>
      <c r="Q1493" s="6">
        <f>IF(OR(K1493="On time",K1493="Late",K1493="Very late"),1,0)</f>
        <v/>
      </c>
    </row>
    <row r="1494">
      <c r="A1494" s="10" t="inlineStr">
        <is>
          <t>DN319734</t>
        </is>
      </c>
      <c r="B1494" s="10" t="inlineStr">
        <is>
          <t>SO63707</t>
        </is>
      </c>
      <c r="C1494" s="10" t="inlineStr">
        <is>
          <t>C12103</t>
        </is>
      </c>
      <c r="D1494" s="10">
        <f>INDEX(Customers!$B:$B,MATCH(C1494,Customers!$A:$A,0))</f>
        <v/>
      </c>
      <c r="E1494" s="10">
        <f>INDEX(Customers!$D:$D,MATCH(C1494,Customers!$A:$A,0))</f>
        <v/>
      </c>
      <c r="F1494" s="10" t="inlineStr">
        <is>
          <t>Own trucks</t>
        </is>
      </c>
      <c r="G1494" s="5" t="n">
        <v>46286</v>
      </c>
      <c r="H1494" s="5" t="n">
        <v>46287</v>
      </c>
      <c r="I1494" s="5" t="n">
        <v>46287</v>
      </c>
      <c r="J1494" s="10" t="inlineStr">
        <is>
          <t>07:10</t>
        </is>
      </c>
      <c r="K1494" s="10" t="inlineStr">
        <is>
          <t>On time</t>
        </is>
      </c>
      <c r="L1494" s="6" t="n">
        <v>0</v>
      </c>
      <c r="M1494" s="10" t="n"/>
      <c r="N1494" s="6" t="n">
        <v>10</v>
      </c>
      <c r="O1494" s="6" t="n">
        <v>1360</v>
      </c>
      <c r="P1494" s="6" t="n">
        <v>1</v>
      </c>
      <c r="Q1494" s="6">
        <f>IF(OR(K1494="On time",K1494="Late",K1494="Very late"),1,0)</f>
        <v/>
      </c>
    </row>
    <row r="1495">
      <c r="A1495" s="10" t="inlineStr">
        <is>
          <t>DN319735</t>
        </is>
      </c>
      <c r="B1495" s="10" t="inlineStr">
        <is>
          <t>SO63709</t>
        </is>
      </c>
      <c r="C1495" s="10" t="inlineStr">
        <is>
          <t>C12239</t>
        </is>
      </c>
      <c r="D1495" s="10">
        <f>INDEX(Customers!$B:$B,MATCH(C1495,Customers!$A:$A,0))</f>
        <v/>
      </c>
      <c r="E1495" s="10">
        <f>INDEX(Customers!$D:$D,MATCH(C1495,Customers!$A:$A,0))</f>
        <v/>
      </c>
      <c r="F1495" s="10" t="inlineStr">
        <is>
          <t>Carrier B</t>
        </is>
      </c>
      <c r="G1495" s="5" t="n">
        <v>46286</v>
      </c>
      <c r="H1495" s="5" t="n">
        <v>46287</v>
      </c>
      <c r="I1495" s="5" t="n">
        <v>46287</v>
      </c>
      <c r="J1495" s="10" t="inlineStr">
        <is>
          <t>14:10</t>
        </is>
      </c>
      <c r="K1495" s="10" t="inlineStr">
        <is>
          <t>On time</t>
        </is>
      </c>
      <c r="L1495" s="6" t="n">
        <v>0</v>
      </c>
      <c r="M1495" s="10" t="n"/>
      <c r="N1495" s="6" t="n">
        <v>24</v>
      </c>
      <c r="O1495" s="6" t="n">
        <v>2280</v>
      </c>
      <c r="P1495" s="6" t="n">
        <v>1</v>
      </c>
      <c r="Q1495" s="6">
        <f>IF(OR(K1495="On time",K1495="Late",K1495="Very late"),1,0)</f>
        <v/>
      </c>
    </row>
    <row r="1496">
      <c r="A1496" s="10" t="inlineStr">
        <is>
          <t>DN319736</t>
        </is>
      </c>
      <c r="B1496" s="10" t="inlineStr">
        <is>
          <t>SO63711</t>
        </is>
      </c>
      <c r="C1496" s="10" t="inlineStr">
        <is>
          <t>C12305</t>
        </is>
      </c>
      <c r="D1496" s="10">
        <f>INDEX(Customers!$B:$B,MATCH(C1496,Customers!$A:$A,0))</f>
        <v/>
      </c>
      <c r="E1496" s="10">
        <f>INDEX(Customers!$D:$D,MATCH(C1496,Customers!$A:$A,0))</f>
        <v/>
      </c>
      <c r="F1496" s="10" t="inlineStr">
        <is>
          <t>Carrier B</t>
        </is>
      </c>
      <c r="G1496" s="5" t="n">
        <v>46286</v>
      </c>
      <c r="H1496" s="5" t="n">
        <v>46287</v>
      </c>
      <c r="I1496" s="5" t="n">
        <v>46287</v>
      </c>
      <c r="J1496" s="10" t="inlineStr">
        <is>
          <t>07:10</t>
        </is>
      </c>
      <c r="K1496" s="10" t="inlineStr">
        <is>
          <t>On time</t>
        </is>
      </c>
      <c r="L1496" s="6" t="n">
        <v>0</v>
      </c>
      <c r="M1496" s="10" t="n"/>
      <c r="N1496" s="6" t="n">
        <v>38</v>
      </c>
      <c r="O1496" s="6" t="n">
        <v>2888</v>
      </c>
      <c r="P1496" s="6" t="n">
        <v>1</v>
      </c>
      <c r="Q1496" s="6">
        <f>IF(OR(K1496="On time",K1496="Late",K1496="Very late"),1,0)</f>
        <v/>
      </c>
    </row>
    <row r="1497">
      <c r="A1497" s="10" t="inlineStr">
        <is>
          <t>DN319737</t>
        </is>
      </c>
      <c r="B1497" s="10" t="inlineStr">
        <is>
          <t>SO63712</t>
        </is>
      </c>
      <c r="C1497" s="10" t="inlineStr">
        <is>
          <t>C12365</t>
        </is>
      </c>
      <c r="D1497" s="10">
        <f>INDEX(Customers!$B:$B,MATCH(C1497,Customers!$A:$A,0))</f>
        <v/>
      </c>
      <c r="E1497" s="10">
        <f>INDEX(Customers!$D:$D,MATCH(C1497,Customers!$A:$A,0))</f>
        <v/>
      </c>
      <c r="F1497" s="10" t="inlineStr">
        <is>
          <t>Carrier B</t>
        </is>
      </c>
      <c r="G1497" s="5" t="n">
        <v>46286</v>
      </c>
      <c r="H1497" s="5" t="n">
        <v>46287</v>
      </c>
      <c r="I1497" s="5" t="n">
        <v>46287</v>
      </c>
      <c r="J1497" s="10" t="inlineStr">
        <is>
          <t>11:50</t>
        </is>
      </c>
      <c r="K1497" s="10" t="inlineStr">
        <is>
          <t>On time</t>
        </is>
      </c>
      <c r="L1497" s="6" t="n">
        <v>0</v>
      </c>
      <c r="M1497" s="10" t="n"/>
      <c r="N1497" s="6" t="n">
        <v>14</v>
      </c>
      <c r="O1497" s="6" t="n">
        <v>1498</v>
      </c>
      <c r="P1497" s="6" t="n">
        <v>1</v>
      </c>
      <c r="Q1497" s="6">
        <f>IF(OR(K1497="On time",K1497="Late",K1497="Very late"),1,0)</f>
        <v/>
      </c>
    </row>
    <row r="1498">
      <c r="A1498" s="10" t="inlineStr">
        <is>
          <t>DN319738</t>
        </is>
      </c>
      <c r="B1498" s="10" t="inlineStr">
        <is>
          <t>SO63714</t>
        </is>
      </c>
      <c r="C1498" s="10" t="inlineStr">
        <is>
          <t>C12371</t>
        </is>
      </c>
      <c r="D1498" s="10">
        <f>INDEX(Customers!$B:$B,MATCH(C1498,Customers!$A:$A,0))</f>
        <v/>
      </c>
      <c r="E1498" s="10">
        <f>INDEX(Customers!$D:$D,MATCH(C1498,Customers!$A:$A,0))</f>
        <v/>
      </c>
      <c r="F1498" s="10" t="inlineStr">
        <is>
          <t>Carrier A</t>
        </is>
      </c>
      <c r="G1498" s="5" t="n">
        <v>46286</v>
      </c>
      <c r="H1498" s="5" t="n">
        <v>46287</v>
      </c>
      <c r="I1498" s="5" t="n">
        <v>46288</v>
      </c>
      <c r="J1498" s="10" t="inlineStr">
        <is>
          <t>11:10</t>
        </is>
      </c>
      <c r="K1498" s="10" t="inlineStr">
        <is>
          <t>Late</t>
        </is>
      </c>
      <c r="L1498" s="6" t="n">
        <v>1</v>
      </c>
      <c r="M1498" s="10" t="inlineStr">
        <is>
          <t>Carrier delay</t>
        </is>
      </c>
      <c r="N1498" s="6" t="n">
        <v>30</v>
      </c>
      <c r="O1498" s="6" t="n">
        <v>2730</v>
      </c>
      <c r="P1498" s="6" t="n">
        <v>1</v>
      </c>
      <c r="Q1498" s="6">
        <f>IF(OR(K1498="On time",K1498="Late",K1498="Very late"),1,0)</f>
        <v/>
      </c>
    </row>
    <row r="1499">
      <c r="A1499" s="10" t="inlineStr">
        <is>
          <t>DN319739</t>
        </is>
      </c>
      <c r="B1499" s="10" t="inlineStr">
        <is>
          <t>SO63715</t>
        </is>
      </c>
      <c r="C1499" s="10" t="inlineStr">
        <is>
          <t>C12389</t>
        </is>
      </c>
      <c r="D1499" s="10">
        <f>INDEX(Customers!$B:$B,MATCH(C1499,Customers!$A:$A,0))</f>
        <v/>
      </c>
      <c r="E1499" s="10">
        <f>INDEX(Customers!$D:$D,MATCH(C1499,Customers!$A:$A,0))</f>
        <v/>
      </c>
      <c r="F1499" s="10" t="inlineStr">
        <is>
          <t>Carrier A</t>
        </is>
      </c>
      <c r="G1499" s="5" t="n">
        <v>46286</v>
      </c>
      <c r="H1499" s="5" t="n">
        <v>46287</v>
      </c>
      <c r="I1499" s="5" t="n">
        <v>46287</v>
      </c>
      <c r="J1499" s="10" t="inlineStr">
        <is>
          <t>07:50</t>
        </is>
      </c>
      <c r="K1499" s="10" t="inlineStr">
        <is>
          <t>On time</t>
        </is>
      </c>
      <c r="L1499" s="6" t="n">
        <v>0</v>
      </c>
      <c r="M1499" s="10" t="n"/>
      <c r="N1499" s="6" t="n">
        <v>18</v>
      </c>
      <c r="O1499" s="6" t="n">
        <v>2376</v>
      </c>
      <c r="P1499" s="6" t="n">
        <v>1</v>
      </c>
      <c r="Q1499" s="6">
        <f>IF(OR(K1499="On time",K1499="Late",K1499="Very late"),1,0)</f>
        <v/>
      </c>
    </row>
    <row r="1500">
      <c r="A1500" s="10" t="inlineStr">
        <is>
          <t>DN319740</t>
        </is>
      </c>
      <c r="B1500" s="10" t="inlineStr">
        <is>
          <t>SO63717</t>
        </is>
      </c>
      <c r="C1500" s="10" t="inlineStr">
        <is>
          <t>C12420</t>
        </is>
      </c>
      <c r="D1500" s="10">
        <f>INDEX(Customers!$B:$B,MATCH(C1500,Customers!$A:$A,0))</f>
        <v/>
      </c>
      <c r="E1500" s="10">
        <f>INDEX(Customers!$D:$D,MATCH(C1500,Customers!$A:$A,0))</f>
        <v/>
      </c>
      <c r="F1500" s="10" t="inlineStr">
        <is>
          <t>Carrier A</t>
        </is>
      </c>
      <c r="G1500" s="5" t="n">
        <v>46286</v>
      </c>
      <c r="H1500" s="5" t="n">
        <v>46287</v>
      </c>
      <c r="I1500" s="5" t="n">
        <v>46287</v>
      </c>
      <c r="J1500" s="10" t="inlineStr">
        <is>
          <t>11:00</t>
        </is>
      </c>
      <c r="K1500" s="10" t="inlineStr">
        <is>
          <t>On time</t>
        </is>
      </c>
      <c r="L1500" s="6" t="n">
        <v>0</v>
      </c>
      <c r="M1500" s="10" t="n"/>
      <c r="N1500" s="6" t="n">
        <v>9</v>
      </c>
      <c r="O1500" s="6" t="n">
        <v>612</v>
      </c>
      <c r="P1500" s="6" t="n">
        <v>1</v>
      </c>
      <c r="Q1500" s="6">
        <f>IF(OR(K1500="On time",K1500="Late",K1500="Very late"),1,0)</f>
        <v/>
      </c>
    </row>
    <row r="1501">
      <c r="A1501" s="10" t="inlineStr">
        <is>
          <t>DN319741</t>
        </is>
      </c>
      <c r="B1501" s="10" t="inlineStr">
        <is>
          <t>SO63719</t>
        </is>
      </c>
      <c r="C1501" s="10" t="inlineStr">
        <is>
          <t>C12490</t>
        </is>
      </c>
      <c r="D1501" s="10">
        <f>INDEX(Customers!$B:$B,MATCH(C1501,Customers!$A:$A,0))</f>
        <v/>
      </c>
      <c r="E1501" s="10">
        <f>INDEX(Customers!$D:$D,MATCH(C1501,Customers!$A:$A,0))</f>
        <v/>
      </c>
      <c r="F1501" s="10" t="inlineStr">
        <is>
          <t>Carrier A</t>
        </is>
      </c>
      <c r="G1501" s="5" t="n">
        <v>46286</v>
      </c>
      <c r="H1501" s="5" t="n">
        <v>46287</v>
      </c>
      <c r="I1501" s="5" t="n">
        <v>46287</v>
      </c>
      <c r="J1501" s="10" t="inlineStr">
        <is>
          <t>15:50</t>
        </is>
      </c>
      <c r="K1501" s="10" t="inlineStr">
        <is>
          <t>On time</t>
        </is>
      </c>
      <c r="L1501" s="6" t="n">
        <v>0</v>
      </c>
      <c r="M1501" s="10" t="n"/>
      <c r="N1501" s="6" t="n">
        <v>2</v>
      </c>
      <c r="O1501" s="6" t="n">
        <v>268</v>
      </c>
      <c r="P1501" s="6" t="n">
        <v>1</v>
      </c>
      <c r="Q1501" s="6">
        <f>IF(OR(K1501="On time",K1501="Late",K1501="Very late"),1,0)</f>
        <v/>
      </c>
    </row>
    <row r="1502">
      <c r="A1502" s="10" t="inlineStr">
        <is>
          <t>DN319742</t>
        </is>
      </c>
      <c r="B1502" s="10" t="inlineStr">
        <is>
          <t>SO63720</t>
        </is>
      </c>
      <c r="C1502" s="10" t="inlineStr">
        <is>
          <t>C12543</t>
        </is>
      </c>
      <c r="D1502" s="10">
        <f>INDEX(Customers!$B:$B,MATCH(C1502,Customers!$A:$A,0))</f>
        <v/>
      </c>
      <c r="E1502" s="10">
        <f>INDEX(Customers!$D:$D,MATCH(C1502,Customers!$A:$A,0))</f>
        <v/>
      </c>
      <c r="F1502" s="10" t="inlineStr">
        <is>
          <t>Carrier B</t>
        </is>
      </c>
      <c r="G1502" s="5" t="n">
        <v>46283</v>
      </c>
      <c r="H1502" s="5" t="n">
        <v>46287</v>
      </c>
      <c r="I1502" s="5" t="n">
        <v>46287</v>
      </c>
      <c r="J1502" s="10" t="inlineStr">
        <is>
          <t>13:50</t>
        </is>
      </c>
      <c r="K1502" s="10" t="inlineStr">
        <is>
          <t>On time</t>
        </is>
      </c>
      <c r="L1502" s="6" t="n">
        <v>0</v>
      </c>
      <c r="M1502" s="10" t="n"/>
      <c r="N1502" s="6" t="n">
        <v>36</v>
      </c>
      <c r="O1502" s="6" t="n">
        <v>4572</v>
      </c>
      <c r="P1502" s="6" t="n">
        <v>1</v>
      </c>
      <c r="Q1502" s="6">
        <f>IF(OR(K1502="On time",K1502="Late",K1502="Very late"),1,0)</f>
        <v/>
      </c>
    </row>
    <row r="1503">
      <c r="A1503" s="10" t="inlineStr">
        <is>
          <t>DN319743</t>
        </is>
      </c>
      <c r="B1503" s="10" t="inlineStr">
        <is>
          <t>SO63721</t>
        </is>
      </c>
      <c r="C1503" s="10" t="inlineStr">
        <is>
          <t>C12617</t>
        </is>
      </c>
      <c r="D1503" s="10">
        <f>INDEX(Customers!$B:$B,MATCH(C1503,Customers!$A:$A,0))</f>
        <v/>
      </c>
      <c r="E1503" s="10">
        <f>INDEX(Customers!$D:$D,MATCH(C1503,Customers!$A:$A,0))</f>
        <v/>
      </c>
      <c r="F1503" s="10" t="inlineStr">
        <is>
          <t>Carrier B</t>
        </is>
      </c>
      <c r="G1503" s="5" t="n">
        <v>46283</v>
      </c>
      <c r="H1503" s="5" t="n">
        <v>46287</v>
      </c>
      <c r="I1503" s="5" t="n">
        <v>46287</v>
      </c>
      <c r="J1503" s="10" t="inlineStr">
        <is>
          <t>12:40</t>
        </is>
      </c>
      <c r="K1503" s="10" t="inlineStr">
        <is>
          <t>On time</t>
        </is>
      </c>
      <c r="L1503" s="6" t="n">
        <v>0</v>
      </c>
      <c r="M1503" s="10" t="n"/>
      <c r="N1503" s="6" t="n">
        <v>13</v>
      </c>
      <c r="O1503" s="6" t="n">
        <v>845</v>
      </c>
      <c r="P1503" s="6" t="n">
        <v>1</v>
      </c>
      <c r="Q1503" s="6">
        <f>IF(OR(K1503="On time",K1503="Late",K1503="Very late"),1,0)</f>
        <v/>
      </c>
    </row>
    <row r="1504">
      <c r="A1504" s="10" t="inlineStr">
        <is>
          <t>DN319744</t>
        </is>
      </c>
      <c r="B1504" s="10" t="inlineStr">
        <is>
          <t>SO63722</t>
        </is>
      </c>
      <c r="C1504" s="10" t="inlineStr">
        <is>
          <t>C12631</t>
        </is>
      </c>
      <c r="D1504" s="10">
        <f>INDEX(Customers!$B:$B,MATCH(C1504,Customers!$A:$A,0))</f>
        <v/>
      </c>
      <c r="E1504" s="10">
        <f>INDEX(Customers!$D:$D,MATCH(C1504,Customers!$A:$A,0))</f>
        <v/>
      </c>
      <c r="F1504" s="10" t="inlineStr">
        <is>
          <t>Carrier B</t>
        </is>
      </c>
      <c r="G1504" s="5" t="n">
        <v>46283</v>
      </c>
      <c r="H1504" s="5" t="n">
        <v>46287</v>
      </c>
      <c r="I1504" s="5" t="n">
        <v>46287</v>
      </c>
      <c r="J1504" s="10" t="inlineStr">
        <is>
          <t>15:40</t>
        </is>
      </c>
      <c r="K1504" s="10" t="inlineStr">
        <is>
          <t>On time</t>
        </is>
      </c>
      <c r="L1504" s="6" t="n">
        <v>0</v>
      </c>
      <c r="M1504" s="10" t="n"/>
      <c r="N1504" s="6" t="n">
        <v>23</v>
      </c>
      <c r="O1504" s="6" t="n">
        <v>1771</v>
      </c>
      <c r="P1504" s="6" t="n">
        <v>1</v>
      </c>
      <c r="Q1504" s="6">
        <f>IF(OR(K1504="On time",K1504="Late",K1504="Very late"),1,0)</f>
        <v/>
      </c>
    </row>
    <row r="1505">
      <c r="A1505" s="10" t="inlineStr">
        <is>
          <t>DN319745</t>
        </is>
      </c>
      <c r="B1505" s="10" t="inlineStr">
        <is>
          <t>SO63723</t>
        </is>
      </c>
      <c r="C1505" s="10" t="inlineStr">
        <is>
          <t>C12639</t>
        </is>
      </c>
      <c r="D1505" s="10">
        <f>INDEX(Customers!$B:$B,MATCH(C1505,Customers!$A:$A,0))</f>
        <v/>
      </c>
      <c r="E1505" s="10">
        <f>INDEX(Customers!$D:$D,MATCH(C1505,Customers!$A:$A,0))</f>
        <v/>
      </c>
      <c r="F1505" s="10" t="inlineStr">
        <is>
          <t>Carrier B</t>
        </is>
      </c>
      <c r="G1505" s="5" t="n">
        <v>46283</v>
      </c>
      <c r="H1505" s="5" t="n">
        <v>46287</v>
      </c>
      <c r="I1505" s="5" t="n">
        <v>46287</v>
      </c>
      <c r="J1505" s="10" t="inlineStr">
        <is>
          <t>10:00</t>
        </is>
      </c>
      <c r="K1505" s="10" t="inlineStr">
        <is>
          <t>On time</t>
        </is>
      </c>
      <c r="L1505" s="6" t="n">
        <v>0</v>
      </c>
      <c r="M1505" s="10" t="n"/>
      <c r="N1505" s="6" t="n">
        <v>30</v>
      </c>
      <c r="O1505" s="6" t="n">
        <v>2100</v>
      </c>
      <c r="P1505" s="6" t="n">
        <v>1</v>
      </c>
      <c r="Q1505" s="6">
        <f>IF(OR(K1505="On time",K1505="Late",K1505="Very late"),1,0)</f>
        <v/>
      </c>
    </row>
    <row r="1506">
      <c r="A1506" s="10" t="inlineStr">
        <is>
          <t>DN319746</t>
        </is>
      </c>
      <c r="B1506" s="10" t="inlineStr">
        <is>
          <t>SO63724</t>
        </is>
      </c>
      <c r="C1506" s="10" t="inlineStr">
        <is>
          <t>C10322</t>
        </is>
      </c>
      <c r="D1506" s="10">
        <f>INDEX(Customers!$B:$B,MATCH(C1506,Customers!$A:$A,0))</f>
        <v/>
      </c>
      <c r="E1506" s="10">
        <f>INDEX(Customers!$D:$D,MATCH(C1506,Customers!$A:$A,0))</f>
        <v/>
      </c>
      <c r="F1506" s="10" t="inlineStr">
        <is>
          <t>Own trucks</t>
        </is>
      </c>
      <c r="G1506" s="5" t="n">
        <v>46287</v>
      </c>
      <c r="H1506" s="5" t="n">
        <v>46288</v>
      </c>
      <c r="I1506" s="5" t="n">
        <v>46288</v>
      </c>
      <c r="J1506" s="10" t="inlineStr">
        <is>
          <t>10:20</t>
        </is>
      </c>
      <c r="K1506" s="10" t="inlineStr">
        <is>
          <t>On time</t>
        </is>
      </c>
      <c r="L1506" s="6" t="n">
        <v>0</v>
      </c>
      <c r="M1506" s="10" t="n"/>
      <c r="N1506" s="6" t="n">
        <v>16</v>
      </c>
      <c r="O1506" s="6" t="n">
        <v>1152</v>
      </c>
      <c r="P1506" s="6" t="n">
        <v>1</v>
      </c>
      <c r="Q1506" s="6">
        <f>IF(OR(K1506="On time",K1506="Late",K1506="Very late"),1,0)</f>
        <v/>
      </c>
    </row>
    <row r="1507">
      <c r="A1507" s="10" t="inlineStr">
        <is>
          <t>DN319747</t>
        </is>
      </c>
      <c r="B1507" s="10" t="inlineStr">
        <is>
          <t>SO63725</t>
        </is>
      </c>
      <c r="C1507" s="10" t="inlineStr">
        <is>
          <t>C10343</t>
        </is>
      </c>
      <c r="D1507" s="10">
        <f>INDEX(Customers!$B:$B,MATCH(C1507,Customers!$A:$A,0))</f>
        <v/>
      </c>
      <c r="E1507" s="10">
        <f>INDEX(Customers!$D:$D,MATCH(C1507,Customers!$A:$A,0))</f>
        <v/>
      </c>
      <c r="F1507" s="10" t="inlineStr">
        <is>
          <t>Own trucks</t>
        </is>
      </c>
      <c r="G1507" s="5" t="n">
        <v>46287</v>
      </c>
      <c r="H1507" s="5" t="n">
        <v>46288</v>
      </c>
      <c r="I1507" s="5" t="n">
        <v>46288</v>
      </c>
      <c r="J1507" s="10" t="inlineStr">
        <is>
          <t>12:20</t>
        </is>
      </c>
      <c r="K1507" s="10" t="inlineStr">
        <is>
          <t>On time</t>
        </is>
      </c>
      <c r="L1507" s="6" t="n">
        <v>0</v>
      </c>
      <c r="M1507" s="10" t="n"/>
      <c r="N1507" s="6" t="n">
        <v>3</v>
      </c>
      <c r="O1507" s="6" t="n">
        <v>216</v>
      </c>
      <c r="P1507" s="6" t="n">
        <v>1</v>
      </c>
      <c r="Q1507" s="6">
        <f>IF(OR(K1507="On time",K1507="Late",K1507="Very late"),1,0)</f>
        <v/>
      </c>
    </row>
    <row r="1508">
      <c r="A1508" s="10" t="inlineStr">
        <is>
          <t>DN319748</t>
        </is>
      </c>
      <c r="B1508" s="10" t="inlineStr">
        <is>
          <t>SO63726</t>
        </is>
      </c>
      <c r="C1508" s="10" t="inlineStr">
        <is>
          <t>C10413</t>
        </is>
      </c>
      <c r="D1508" s="10">
        <f>INDEX(Customers!$B:$B,MATCH(C1508,Customers!$A:$A,0))</f>
        <v/>
      </c>
      <c r="E1508" s="10">
        <f>INDEX(Customers!$D:$D,MATCH(C1508,Customers!$A:$A,0))</f>
        <v/>
      </c>
      <c r="F1508" s="10" t="inlineStr">
        <is>
          <t>Own trucks</t>
        </is>
      </c>
      <c r="G1508" s="5" t="n">
        <v>46287</v>
      </c>
      <c r="H1508" s="5" t="n">
        <v>46288</v>
      </c>
      <c r="I1508" s="5" t="n">
        <v>46288</v>
      </c>
      <c r="J1508" s="10" t="inlineStr">
        <is>
          <t>12:10</t>
        </is>
      </c>
      <c r="K1508" s="10" t="inlineStr">
        <is>
          <t>On time</t>
        </is>
      </c>
      <c r="L1508" s="6" t="n">
        <v>0</v>
      </c>
      <c r="M1508" s="10" t="n"/>
      <c r="N1508" s="6" t="n">
        <v>14</v>
      </c>
      <c r="O1508" s="6" t="n">
        <v>1610</v>
      </c>
      <c r="P1508" s="6" t="n">
        <v>1</v>
      </c>
      <c r="Q1508" s="6">
        <f>IF(OR(K1508="On time",K1508="Late",K1508="Very late"),1,0)</f>
        <v/>
      </c>
    </row>
    <row r="1509">
      <c r="A1509" s="10" t="inlineStr">
        <is>
          <t>DN319749</t>
        </is>
      </c>
      <c r="B1509" s="10" t="inlineStr">
        <is>
          <t>SO63727</t>
        </is>
      </c>
      <c r="C1509" s="10" t="inlineStr">
        <is>
          <t>C10446</t>
        </is>
      </c>
      <c r="D1509" s="10">
        <f>INDEX(Customers!$B:$B,MATCH(C1509,Customers!$A:$A,0))</f>
        <v/>
      </c>
      <c r="E1509" s="10">
        <f>INDEX(Customers!$D:$D,MATCH(C1509,Customers!$A:$A,0))</f>
        <v/>
      </c>
      <c r="F1509" s="10" t="inlineStr">
        <is>
          <t>Own trucks</t>
        </is>
      </c>
      <c r="G1509" s="5" t="n">
        <v>46287</v>
      </c>
      <c r="H1509" s="5" t="n">
        <v>46288</v>
      </c>
      <c r="I1509" s="5" t="n">
        <v>46288</v>
      </c>
      <c r="J1509" s="10" t="inlineStr">
        <is>
          <t>15:50</t>
        </is>
      </c>
      <c r="K1509" s="10" t="inlineStr">
        <is>
          <t>On time</t>
        </is>
      </c>
      <c r="L1509" s="6" t="n">
        <v>0</v>
      </c>
      <c r="M1509" s="10" t="n"/>
      <c r="N1509" s="6" t="n">
        <v>26</v>
      </c>
      <c r="O1509" s="6" t="n">
        <v>2886</v>
      </c>
      <c r="P1509" s="6" t="n">
        <v>1</v>
      </c>
      <c r="Q1509" s="6">
        <f>IF(OR(K1509="On time",K1509="Late",K1509="Very late"),1,0)</f>
        <v/>
      </c>
    </row>
    <row r="1510">
      <c r="A1510" s="10" t="inlineStr">
        <is>
          <t>DN319750</t>
        </is>
      </c>
      <c r="B1510" s="10" t="inlineStr">
        <is>
          <t>SO63728</t>
        </is>
      </c>
      <c r="C1510" s="10" t="inlineStr">
        <is>
          <t>C10522</t>
        </is>
      </c>
      <c r="D1510" s="10">
        <f>INDEX(Customers!$B:$B,MATCH(C1510,Customers!$A:$A,0))</f>
        <v/>
      </c>
      <c r="E1510" s="10">
        <f>INDEX(Customers!$D:$D,MATCH(C1510,Customers!$A:$A,0))</f>
        <v/>
      </c>
      <c r="F1510" s="10" t="inlineStr">
        <is>
          <t>Own trucks</t>
        </is>
      </c>
      <c r="G1510" s="5" t="n">
        <v>46287</v>
      </c>
      <c r="H1510" s="5" t="n">
        <v>46288</v>
      </c>
      <c r="I1510" s="5" t="n">
        <v>46288</v>
      </c>
      <c r="J1510" s="10" t="inlineStr">
        <is>
          <t>16:10</t>
        </is>
      </c>
      <c r="K1510" s="10" t="inlineStr">
        <is>
          <t>On time</t>
        </is>
      </c>
      <c r="L1510" s="6" t="n">
        <v>0</v>
      </c>
      <c r="M1510" s="10" t="n"/>
      <c r="N1510" s="6" t="n">
        <v>21</v>
      </c>
      <c r="O1510" s="6" t="n">
        <v>2772</v>
      </c>
      <c r="P1510" s="6" t="n">
        <v>1</v>
      </c>
      <c r="Q1510" s="6">
        <f>IF(OR(K1510="On time",K1510="Late",K1510="Very late"),1,0)</f>
        <v/>
      </c>
    </row>
    <row r="1511">
      <c r="A1511" s="10" t="inlineStr">
        <is>
          <t>DN319751</t>
        </is>
      </c>
      <c r="B1511" s="10" t="inlineStr">
        <is>
          <t>SO63729</t>
        </is>
      </c>
      <c r="C1511" s="10" t="inlineStr">
        <is>
          <t>C10536</t>
        </is>
      </c>
      <c r="D1511" s="10">
        <f>INDEX(Customers!$B:$B,MATCH(C1511,Customers!$A:$A,0))</f>
        <v/>
      </c>
      <c r="E1511" s="10">
        <f>INDEX(Customers!$D:$D,MATCH(C1511,Customers!$A:$A,0))</f>
        <v/>
      </c>
      <c r="F1511" s="10" t="inlineStr">
        <is>
          <t>Own trucks</t>
        </is>
      </c>
      <c r="G1511" s="5" t="n">
        <v>46287</v>
      </c>
      <c r="H1511" s="5" t="n">
        <v>46288</v>
      </c>
      <c r="I1511" s="5" t="n">
        <v>46288</v>
      </c>
      <c r="J1511" s="10" t="inlineStr">
        <is>
          <t>16:40</t>
        </is>
      </c>
      <c r="K1511" s="10" t="inlineStr">
        <is>
          <t>On time</t>
        </is>
      </c>
      <c r="L1511" s="6" t="n">
        <v>0</v>
      </c>
      <c r="M1511" s="10" t="n"/>
      <c r="N1511" s="6" t="n">
        <v>6</v>
      </c>
      <c r="O1511" s="6" t="n">
        <v>582</v>
      </c>
      <c r="P1511" s="6" t="n">
        <v>1</v>
      </c>
      <c r="Q1511" s="6">
        <f>IF(OR(K1511="On time",K1511="Late",K1511="Very late"),1,0)</f>
        <v/>
      </c>
    </row>
    <row r="1512">
      <c r="A1512" s="10" t="inlineStr">
        <is>
          <t>DN319752</t>
        </is>
      </c>
      <c r="B1512" s="10" t="inlineStr">
        <is>
          <t>SO63730</t>
        </is>
      </c>
      <c r="C1512" s="10" t="inlineStr">
        <is>
          <t>C10622</t>
        </is>
      </c>
      <c r="D1512" s="10">
        <f>INDEX(Customers!$B:$B,MATCH(C1512,Customers!$A:$A,0))</f>
        <v/>
      </c>
      <c r="E1512" s="10">
        <f>INDEX(Customers!$D:$D,MATCH(C1512,Customers!$A:$A,0))</f>
        <v/>
      </c>
      <c r="F1512" s="10" t="inlineStr">
        <is>
          <t>Own trucks</t>
        </is>
      </c>
      <c r="G1512" s="5" t="n">
        <v>46287</v>
      </c>
      <c r="H1512" s="5" t="n">
        <v>46288</v>
      </c>
      <c r="I1512" s="5" t="n">
        <v>46288</v>
      </c>
      <c r="J1512" s="10" t="inlineStr">
        <is>
          <t>09:30</t>
        </is>
      </c>
      <c r="K1512" s="10" t="inlineStr">
        <is>
          <t>On time</t>
        </is>
      </c>
      <c r="L1512" s="6" t="n">
        <v>0</v>
      </c>
      <c r="M1512" s="10" t="n"/>
      <c r="N1512" s="6" t="n">
        <v>16</v>
      </c>
      <c r="O1512" s="6" t="n">
        <v>1984</v>
      </c>
      <c r="P1512" s="6" t="n">
        <v>1</v>
      </c>
      <c r="Q1512" s="6">
        <f>IF(OR(K1512="On time",K1512="Late",K1512="Very late"),1,0)</f>
        <v/>
      </c>
    </row>
    <row r="1513">
      <c r="A1513" s="10" t="inlineStr">
        <is>
          <t>DN319753</t>
        </is>
      </c>
      <c r="B1513" s="10" t="inlineStr">
        <is>
          <t>SO63732</t>
        </is>
      </c>
      <c r="C1513" s="10" t="inlineStr">
        <is>
          <t>C10648</t>
        </is>
      </c>
      <c r="D1513" s="10">
        <f>INDEX(Customers!$B:$B,MATCH(C1513,Customers!$A:$A,0))</f>
        <v/>
      </c>
      <c r="E1513" s="10">
        <f>INDEX(Customers!$D:$D,MATCH(C1513,Customers!$A:$A,0))</f>
        <v/>
      </c>
      <c r="F1513" s="10" t="inlineStr">
        <is>
          <t>Own trucks</t>
        </is>
      </c>
      <c r="G1513" s="5" t="n">
        <v>46287</v>
      </c>
      <c r="H1513" s="5" t="n">
        <v>46288</v>
      </c>
      <c r="I1513" s="5" t="n">
        <v>46288</v>
      </c>
      <c r="J1513" s="10" t="inlineStr">
        <is>
          <t>14:50</t>
        </is>
      </c>
      <c r="K1513" s="10" t="inlineStr">
        <is>
          <t>On time</t>
        </is>
      </c>
      <c r="L1513" s="6" t="n">
        <v>0</v>
      </c>
      <c r="M1513" s="10" t="n"/>
      <c r="N1513" s="6" t="n">
        <v>7</v>
      </c>
      <c r="O1513" s="6" t="n">
        <v>798</v>
      </c>
      <c r="P1513" s="6" t="n">
        <v>1</v>
      </c>
      <c r="Q1513" s="6">
        <f>IF(OR(K1513="On time",K1513="Late",K1513="Very late"),1,0)</f>
        <v/>
      </c>
    </row>
    <row r="1514">
      <c r="A1514" s="10" t="inlineStr">
        <is>
          <t>DN319754</t>
        </is>
      </c>
      <c r="B1514" s="10" t="inlineStr">
        <is>
          <t>SO63734</t>
        </is>
      </c>
      <c r="C1514" s="10" t="inlineStr">
        <is>
          <t>C10676</t>
        </is>
      </c>
      <c r="D1514" s="10">
        <f>INDEX(Customers!$B:$B,MATCH(C1514,Customers!$A:$A,0))</f>
        <v/>
      </c>
      <c r="E1514" s="10">
        <f>INDEX(Customers!$D:$D,MATCH(C1514,Customers!$A:$A,0))</f>
        <v/>
      </c>
      <c r="F1514" s="10" t="inlineStr">
        <is>
          <t>Own trucks</t>
        </is>
      </c>
      <c r="G1514" s="5" t="n">
        <v>46287</v>
      </c>
      <c r="H1514" s="5" t="n">
        <v>46288</v>
      </c>
      <c r="I1514" s="5" t="n">
        <v>46288</v>
      </c>
      <c r="J1514" s="10" t="inlineStr">
        <is>
          <t>15:00</t>
        </is>
      </c>
      <c r="K1514" s="10" t="inlineStr">
        <is>
          <t>On time</t>
        </is>
      </c>
      <c r="L1514" s="6" t="n">
        <v>0</v>
      </c>
      <c r="M1514" s="10" t="n"/>
      <c r="N1514" s="6" t="n">
        <v>12</v>
      </c>
      <c r="O1514" s="6" t="n">
        <v>768</v>
      </c>
      <c r="P1514" s="6" t="n">
        <v>1</v>
      </c>
      <c r="Q1514" s="6">
        <f>IF(OR(K1514="On time",K1514="Late",K1514="Very late"),1,0)</f>
        <v/>
      </c>
    </row>
    <row r="1515">
      <c r="A1515" s="10" t="inlineStr">
        <is>
          <t>DN319755</t>
        </is>
      </c>
      <c r="B1515" s="10" t="inlineStr">
        <is>
          <t>SO63735</t>
        </is>
      </c>
      <c r="C1515" s="10" t="inlineStr">
        <is>
          <t>C10684</t>
        </is>
      </c>
      <c r="D1515" s="10">
        <f>INDEX(Customers!$B:$B,MATCH(C1515,Customers!$A:$A,0))</f>
        <v/>
      </c>
      <c r="E1515" s="10">
        <f>INDEX(Customers!$D:$D,MATCH(C1515,Customers!$A:$A,0))</f>
        <v/>
      </c>
      <c r="F1515" s="10" t="inlineStr">
        <is>
          <t>Own trucks</t>
        </is>
      </c>
      <c r="G1515" s="5" t="n">
        <v>46287</v>
      </c>
      <c r="H1515" s="5" t="n">
        <v>46288</v>
      </c>
      <c r="I1515" s="5" t="n">
        <v>46288</v>
      </c>
      <c r="J1515" s="10" t="inlineStr">
        <is>
          <t>14:40</t>
        </is>
      </c>
      <c r="K1515" s="10" t="inlineStr">
        <is>
          <t>On time</t>
        </is>
      </c>
      <c r="L1515" s="6" t="n">
        <v>0</v>
      </c>
      <c r="M1515" s="10" t="n"/>
      <c r="N1515" s="6" t="n">
        <v>40</v>
      </c>
      <c r="O1515" s="6" t="n">
        <v>5400</v>
      </c>
      <c r="P1515" s="6" t="n">
        <v>1</v>
      </c>
      <c r="Q1515" s="6">
        <f>IF(OR(K1515="On time",K1515="Late",K1515="Very late"),1,0)</f>
        <v/>
      </c>
    </row>
    <row r="1516">
      <c r="A1516" s="10" t="inlineStr">
        <is>
          <t>DN319756</t>
        </is>
      </c>
      <c r="B1516" s="10" t="inlineStr">
        <is>
          <t>SO63736</t>
        </is>
      </c>
      <c r="C1516" s="10" t="inlineStr">
        <is>
          <t>C10689</t>
        </is>
      </c>
      <c r="D1516" s="10">
        <f>INDEX(Customers!$B:$B,MATCH(C1516,Customers!$A:$A,0))</f>
        <v/>
      </c>
      <c r="E1516" s="10">
        <f>INDEX(Customers!$D:$D,MATCH(C1516,Customers!$A:$A,0))</f>
        <v/>
      </c>
      <c r="F1516" s="10" t="inlineStr">
        <is>
          <t>Own trucks</t>
        </is>
      </c>
      <c r="G1516" s="5" t="n">
        <v>46287</v>
      </c>
      <c r="H1516" s="5" t="n">
        <v>46288</v>
      </c>
      <c r="I1516" s="5" t="n">
        <v>46288</v>
      </c>
      <c r="J1516" s="10" t="inlineStr">
        <is>
          <t>14:20</t>
        </is>
      </c>
      <c r="K1516" s="10" t="inlineStr">
        <is>
          <t>On time</t>
        </is>
      </c>
      <c r="L1516" s="6" t="n">
        <v>0</v>
      </c>
      <c r="M1516" s="10" t="n"/>
      <c r="N1516" s="6" t="n">
        <v>23</v>
      </c>
      <c r="O1516" s="6" t="n">
        <v>3220</v>
      </c>
      <c r="P1516" s="6" t="n">
        <v>1</v>
      </c>
      <c r="Q1516" s="6">
        <f>IF(OR(K1516="On time",K1516="Late",K1516="Very late"),1,0)</f>
        <v/>
      </c>
    </row>
    <row r="1517">
      <c r="A1517" s="10" t="inlineStr">
        <is>
          <t>DN319757</t>
        </is>
      </c>
      <c r="B1517" s="10" t="inlineStr">
        <is>
          <t>SO63737</t>
        </is>
      </c>
      <c r="C1517" s="10" t="inlineStr">
        <is>
          <t>C10746</t>
        </is>
      </c>
      <c r="D1517" s="10">
        <f>INDEX(Customers!$B:$B,MATCH(C1517,Customers!$A:$A,0))</f>
        <v/>
      </c>
      <c r="E1517" s="10">
        <f>INDEX(Customers!$D:$D,MATCH(C1517,Customers!$A:$A,0))</f>
        <v/>
      </c>
      <c r="F1517" s="10" t="inlineStr">
        <is>
          <t>Own trucks</t>
        </is>
      </c>
      <c r="G1517" s="5" t="n">
        <v>46287</v>
      </c>
      <c r="H1517" s="5" t="n">
        <v>46288</v>
      </c>
      <c r="I1517" s="5" t="n">
        <v>46288</v>
      </c>
      <c r="J1517" s="10" t="inlineStr">
        <is>
          <t>15:40</t>
        </is>
      </c>
      <c r="K1517" s="10" t="inlineStr">
        <is>
          <t>On time</t>
        </is>
      </c>
      <c r="L1517" s="6" t="n">
        <v>0</v>
      </c>
      <c r="M1517" s="10" t="n"/>
      <c r="N1517" s="6" t="n">
        <v>24</v>
      </c>
      <c r="O1517" s="6" t="n">
        <v>2448</v>
      </c>
      <c r="P1517" s="6" t="n">
        <v>1</v>
      </c>
      <c r="Q1517" s="6">
        <f>IF(OR(K1517="On time",K1517="Late",K1517="Very late"),1,0)</f>
        <v/>
      </c>
    </row>
    <row r="1518">
      <c r="A1518" s="10" t="inlineStr">
        <is>
          <t>DN319758</t>
        </is>
      </c>
      <c r="B1518" s="10" t="inlineStr">
        <is>
          <t>SO63738</t>
        </is>
      </c>
      <c r="C1518" s="10" t="inlineStr">
        <is>
          <t>C10847</t>
        </is>
      </c>
      <c r="D1518" s="10">
        <f>INDEX(Customers!$B:$B,MATCH(C1518,Customers!$A:$A,0))</f>
        <v/>
      </c>
      <c r="E1518" s="10">
        <f>INDEX(Customers!$D:$D,MATCH(C1518,Customers!$A:$A,0))</f>
        <v/>
      </c>
      <c r="F1518" s="10" t="inlineStr">
        <is>
          <t>Own trucks</t>
        </is>
      </c>
      <c r="G1518" s="5" t="n">
        <v>46287</v>
      </c>
      <c r="H1518" s="5" t="n">
        <v>46288</v>
      </c>
      <c r="I1518" s="5" t="n">
        <v>46288</v>
      </c>
      <c r="J1518" s="10" t="inlineStr">
        <is>
          <t>07:40</t>
        </is>
      </c>
      <c r="K1518" s="10" t="inlineStr">
        <is>
          <t>On time</t>
        </is>
      </c>
      <c r="L1518" s="6" t="n">
        <v>0</v>
      </c>
      <c r="M1518" s="10" t="n"/>
      <c r="N1518" s="6" t="n">
        <v>10</v>
      </c>
      <c r="O1518" s="6" t="n">
        <v>1240</v>
      </c>
      <c r="P1518" s="6" t="n">
        <v>1</v>
      </c>
      <c r="Q1518" s="6">
        <f>IF(OR(K1518="On time",K1518="Late",K1518="Very late"),1,0)</f>
        <v/>
      </c>
    </row>
    <row r="1519">
      <c r="A1519" s="10" t="inlineStr">
        <is>
          <t>DN319759</t>
        </is>
      </c>
      <c r="B1519" s="10" t="inlineStr">
        <is>
          <t>SO63739</t>
        </is>
      </c>
      <c r="C1519" s="10" t="inlineStr">
        <is>
          <t>C10915</t>
        </is>
      </c>
      <c r="D1519" s="10">
        <f>INDEX(Customers!$B:$B,MATCH(C1519,Customers!$A:$A,0))</f>
        <v/>
      </c>
      <c r="E1519" s="10">
        <f>INDEX(Customers!$D:$D,MATCH(C1519,Customers!$A:$A,0))</f>
        <v/>
      </c>
      <c r="F1519" s="10" t="inlineStr">
        <is>
          <t>Own trucks</t>
        </is>
      </c>
      <c r="G1519" s="5" t="n">
        <v>46287</v>
      </c>
      <c r="H1519" s="5" t="n">
        <v>46288</v>
      </c>
      <c r="I1519" s="5" t="n">
        <v>46288</v>
      </c>
      <c r="J1519" s="10" t="inlineStr">
        <is>
          <t>08:00</t>
        </is>
      </c>
      <c r="K1519" s="10" t="inlineStr">
        <is>
          <t>On time</t>
        </is>
      </c>
      <c r="L1519" s="6" t="n">
        <v>0</v>
      </c>
      <c r="M1519" s="10" t="n"/>
      <c r="N1519" s="6" t="n">
        <v>37</v>
      </c>
      <c r="O1519" s="6" t="n">
        <v>4329</v>
      </c>
      <c r="P1519" s="6" t="n">
        <v>1</v>
      </c>
      <c r="Q1519" s="6">
        <f>IF(OR(K1519="On time",K1519="Late",K1519="Very late"),1,0)</f>
        <v/>
      </c>
    </row>
    <row r="1520">
      <c r="A1520" s="10" t="inlineStr">
        <is>
          <t>DN319760</t>
        </is>
      </c>
      <c r="B1520" s="10" t="inlineStr">
        <is>
          <t>SO63741</t>
        </is>
      </c>
      <c r="C1520" s="10" t="inlineStr">
        <is>
          <t>C10982</t>
        </is>
      </c>
      <c r="D1520" s="10">
        <f>INDEX(Customers!$B:$B,MATCH(C1520,Customers!$A:$A,0))</f>
        <v/>
      </c>
      <c r="E1520" s="10">
        <f>INDEX(Customers!$D:$D,MATCH(C1520,Customers!$A:$A,0))</f>
        <v/>
      </c>
      <c r="F1520" s="10" t="inlineStr">
        <is>
          <t>Own trucks</t>
        </is>
      </c>
      <c r="G1520" s="5" t="n">
        <v>46287</v>
      </c>
      <c r="H1520" s="5" t="n">
        <v>46288</v>
      </c>
      <c r="I1520" s="5" t="n">
        <v>46288</v>
      </c>
      <c r="J1520" s="10" t="inlineStr">
        <is>
          <t>12:40</t>
        </is>
      </c>
      <c r="K1520" s="10" t="inlineStr">
        <is>
          <t>On time</t>
        </is>
      </c>
      <c r="L1520" s="6" t="n">
        <v>0</v>
      </c>
      <c r="M1520" s="10" t="n"/>
      <c r="N1520" s="6" t="n">
        <v>29</v>
      </c>
      <c r="O1520" s="6" t="n">
        <v>1711</v>
      </c>
      <c r="P1520" s="6" t="n">
        <v>1</v>
      </c>
      <c r="Q1520" s="6">
        <f>IF(OR(K1520="On time",K1520="Late",K1520="Very late"),1,0)</f>
        <v/>
      </c>
    </row>
    <row r="1521">
      <c r="A1521" s="10" t="inlineStr">
        <is>
          <t>DN319761</t>
        </is>
      </c>
      <c r="B1521" s="10" t="inlineStr">
        <is>
          <t>SO63743</t>
        </is>
      </c>
      <c r="C1521" s="10" t="inlineStr">
        <is>
          <t>C11107</t>
        </is>
      </c>
      <c r="D1521" s="10">
        <f>INDEX(Customers!$B:$B,MATCH(C1521,Customers!$A:$A,0))</f>
        <v/>
      </c>
      <c r="E1521" s="10">
        <f>INDEX(Customers!$D:$D,MATCH(C1521,Customers!$A:$A,0))</f>
        <v/>
      </c>
      <c r="F1521" s="10" t="inlineStr">
        <is>
          <t>Own trucks</t>
        </is>
      </c>
      <c r="G1521" s="5" t="n">
        <v>46287</v>
      </c>
      <c r="H1521" s="5" t="n">
        <v>46288</v>
      </c>
      <c r="I1521" s="5" t="n">
        <v>46288</v>
      </c>
      <c r="J1521" s="10" t="inlineStr">
        <is>
          <t>07:20</t>
        </is>
      </c>
      <c r="K1521" s="10" t="inlineStr">
        <is>
          <t>On time</t>
        </is>
      </c>
      <c r="L1521" s="6" t="n">
        <v>0</v>
      </c>
      <c r="M1521" s="10" t="n"/>
      <c r="N1521" s="6" t="n">
        <v>7</v>
      </c>
      <c r="O1521" s="6" t="n">
        <v>728</v>
      </c>
      <c r="P1521" s="6" t="n">
        <v>1</v>
      </c>
      <c r="Q1521" s="6">
        <f>IF(OR(K1521="On time",K1521="Late",K1521="Very late"),1,0)</f>
        <v/>
      </c>
    </row>
    <row r="1522">
      <c r="A1522" s="10" t="inlineStr">
        <is>
          <t>DN319762</t>
        </is>
      </c>
      <c r="B1522" s="10" t="inlineStr">
        <is>
          <t>SO63744</t>
        </is>
      </c>
      <c r="C1522" s="10" t="inlineStr">
        <is>
          <t>C11247</t>
        </is>
      </c>
      <c r="D1522" s="10">
        <f>INDEX(Customers!$B:$B,MATCH(C1522,Customers!$A:$A,0))</f>
        <v/>
      </c>
      <c r="E1522" s="10">
        <f>INDEX(Customers!$D:$D,MATCH(C1522,Customers!$A:$A,0))</f>
        <v/>
      </c>
      <c r="F1522" s="10" t="inlineStr">
        <is>
          <t>Own trucks</t>
        </is>
      </c>
      <c r="G1522" s="5" t="n">
        <v>46287</v>
      </c>
      <c r="H1522" s="5" t="n">
        <v>46288</v>
      </c>
      <c r="I1522" s="5" t="n">
        <v>46288</v>
      </c>
      <c r="J1522" s="10" t="inlineStr">
        <is>
          <t>07:30</t>
        </is>
      </c>
      <c r="K1522" s="10" t="inlineStr">
        <is>
          <t>On time</t>
        </is>
      </c>
      <c r="L1522" s="6" t="n">
        <v>0</v>
      </c>
      <c r="M1522" s="10" t="n"/>
      <c r="N1522" s="6" t="n">
        <v>31</v>
      </c>
      <c r="O1522" s="6" t="n">
        <v>1891</v>
      </c>
      <c r="P1522" s="6" t="n">
        <v>1</v>
      </c>
      <c r="Q1522" s="6">
        <f>IF(OR(K1522="On time",K1522="Late",K1522="Very late"),1,0)</f>
        <v/>
      </c>
    </row>
    <row r="1523">
      <c r="A1523" s="10" t="inlineStr">
        <is>
          <t>DN319763</t>
        </is>
      </c>
      <c r="B1523" s="10" t="inlineStr">
        <is>
          <t>SO63745</t>
        </is>
      </c>
      <c r="C1523" s="10" t="inlineStr">
        <is>
          <t>C11264</t>
        </is>
      </c>
      <c r="D1523" s="10">
        <f>INDEX(Customers!$B:$B,MATCH(C1523,Customers!$A:$A,0))</f>
        <v/>
      </c>
      <c r="E1523" s="10">
        <f>INDEX(Customers!$D:$D,MATCH(C1523,Customers!$A:$A,0))</f>
        <v/>
      </c>
      <c r="F1523" s="10" t="inlineStr">
        <is>
          <t>Own trucks</t>
        </is>
      </c>
      <c r="G1523" s="5" t="n">
        <v>46287</v>
      </c>
      <c r="H1523" s="5" t="n">
        <v>46288</v>
      </c>
      <c r="I1523" s="5" t="n">
        <v>46288</v>
      </c>
      <c r="J1523" s="10" t="inlineStr">
        <is>
          <t>12:30</t>
        </is>
      </c>
      <c r="K1523" s="10" t="inlineStr">
        <is>
          <t>On time</t>
        </is>
      </c>
      <c r="L1523" s="6" t="n">
        <v>0</v>
      </c>
      <c r="M1523" s="10" t="n"/>
      <c r="N1523" s="6" t="n">
        <v>10</v>
      </c>
      <c r="O1523" s="6" t="n">
        <v>1300</v>
      </c>
      <c r="P1523" s="6" t="n">
        <v>1</v>
      </c>
      <c r="Q1523" s="6">
        <f>IF(OR(K1523="On time",K1523="Late",K1523="Very late"),1,0)</f>
        <v/>
      </c>
    </row>
    <row r="1524">
      <c r="A1524" s="10" t="inlineStr">
        <is>
          <t>DN319764</t>
        </is>
      </c>
      <c r="B1524" s="10" t="inlineStr">
        <is>
          <t>SO63746</t>
        </is>
      </c>
      <c r="C1524" s="10" t="inlineStr">
        <is>
          <t>C11314</t>
        </is>
      </c>
      <c r="D1524" s="10">
        <f>INDEX(Customers!$B:$B,MATCH(C1524,Customers!$A:$A,0))</f>
        <v/>
      </c>
      <c r="E1524" s="10">
        <f>INDEX(Customers!$D:$D,MATCH(C1524,Customers!$A:$A,0))</f>
        <v/>
      </c>
      <c r="F1524" s="10" t="inlineStr">
        <is>
          <t>Own trucks</t>
        </is>
      </c>
      <c r="G1524" s="5" t="n">
        <v>46287</v>
      </c>
      <c r="H1524" s="5" t="n">
        <v>46288</v>
      </c>
      <c r="I1524" s="5" t="n">
        <v>46288</v>
      </c>
      <c r="J1524" s="10" t="inlineStr">
        <is>
          <t>08:40</t>
        </is>
      </c>
      <c r="K1524" s="10" t="inlineStr">
        <is>
          <t>On time</t>
        </is>
      </c>
      <c r="L1524" s="6" t="n">
        <v>0</v>
      </c>
      <c r="M1524" s="10" t="n"/>
      <c r="N1524" s="6" t="n">
        <v>6</v>
      </c>
      <c r="O1524" s="6" t="n">
        <v>636</v>
      </c>
      <c r="P1524" s="6" t="n">
        <v>1</v>
      </c>
      <c r="Q1524" s="6">
        <f>IF(OR(K1524="On time",K1524="Late",K1524="Very late"),1,0)</f>
        <v/>
      </c>
    </row>
    <row r="1525">
      <c r="A1525" s="10" t="inlineStr">
        <is>
          <t>DN319765</t>
        </is>
      </c>
      <c r="B1525" s="10" t="inlineStr">
        <is>
          <t>SO63748</t>
        </is>
      </c>
      <c r="C1525" s="10" t="inlineStr">
        <is>
          <t>C11333</t>
        </is>
      </c>
      <c r="D1525" s="10">
        <f>INDEX(Customers!$B:$B,MATCH(C1525,Customers!$A:$A,0))</f>
        <v/>
      </c>
      <c r="E1525" s="10">
        <f>INDEX(Customers!$D:$D,MATCH(C1525,Customers!$A:$A,0))</f>
        <v/>
      </c>
      <c r="F1525" s="10" t="inlineStr">
        <is>
          <t>Own trucks</t>
        </is>
      </c>
      <c r="G1525" s="5" t="n">
        <v>46287</v>
      </c>
      <c r="H1525" s="5" t="n">
        <v>46288</v>
      </c>
      <c r="I1525" s="5" t="n">
        <v>46288</v>
      </c>
      <c r="J1525" s="10" t="inlineStr">
        <is>
          <t>15:40</t>
        </is>
      </c>
      <c r="K1525" s="10" t="inlineStr">
        <is>
          <t>On time</t>
        </is>
      </c>
      <c r="L1525" s="6" t="n">
        <v>0</v>
      </c>
      <c r="M1525" s="10" t="n"/>
      <c r="N1525" s="6" t="n">
        <v>14</v>
      </c>
      <c r="O1525" s="6" t="n">
        <v>1162</v>
      </c>
      <c r="P1525" s="6" t="n">
        <v>1</v>
      </c>
      <c r="Q1525" s="6">
        <f>IF(OR(K1525="On time",K1525="Late",K1525="Very late"),1,0)</f>
        <v/>
      </c>
    </row>
    <row r="1526">
      <c r="A1526" s="10" t="inlineStr">
        <is>
          <t>DN319766</t>
        </is>
      </c>
      <c r="B1526" s="10" t="inlineStr">
        <is>
          <t>SO63749</t>
        </is>
      </c>
      <c r="C1526" s="10" t="inlineStr">
        <is>
          <t>C11400</t>
        </is>
      </c>
      <c r="D1526" s="10">
        <f>INDEX(Customers!$B:$B,MATCH(C1526,Customers!$A:$A,0))</f>
        <v/>
      </c>
      <c r="E1526" s="10">
        <f>INDEX(Customers!$D:$D,MATCH(C1526,Customers!$A:$A,0))</f>
        <v/>
      </c>
      <c r="F1526" s="10" t="inlineStr">
        <is>
          <t>Own trucks</t>
        </is>
      </c>
      <c r="G1526" s="5" t="n">
        <v>46287</v>
      </c>
      <c r="H1526" s="5" t="n">
        <v>46288</v>
      </c>
      <c r="I1526" s="5" t="n">
        <v>46288</v>
      </c>
      <c r="J1526" s="10" t="inlineStr">
        <is>
          <t>08:30</t>
        </is>
      </c>
      <c r="K1526" s="10" t="inlineStr">
        <is>
          <t>On time</t>
        </is>
      </c>
      <c r="L1526" s="6" t="n">
        <v>0</v>
      </c>
      <c r="M1526" s="10" t="n"/>
      <c r="N1526" s="6" t="n">
        <v>26</v>
      </c>
      <c r="O1526" s="6" t="n">
        <v>2470</v>
      </c>
      <c r="P1526" s="6" t="n">
        <v>1</v>
      </c>
      <c r="Q1526" s="6">
        <f>IF(OR(K1526="On time",K1526="Late",K1526="Very late"),1,0)</f>
        <v/>
      </c>
    </row>
    <row r="1527">
      <c r="A1527" s="10" t="inlineStr">
        <is>
          <t>DN319767</t>
        </is>
      </c>
      <c r="B1527" s="10" t="inlineStr">
        <is>
          <t>SO63750</t>
        </is>
      </c>
      <c r="C1527" s="10" t="inlineStr">
        <is>
          <t>C11518</t>
        </is>
      </c>
      <c r="D1527" s="10">
        <f>INDEX(Customers!$B:$B,MATCH(C1527,Customers!$A:$A,0))</f>
        <v/>
      </c>
      <c r="E1527" s="10">
        <f>INDEX(Customers!$D:$D,MATCH(C1527,Customers!$A:$A,0))</f>
        <v/>
      </c>
      <c r="F1527" s="10" t="inlineStr">
        <is>
          <t>Own trucks</t>
        </is>
      </c>
      <c r="G1527" s="5" t="n">
        <v>46287</v>
      </c>
      <c r="H1527" s="5" t="n">
        <v>46288</v>
      </c>
      <c r="I1527" s="5" t="n">
        <v>46288</v>
      </c>
      <c r="J1527" s="10" t="inlineStr">
        <is>
          <t>12:40</t>
        </is>
      </c>
      <c r="K1527" s="10" t="inlineStr">
        <is>
          <t>On time</t>
        </is>
      </c>
      <c r="L1527" s="6" t="n">
        <v>0</v>
      </c>
      <c r="M1527" s="10" t="n"/>
      <c r="N1527" s="6" t="n">
        <v>14</v>
      </c>
      <c r="O1527" s="6" t="n">
        <v>1470</v>
      </c>
      <c r="P1527" s="6" t="n">
        <v>1</v>
      </c>
      <c r="Q1527" s="6">
        <f>IF(OR(K1527="On time",K1527="Late",K1527="Very late"),1,0)</f>
        <v/>
      </c>
    </row>
    <row r="1528">
      <c r="A1528" s="10" t="inlineStr">
        <is>
          <t>DN319768</t>
        </is>
      </c>
      <c r="B1528" s="10" t="inlineStr">
        <is>
          <t>SO63751</t>
        </is>
      </c>
      <c r="C1528" s="10" t="inlineStr">
        <is>
          <t>C11579</t>
        </is>
      </c>
      <c r="D1528" s="10">
        <f>INDEX(Customers!$B:$B,MATCH(C1528,Customers!$A:$A,0))</f>
        <v/>
      </c>
      <c r="E1528" s="10">
        <f>INDEX(Customers!$D:$D,MATCH(C1528,Customers!$A:$A,0))</f>
        <v/>
      </c>
      <c r="F1528" s="10" t="inlineStr">
        <is>
          <t>Own trucks</t>
        </is>
      </c>
      <c r="G1528" s="5" t="n">
        <v>46287</v>
      </c>
      <c r="H1528" s="5" t="n">
        <v>46288</v>
      </c>
      <c r="I1528" s="5" t="n">
        <v>46288</v>
      </c>
      <c r="J1528" s="10" t="inlineStr">
        <is>
          <t>16:30</t>
        </is>
      </c>
      <c r="K1528" s="10" t="inlineStr">
        <is>
          <t>On time</t>
        </is>
      </c>
      <c r="L1528" s="6" t="n">
        <v>0</v>
      </c>
      <c r="M1528" s="10" t="n"/>
      <c r="N1528" s="6" t="n">
        <v>39</v>
      </c>
      <c r="O1528" s="6" t="n">
        <v>2613</v>
      </c>
      <c r="P1528" s="6" t="n">
        <v>1</v>
      </c>
      <c r="Q1528" s="6">
        <f>IF(OR(K1528="On time",K1528="Late",K1528="Very late"),1,0)</f>
        <v/>
      </c>
    </row>
    <row r="1529">
      <c r="A1529" s="10" t="inlineStr">
        <is>
          <t>DN319769</t>
        </is>
      </c>
      <c r="B1529" s="10" t="inlineStr">
        <is>
          <t>SO63752</t>
        </is>
      </c>
      <c r="C1529" s="10" t="inlineStr">
        <is>
          <t>C11616</t>
        </is>
      </c>
      <c r="D1529" s="10">
        <f>INDEX(Customers!$B:$B,MATCH(C1529,Customers!$A:$A,0))</f>
        <v/>
      </c>
      <c r="E1529" s="10">
        <f>INDEX(Customers!$D:$D,MATCH(C1529,Customers!$A:$A,0))</f>
        <v/>
      </c>
      <c r="F1529" s="10" t="inlineStr">
        <is>
          <t>Own trucks</t>
        </is>
      </c>
      <c r="G1529" s="5" t="n">
        <v>46287</v>
      </c>
      <c r="H1529" s="5" t="n">
        <v>46288</v>
      </c>
      <c r="I1529" s="5" t="n">
        <v>46288</v>
      </c>
      <c r="J1529" s="10" t="inlineStr">
        <is>
          <t>12:10</t>
        </is>
      </c>
      <c r="K1529" s="10" t="inlineStr">
        <is>
          <t>On time</t>
        </is>
      </c>
      <c r="L1529" s="6" t="n">
        <v>0</v>
      </c>
      <c r="M1529" s="10" t="n"/>
      <c r="N1529" s="6" t="n">
        <v>25</v>
      </c>
      <c r="O1529" s="6" t="n">
        <v>1875</v>
      </c>
      <c r="P1529" s="6" t="n">
        <v>1</v>
      </c>
      <c r="Q1529" s="6">
        <f>IF(OR(K1529="On time",K1529="Late",K1529="Very late"),1,0)</f>
        <v/>
      </c>
    </row>
    <row r="1530">
      <c r="A1530" s="10" t="inlineStr">
        <is>
          <t>DN319770</t>
        </is>
      </c>
      <c r="B1530" s="10" t="inlineStr">
        <is>
          <t>SO63753</t>
        </is>
      </c>
      <c r="C1530" s="10" t="inlineStr">
        <is>
          <t>C11666</t>
        </is>
      </c>
      <c r="D1530" s="10">
        <f>INDEX(Customers!$B:$B,MATCH(C1530,Customers!$A:$A,0))</f>
        <v/>
      </c>
      <c r="E1530" s="10">
        <f>INDEX(Customers!$D:$D,MATCH(C1530,Customers!$A:$A,0))</f>
        <v/>
      </c>
      <c r="F1530" s="10" t="inlineStr">
        <is>
          <t>Own trucks</t>
        </is>
      </c>
      <c r="G1530" s="5" t="n">
        <v>46287</v>
      </c>
      <c r="H1530" s="5" t="n">
        <v>46288</v>
      </c>
      <c r="I1530" s="5" t="n">
        <v>46288</v>
      </c>
      <c r="J1530" s="10" t="inlineStr">
        <is>
          <t>10:40</t>
        </is>
      </c>
      <c r="K1530" s="10" t="inlineStr">
        <is>
          <t>On time</t>
        </is>
      </c>
      <c r="L1530" s="6" t="n">
        <v>0</v>
      </c>
      <c r="M1530" s="10" t="n"/>
      <c r="N1530" s="6" t="n">
        <v>7</v>
      </c>
      <c r="O1530" s="6" t="n">
        <v>763</v>
      </c>
      <c r="P1530" s="6" t="n">
        <v>1</v>
      </c>
      <c r="Q1530" s="6">
        <f>IF(OR(K1530="On time",K1530="Late",K1530="Very late"),1,0)</f>
        <v/>
      </c>
    </row>
    <row r="1531">
      <c r="A1531" s="10" t="inlineStr">
        <is>
          <t>DN319771</t>
        </is>
      </c>
      <c r="B1531" s="10" t="inlineStr">
        <is>
          <t>SO63755</t>
        </is>
      </c>
      <c r="C1531" s="10" t="inlineStr">
        <is>
          <t>C11745</t>
        </is>
      </c>
      <c r="D1531" s="10">
        <f>INDEX(Customers!$B:$B,MATCH(C1531,Customers!$A:$A,0))</f>
        <v/>
      </c>
      <c r="E1531" s="10">
        <f>INDEX(Customers!$D:$D,MATCH(C1531,Customers!$A:$A,0))</f>
        <v/>
      </c>
      <c r="F1531" s="10" t="inlineStr">
        <is>
          <t>Own trucks</t>
        </is>
      </c>
      <c r="G1531" s="5" t="n">
        <v>46287</v>
      </c>
      <c r="H1531" s="5" t="n">
        <v>46288</v>
      </c>
      <c r="I1531" s="5" t="n">
        <v>46288</v>
      </c>
      <c r="J1531" s="10" t="inlineStr">
        <is>
          <t>14:10</t>
        </is>
      </c>
      <c r="K1531" s="10" t="inlineStr">
        <is>
          <t>On time</t>
        </is>
      </c>
      <c r="L1531" s="6" t="n">
        <v>0</v>
      </c>
      <c r="M1531" s="10" t="n"/>
      <c r="N1531" s="6" t="n">
        <v>36</v>
      </c>
      <c r="O1531" s="6" t="n">
        <v>2988</v>
      </c>
      <c r="P1531" s="6" t="n">
        <v>1</v>
      </c>
      <c r="Q1531" s="6">
        <f>IF(OR(K1531="On time",K1531="Late",K1531="Very late"),1,0)</f>
        <v/>
      </c>
    </row>
    <row r="1532">
      <c r="A1532" s="10" t="inlineStr">
        <is>
          <t>DN319772</t>
        </is>
      </c>
      <c r="B1532" s="10" t="inlineStr">
        <is>
          <t>SO63756</t>
        </is>
      </c>
      <c r="C1532" s="10" t="inlineStr">
        <is>
          <t>C11798</t>
        </is>
      </c>
      <c r="D1532" s="10">
        <f>INDEX(Customers!$B:$B,MATCH(C1532,Customers!$A:$A,0))</f>
        <v/>
      </c>
      <c r="E1532" s="10">
        <f>INDEX(Customers!$D:$D,MATCH(C1532,Customers!$A:$A,0))</f>
        <v/>
      </c>
      <c r="F1532" s="10" t="inlineStr">
        <is>
          <t>Carrier A</t>
        </is>
      </c>
      <c r="G1532" s="5" t="n">
        <v>46287</v>
      </c>
      <c r="H1532" s="5" t="n">
        <v>46288</v>
      </c>
      <c r="I1532" s="5" t="n">
        <v>46288</v>
      </c>
      <c r="J1532" s="10" t="inlineStr">
        <is>
          <t>09:20</t>
        </is>
      </c>
      <c r="K1532" s="10" t="inlineStr">
        <is>
          <t>On time</t>
        </is>
      </c>
      <c r="L1532" s="6" t="n">
        <v>0</v>
      </c>
      <c r="M1532" s="10" t="n"/>
      <c r="N1532" s="6" t="n">
        <v>14</v>
      </c>
      <c r="O1532" s="6" t="n">
        <v>882</v>
      </c>
      <c r="P1532" s="6" t="n">
        <v>1</v>
      </c>
      <c r="Q1532" s="6">
        <f>IF(OR(K1532="On time",K1532="Late",K1532="Very late"),1,0)</f>
        <v/>
      </c>
    </row>
    <row r="1533">
      <c r="A1533" s="10" t="inlineStr">
        <is>
          <t>DN319773</t>
        </is>
      </c>
      <c r="B1533" s="10" t="inlineStr">
        <is>
          <t>SO63757</t>
        </is>
      </c>
      <c r="C1533" s="10" t="inlineStr">
        <is>
          <t>C11858</t>
        </is>
      </c>
      <c r="D1533" s="10">
        <f>INDEX(Customers!$B:$B,MATCH(C1533,Customers!$A:$A,0))</f>
        <v/>
      </c>
      <c r="E1533" s="10">
        <f>INDEX(Customers!$D:$D,MATCH(C1533,Customers!$A:$A,0))</f>
        <v/>
      </c>
      <c r="F1533" s="10" t="inlineStr">
        <is>
          <t>Carrier A</t>
        </is>
      </c>
      <c r="G1533" s="5" t="n">
        <v>46287</v>
      </c>
      <c r="H1533" s="5" t="n">
        <v>46288</v>
      </c>
      <c r="I1533" s="5" t="n">
        <v>46288</v>
      </c>
      <c r="J1533" s="10" t="inlineStr">
        <is>
          <t>11:10</t>
        </is>
      </c>
      <c r="K1533" s="10" t="inlineStr">
        <is>
          <t>On time</t>
        </is>
      </c>
      <c r="L1533" s="6" t="n">
        <v>0</v>
      </c>
      <c r="M1533" s="10" t="n"/>
      <c r="N1533" s="6" t="n">
        <v>39</v>
      </c>
      <c r="O1533" s="6" t="n">
        <v>2262</v>
      </c>
      <c r="P1533" s="6" t="n">
        <v>1</v>
      </c>
      <c r="Q1533" s="6">
        <f>IF(OR(K1533="On time",K1533="Late",K1533="Very late"),1,0)</f>
        <v/>
      </c>
    </row>
    <row r="1534">
      <c r="A1534" s="10" t="inlineStr">
        <is>
          <t>DN319774</t>
        </is>
      </c>
      <c r="B1534" s="10" t="inlineStr">
        <is>
          <t>SO63759</t>
        </is>
      </c>
      <c r="C1534" s="10" t="inlineStr">
        <is>
          <t>C11866</t>
        </is>
      </c>
      <c r="D1534" s="10">
        <f>INDEX(Customers!$B:$B,MATCH(C1534,Customers!$A:$A,0))</f>
        <v/>
      </c>
      <c r="E1534" s="10">
        <f>INDEX(Customers!$D:$D,MATCH(C1534,Customers!$A:$A,0))</f>
        <v/>
      </c>
      <c r="F1534" s="10" t="inlineStr">
        <is>
          <t>Carrier A</t>
        </is>
      </c>
      <c r="G1534" s="5" t="n">
        <v>46287</v>
      </c>
      <c r="H1534" s="5" t="n">
        <v>46288</v>
      </c>
      <c r="I1534" s="5" t="n">
        <v>46288</v>
      </c>
      <c r="J1534" s="10" t="inlineStr">
        <is>
          <t>10:10</t>
        </is>
      </c>
      <c r="K1534" s="10" t="inlineStr">
        <is>
          <t>On time</t>
        </is>
      </c>
      <c r="L1534" s="6" t="n">
        <v>0</v>
      </c>
      <c r="M1534" s="10" t="n"/>
      <c r="N1534" s="6" t="n">
        <v>32</v>
      </c>
      <c r="O1534" s="6" t="n">
        <v>3520</v>
      </c>
      <c r="P1534" s="6" t="n">
        <v>1</v>
      </c>
      <c r="Q1534" s="6">
        <f>IF(OR(K1534="On time",K1534="Late",K1534="Very late"),1,0)</f>
        <v/>
      </c>
    </row>
    <row r="1535">
      <c r="A1535" s="10" t="inlineStr">
        <is>
          <t>DN319775</t>
        </is>
      </c>
      <c r="B1535" s="10" t="inlineStr">
        <is>
          <t>SO63760</t>
        </is>
      </c>
      <c r="C1535" s="10" t="inlineStr">
        <is>
          <t>C11971</t>
        </is>
      </c>
      <c r="D1535" s="10">
        <f>INDEX(Customers!$B:$B,MATCH(C1535,Customers!$A:$A,0))</f>
        <v/>
      </c>
      <c r="E1535" s="10">
        <f>INDEX(Customers!$D:$D,MATCH(C1535,Customers!$A:$A,0))</f>
        <v/>
      </c>
      <c r="F1535" s="10" t="inlineStr">
        <is>
          <t>Own trucks</t>
        </is>
      </c>
      <c r="G1535" s="5" t="n">
        <v>46287</v>
      </c>
      <c r="H1535" s="5" t="n">
        <v>46288</v>
      </c>
      <c r="I1535" s="5" t="n">
        <v>46288</v>
      </c>
      <c r="J1535" s="10" t="inlineStr">
        <is>
          <t>14:30</t>
        </is>
      </c>
      <c r="K1535" s="10" t="inlineStr">
        <is>
          <t>On time</t>
        </is>
      </c>
      <c r="L1535" s="6" t="n">
        <v>0</v>
      </c>
      <c r="M1535" s="10" t="n"/>
      <c r="N1535" s="6" t="n">
        <v>38</v>
      </c>
      <c r="O1535" s="6" t="n">
        <v>3230</v>
      </c>
      <c r="P1535" s="6" t="n">
        <v>1</v>
      </c>
      <c r="Q1535" s="6">
        <f>IF(OR(K1535="On time",K1535="Late",K1535="Very late"),1,0)</f>
        <v/>
      </c>
    </row>
    <row r="1536">
      <c r="A1536" s="10" t="inlineStr">
        <is>
          <t>DN319776</t>
        </is>
      </c>
      <c r="B1536" s="10" t="inlineStr">
        <is>
          <t>SO63762</t>
        </is>
      </c>
      <c r="C1536" s="10" t="inlineStr">
        <is>
          <t>C12037</t>
        </is>
      </c>
      <c r="D1536" s="10">
        <f>INDEX(Customers!$B:$B,MATCH(C1536,Customers!$A:$A,0))</f>
        <v/>
      </c>
      <c r="E1536" s="10">
        <f>INDEX(Customers!$D:$D,MATCH(C1536,Customers!$A:$A,0))</f>
        <v/>
      </c>
      <c r="F1536" s="10" t="inlineStr">
        <is>
          <t>Own trucks</t>
        </is>
      </c>
      <c r="G1536" s="5" t="n">
        <v>46287</v>
      </c>
      <c r="H1536" s="5" t="n">
        <v>46288</v>
      </c>
      <c r="I1536" s="5" t="n">
        <v>46288</v>
      </c>
      <c r="J1536" s="10" t="inlineStr">
        <is>
          <t>10:40</t>
        </is>
      </c>
      <c r="K1536" s="10" t="inlineStr">
        <is>
          <t>On time</t>
        </is>
      </c>
      <c r="L1536" s="6" t="n">
        <v>0</v>
      </c>
      <c r="M1536" s="10" t="n"/>
      <c r="N1536" s="6" t="n">
        <v>25</v>
      </c>
      <c r="O1536" s="6" t="n">
        <v>3325</v>
      </c>
      <c r="P1536" s="6" t="n">
        <v>1</v>
      </c>
      <c r="Q1536" s="6">
        <f>IF(OR(K1536="On time",K1536="Late",K1536="Very late"),1,0)</f>
        <v/>
      </c>
    </row>
    <row r="1537">
      <c r="A1537" s="10" t="inlineStr">
        <is>
          <t>DN319777</t>
        </is>
      </c>
      <c r="B1537" s="10" t="inlineStr">
        <is>
          <t>SO63764</t>
        </is>
      </c>
      <c r="C1537" s="10" t="inlineStr">
        <is>
          <t>C12103</t>
        </is>
      </c>
      <c r="D1537" s="10">
        <f>INDEX(Customers!$B:$B,MATCH(C1537,Customers!$A:$A,0))</f>
        <v/>
      </c>
      <c r="E1537" s="10">
        <f>INDEX(Customers!$D:$D,MATCH(C1537,Customers!$A:$A,0))</f>
        <v/>
      </c>
      <c r="F1537" s="10" t="inlineStr">
        <is>
          <t>Own trucks</t>
        </is>
      </c>
      <c r="G1537" s="5" t="n">
        <v>46287</v>
      </c>
      <c r="H1537" s="5" t="n">
        <v>46288</v>
      </c>
      <c r="I1537" s="5" t="n">
        <v>46288</v>
      </c>
      <c r="J1537" s="10" t="inlineStr">
        <is>
          <t>07:20</t>
        </is>
      </c>
      <c r="K1537" s="10" t="inlineStr">
        <is>
          <t>On time</t>
        </is>
      </c>
      <c r="L1537" s="6" t="n">
        <v>0</v>
      </c>
      <c r="M1537" s="10" t="n"/>
      <c r="N1537" s="6" t="n">
        <v>13</v>
      </c>
      <c r="O1537" s="6" t="n">
        <v>923</v>
      </c>
      <c r="P1537" s="6" t="n">
        <v>1</v>
      </c>
      <c r="Q1537" s="6">
        <f>IF(OR(K1537="On time",K1537="Late",K1537="Very late"),1,0)</f>
        <v/>
      </c>
    </row>
    <row r="1538">
      <c r="A1538" s="10" t="inlineStr">
        <is>
          <t>DN319778</t>
        </is>
      </c>
      <c r="B1538" s="10" t="inlineStr">
        <is>
          <t>SO63765</t>
        </is>
      </c>
      <c r="C1538" s="10" t="inlineStr">
        <is>
          <t>C12262</t>
        </is>
      </c>
      <c r="D1538" s="10">
        <f>INDEX(Customers!$B:$B,MATCH(C1538,Customers!$A:$A,0))</f>
        <v/>
      </c>
      <c r="E1538" s="10">
        <f>INDEX(Customers!$D:$D,MATCH(C1538,Customers!$A:$A,0))</f>
        <v/>
      </c>
      <c r="F1538" s="10" t="inlineStr">
        <is>
          <t>Carrier B</t>
        </is>
      </c>
      <c r="G1538" s="5" t="n">
        <v>46287</v>
      </c>
      <c r="H1538" s="5" t="n">
        <v>46288</v>
      </c>
      <c r="I1538" s="5" t="n">
        <v>46288</v>
      </c>
      <c r="J1538" s="10" t="inlineStr">
        <is>
          <t>11:00</t>
        </is>
      </c>
      <c r="K1538" s="10" t="inlineStr">
        <is>
          <t>On time</t>
        </is>
      </c>
      <c r="L1538" s="6" t="n">
        <v>0</v>
      </c>
      <c r="M1538" s="10" t="n"/>
      <c r="N1538" s="6" t="n">
        <v>2</v>
      </c>
      <c r="O1538" s="6" t="n">
        <v>266</v>
      </c>
      <c r="P1538" s="6" t="n">
        <v>1</v>
      </c>
      <c r="Q1538" s="6">
        <f>IF(OR(K1538="On time",K1538="Late",K1538="Very late"),1,0)</f>
        <v/>
      </c>
    </row>
    <row r="1539">
      <c r="A1539" s="10" t="inlineStr">
        <is>
          <t>DN319779</t>
        </is>
      </c>
      <c r="B1539" s="10" t="inlineStr">
        <is>
          <t>SO63766</t>
        </is>
      </c>
      <c r="C1539" s="10" t="inlineStr">
        <is>
          <t>C12305</t>
        </is>
      </c>
      <c r="D1539" s="10">
        <f>INDEX(Customers!$B:$B,MATCH(C1539,Customers!$A:$A,0))</f>
        <v/>
      </c>
      <c r="E1539" s="10">
        <f>INDEX(Customers!$D:$D,MATCH(C1539,Customers!$A:$A,0))</f>
        <v/>
      </c>
      <c r="F1539" s="10" t="inlineStr">
        <is>
          <t>Carrier B</t>
        </is>
      </c>
      <c r="G1539" s="5" t="n">
        <v>46287</v>
      </c>
      <c r="H1539" s="5" t="n">
        <v>46288</v>
      </c>
      <c r="I1539" s="5" t="n">
        <v>46288</v>
      </c>
      <c r="J1539" s="10" t="inlineStr">
        <is>
          <t>14:20</t>
        </is>
      </c>
      <c r="K1539" s="10" t="inlineStr">
        <is>
          <t>On time</t>
        </is>
      </c>
      <c r="L1539" s="6" t="n">
        <v>0</v>
      </c>
      <c r="M1539" s="10" t="n"/>
      <c r="N1539" s="6" t="n">
        <v>26</v>
      </c>
      <c r="O1539" s="6" t="n">
        <v>1898</v>
      </c>
      <c r="P1539" s="6" t="n">
        <v>1</v>
      </c>
      <c r="Q1539" s="6">
        <f>IF(OR(K1539="On time",K1539="Late",K1539="Very late"),1,0)</f>
        <v/>
      </c>
    </row>
    <row r="1540">
      <c r="A1540" s="10" t="inlineStr">
        <is>
          <t>DN319780</t>
        </is>
      </c>
      <c r="B1540" s="10" t="inlineStr">
        <is>
          <t>SO63768</t>
        </is>
      </c>
      <c r="C1540" s="10" t="inlineStr">
        <is>
          <t>C12365</t>
        </is>
      </c>
      <c r="D1540" s="10">
        <f>INDEX(Customers!$B:$B,MATCH(C1540,Customers!$A:$A,0))</f>
        <v/>
      </c>
      <c r="E1540" s="10">
        <f>INDEX(Customers!$D:$D,MATCH(C1540,Customers!$A:$A,0))</f>
        <v/>
      </c>
      <c r="F1540" s="10" t="inlineStr">
        <is>
          <t>Carrier B</t>
        </is>
      </c>
      <c r="G1540" s="5" t="n">
        <v>46287</v>
      </c>
      <c r="H1540" s="5" t="n">
        <v>46288</v>
      </c>
      <c r="I1540" s="5" t="n">
        <v>46288</v>
      </c>
      <c r="J1540" s="10" t="inlineStr">
        <is>
          <t>16:40</t>
        </is>
      </c>
      <c r="K1540" s="10" t="inlineStr">
        <is>
          <t>On time</t>
        </is>
      </c>
      <c r="L1540" s="6" t="n">
        <v>0</v>
      </c>
      <c r="M1540" s="10" t="n"/>
      <c r="N1540" s="6" t="n">
        <v>14</v>
      </c>
      <c r="O1540" s="6" t="n">
        <v>1400</v>
      </c>
      <c r="P1540" s="6" t="n">
        <v>1</v>
      </c>
      <c r="Q1540" s="6">
        <f>IF(OR(K1540="On time",K1540="Late",K1540="Very late"),1,0)</f>
        <v/>
      </c>
    </row>
    <row r="1541">
      <c r="A1541" s="10" t="inlineStr">
        <is>
          <t>DN319781</t>
        </is>
      </c>
      <c r="B1541" s="10" t="inlineStr">
        <is>
          <t>SO63770</t>
        </is>
      </c>
      <c r="C1541" s="10" t="inlineStr">
        <is>
          <t>C12393</t>
        </is>
      </c>
      <c r="D1541" s="10">
        <f>INDEX(Customers!$B:$B,MATCH(C1541,Customers!$A:$A,0))</f>
        <v/>
      </c>
      <c r="E1541" s="10">
        <f>INDEX(Customers!$D:$D,MATCH(C1541,Customers!$A:$A,0))</f>
        <v/>
      </c>
      <c r="F1541" s="10" t="inlineStr">
        <is>
          <t>Carrier A</t>
        </is>
      </c>
      <c r="G1541" s="5" t="n">
        <v>46287</v>
      </c>
      <c r="H1541" s="5" t="n">
        <v>46288</v>
      </c>
      <c r="I1541" s="5" t="n">
        <v>46288</v>
      </c>
      <c r="J1541" s="10" t="inlineStr">
        <is>
          <t>10:10</t>
        </is>
      </c>
      <c r="K1541" s="10" t="inlineStr">
        <is>
          <t>On time</t>
        </is>
      </c>
      <c r="L1541" s="6" t="n">
        <v>0</v>
      </c>
      <c r="M1541" s="10" t="n"/>
      <c r="N1541" s="6" t="n">
        <v>8</v>
      </c>
      <c r="O1541" s="6" t="n">
        <v>784</v>
      </c>
      <c r="P1541" s="6" t="n">
        <v>1</v>
      </c>
      <c r="Q1541" s="6">
        <f>IF(OR(K1541="On time",K1541="Late",K1541="Very late"),1,0)</f>
        <v/>
      </c>
    </row>
    <row r="1542">
      <c r="A1542" s="10" t="inlineStr">
        <is>
          <t>DN319782</t>
        </is>
      </c>
      <c r="B1542" s="10" t="inlineStr">
        <is>
          <t>SO63771</t>
        </is>
      </c>
      <c r="C1542" s="10" t="inlineStr">
        <is>
          <t>C12490</t>
        </is>
      </c>
      <c r="D1542" s="10">
        <f>INDEX(Customers!$B:$B,MATCH(C1542,Customers!$A:$A,0))</f>
        <v/>
      </c>
      <c r="E1542" s="10">
        <f>INDEX(Customers!$D:$D,MATCH(C1542,Customers!$A:$A,0))</f>
        <v/>
      </c>
      <c r="F1542" s="10" t="inlineStr">
        <is>
          <t>Carrier A</t>
        </is>
      </c>
      <c r="G1542" s="5" t="n">
        <v>46287</v>
      </c>
      <c r="H1542" s="5" t="n">
        <v>46288</v>
      </c>
      <c r="I1542" s="5" t="n">
        <v>46289</v>
      </c>
      <c r="J1542" s="10" t="inlineStr">
        <is>
          <t>10:10</t>
        </is>
      </c>
      <c r="K1542" s="10" t="inlineStr">
        <is>
          <t>Late</t>
        </is>
      </c>
      <c r="L1542" s="6" t="n">
        <v>1</v>
      </c>
      <c r="M1542" s="10" t="inlineStr">
        <is>
          <t>Carrier delay</t>
        </is>
      </c>
      <c r="N1542" s="6" t="n">
        <v>10</v>
      </c>
      <c r="O1542" s="6" t="n">
        <v>770</v>
      </c>
      <c r="P1542" s="6" t="n">
        <v>1</v>
      </c>
      <c r="Q1542" s="6">
        <f>IF(OR(K1542="On time",K1542="Late",K1542="Very late"),1,0)</f>
        <v/>
      </c>
    </row>
    <row r="1543">
      <c r="A1543" s="10" t="inlineStr">
        <is>
          <t>DN319783</t>
        </is>
      </c>
      <c r="B1543" s="10" t="inlineStr">
        <is>
          <t>SO63772</t>
        </is>
      </c>
      <c r="C1543" s="10" t="inlineStr">
        <is>
          <t>C12527</t>
        </is>
      </c>
      <c r="D1543" s="10">
        <f>INDEX(Customers!$B:$B,MATCH(C1543,Customers!$A:$A,0))</f>
        <v/>
      </c>
      <c r="E1543" s="10">
        <f>INDEX(Customers!$D:$D,MATCH(C1543,Customers!$A:$A,0))</f>
        <v/>
      </c>
      <c r="F1543" s="10" t="inlineStr">
        <is>
          <t>Carrier A</t>
        </is>
      </c>
      <c r="G1543" s="5" t="n">
        <v>46287</v>
      </c>
      <c r="H1543" s="5" t="n">
        <v>46288</v>
      </c>
      <c r="I1543" s="5" t="n">
        <v>46288</v>
      </c>
      <c r="J1543" s="10" t="inlineStr">
        <is>
          <t>08:50</t>
        </is>
      </c>
      <c r="K1543" s="10" t="inlineStr">
        <is>
          <t>On time</t>
        </is>
      </c>
      <c r="L1543" s="6" t="n">
        <v>0</v>
      </c>
      <c r="M1543" s="10" t="n"/>
      <c r="N1543" s="6" t="n">
        <v>27</v>
      </c>
      <c r="O1543" s="6" t="n">
        <v>2619</v>
      </c>
      <c r="P1543" s="6" t="n">
        <v>1</v>
      </c>
      <c r="Q1543" s="6">
        <f>IF(OR(K1543="On time",K1543="Late",K1543="Very late"),1,0)</f>
        <v/>
      </c>
    </row>
    <row r="1544">
      <c r="A1544" s="10" t="inlineStr">
        <is>
          <t>DN319784</t>
        </is>
      </c>
      <c r="B1544" s="10" t="inlineStr">
        <is>
          <t>SO63773</t>
        </is>
      </c>
      <c r="C1544" s="10" t="inlineStr">
        <is>
          <t>C12543</t>
        </is>
      </c>
      <c r="D1544" s="10">
        <f>INDEX(Customers!$B:$B,MATCH(C1544,Customers!$A:$A,0))</f>
        <v/>
      </c>
      <c r="E1544" s="10">
        <f>INDEX(Customers!$D:$D,MATCH(C1544,Customers!$A:$A,0))</f>
        <v/>
      </c>
      <c r="F1544" s="10" t="inlineStr">
        <is>
          <t>Carrier B</t>
        </is>
      </c>
      <c r="G1544" s="5" t="n">
        <v>46286</v>
      </c>
      <c r="H1544" s="5" t="n">
        <v>46288</v>
      </c>
      <c r="I1544" s="5" t="n">
        <v>46288</v>
      </c>
      <c r="J1544" s="10" t="inlineStr">
        <is>
          <t>14:20</t>
        </is>
      </c>
      <c r="K1544" s="10" t="inlineStr">
        <is>
          <t>On time</t>
        </is>
      </c>
      <c r="L1544" s="6" t="n">
        <v>0</v>
      </c>
      <c r="M1544" s="10" t="n"/>
      <c r="N1544" s="6" t="n">
        <v>20</v>
      </c>
      <c r="O1544" s="6" t="n">
        <v>1540</v>
      </c>
      <c r="P1544" s="6" t="n">
        <v>1</v>
      </c>
      <c r="Q1544" s="6">
        <f>IF(OR(K1544="On time",K1544="Late",K1544="Very late"),1,0)</f>
        <v/>
      </c>
    </row>
    <row r="1545">
      <c r="A1545" s="10" t="inlineStr">
        <is>
          <t>DN319785</t>
        </is>
      </c>
      <c r="B1545" s="10" t="inlineStr">
        <is>
          <t>SO63774</t>
        </is>
      </c>
      <c r="C1545" s="10" t="inlineStr">
        <is>
          <t>C12617</t>
        </is>
      </c>
      <c r="D1545" s="10">
        <f>INDEX(Customers!$B:$B,MATCH(C1545,Customers!$A:$A,0))</f>
        <v/>
      </c>
      <c r="E1545" s="10">
        <f>INDEX(Customers!$D:$D,MATCH(C1545,Customers!$A:$A,0))</f>
        <v/>
      </c>
      <c r="F1545" s="10" t="inlineStr">
        <is>
          <t>Carrier B</t>
        </is>
      </c>
      <c r="G1545" s="5" t="n">
        <v>46286</v>
      </c>
      <c r="H1545" s="5" t="n">
        <v>46288</v>
      </c>
      <c r="I1545" s="5" t="n">
        <v>46288</v>
      </c>
      <c r="J1545" s="10" t="inlineStr">
        <is>
          <t>14:00</t>
        </is>
      </c>
      <c r="K1545" s="10" t="inlineStr">
        <is>
          <t>On time</t>
        </is>
      </c>
      <c r="L1545" s="6" t="n">
        <v>0</v>
      </c>
      <c r="M1545" s="10" t="n"/>
      <c r="N1545" s="6" t="n">
        <v>30</v>
      </c>
      <c r="O1545" s="6" t="n">
        <v>3600</v>
      </c>
      <c r="P1545" s="6" t="n">
        <v>1</v>
      </c>
      <c r="Q1545" s="6">
        <f>IF(OR(K1545="On time",K1545="Late",K1545="Very late"),1,0)</f>
        <v/>
      </c>
    </row>
    <row r="1546">
      <c r="A1546" s="10" t="inlineStr">
        <is>
          <t>DN319786</t>
        </is>
      </c>
      <c r="B1546" s="10" t="inlineStr">
        <is>
          <t>SO63775</t>
        </is>
      </c>
      <c r="C1546" s="10" t="inlineStr">
        <is>
          <t>C12631</t>
        </is>
      </c>
      <c r="D1546" s="10">
        <f>INDEX(Customers!$B:$B,MATCH(C1546,Customers!$A:$A,0))</f>
        <v/>
      </c>
      <c r="E1546" s="10">
        <f>INDEX(Customers!$D:$D,MATCH(C1546,Customers!$A:$A,0))</f>
        <v/>
      </c>
      <c r="F1546" s="10" t="inlineStr">
        <is>
          <t>Carrier B</t>
        </is>
      </c>
      <c r="G1546" s="5" t="n">
        <v>46286</v>
      </c>
      <c r="H1546" s="5" t="n">
        <v>46288</v>
      </c>
      <c r="I1546" s="5" t="n">
        <v>46288</v>
      </c>
      <c r="J1546" s="10" t="inlineStr">
        <is>
          <t>15:50</t>
        </is>
      </c>
      <c r="K1546" s="10" t="inlineStr">
        <is>
          <t>On time</t>
        </is>
      </c>
      <c r="L1546" s="6" t="n">
        <v>0</v>
      </c>
      <c r="M1546" s="10" t="n"/>
      <c r="N1546" s="6" t="n">
        <v>10</v>
      </c>
      <c r="O1546" s="6" t="n">
        <v>1300</v>
      </c>
      <c r="P1546" s="6" t="n">
        <v>1</v>
      </c>
      <c r="Q1546" s="6">
        <f>IF(OR(K1546="On time",K1546="Late",K1546="Very late"),1,0)</f>
        <v/>
      </c>
    </row>
    <row r="1547">
      <c r="A1547" s="10" t="inlineStr">
        <is>
          <t>DN319787</t>
        </is>
      </c>
      <c r="B1547" s="10" t="inlineStr">
        <is>
          <t>SO63776</t>
        </is>
      </c>
      <c r="C1547" s="10" t="inlineStr">
        <is>
          <t>C12639</t>
        </is>
      </c>
      <c r="D1547" s="10">
        <f>INDEX(Customers!$B:$B,MATCH(C1547,Customers!$A:$A,0))</f>
        <v/>
      </c>
      <c r="E1547" s="10">
        <f>INDEX(Customers!$D:$D,MATCH(C1547,Customers!$A:$A,0))</f>
        <v/>
      </c>
      <c r="F1547" s="10" t="inlineStr">
        <is>
          <t>Carrier B</t>
        </is>
      </c>
      <c r="G1547" s="5" t="n">
        <v>46286</v>
      </c>
      <c r="H1547" s="5" t="n">
        <v>46288</v>
      </c>
      <c r="I1547" s="5" t="n">
        <v>46288</v>
      </c>
      <c r="J1547" s="10" t="inlineStr">
        <is>
          <t>07:40</t>
        </is>
      </c>
      <c r="K1547" s="10" t="inlineStr">
        <is>
          <t>On time</t>
        </is>
      </c>
      <c r="L1547" s="6" t="n">
        <v>0</v>
      </c>
      <c r="M1547" s="10" t="n"/>
      <c r="N1547" s="6" t="n">
        <v>18</v>
      </c>
      <c r="O1547" s="6" t="n">
        <v>2484</v>
      </c>
      <c r="P1547" s="6" t="n">
        <v>1</v>
      </c>
      <c r="Q1547" s="6">
        <f>IF(OR(K1547="On time",K1547="Late",K1547="Very late"),1,0)</f>
        <v/>
      </c>
    </row>
    <row r="1548">
      <c r="A1548" s="10" t="inlineStr">
        <is>
          <t>DN319788</t>
        </is>
      </c>
      <c r="B1548" s="10" t="inlineStr">
        <is>
          <t>SO63777</t>
        </is>
      </c>
      <c r="C1548" s="10" t="inlineStr">
        <is>
          <t>C12675</t>
        </is>
      </c>
      <c r="D1548" s="10">
        <f>INDEX(Customers!$B:$B,MATCH(C1548,Customers!$A:$A,0))</f>
        <v/>
      </c>
      <c r="E1548" s="10">
        <f>INDEX(Customers!$D:$D,MATCH(C1548,Customers!$A:$A,0))</f>
        <v/>
      </c>
      <c r="F1548" s="10" t="inlineStr">
        <is>
          <t>Carrier B</t>
        </is>
      </c>
      <c r="G1548" s="5" t="n">
        <v>46286</v>
      </c>
      <c r="H1548" s="5" t="n">
        <v>46288</v>
      </c>
      <c r="I1548" s="5" t="n">
        <v>46288</v>
      </c>
      <c r="J1548" s="10" t="inlineStr">
        <is>
          <t>10:30</t>
        </is>
      </c>
      <c r="K1548" s="10" t="inlineStr">
        <is>
          <t>On time</t>
        </is>
      </c>
      <c r="L1548" s="6" t="n">
        <v>0</v>
      </c>
      <c r="M1548" s="10" t="n"/>
      <c r="N1548" s="6" t="n">
        <v>37</v>
      </c>
      <c r="O1548" s="6" t="n">
        <v>2849</v>
      </c>
      <c r="P1548" s="6" t="n">
        <v>1</v>
      </c>
      <c r="Q1548" s="6">
        <f>IF(OR(K1548="On time",K1548="Late",K1548="Very late"),1,0)</f>
        <v/>
      </c>
    </row>
    <row r="1549">
      <c r="A1549" s="10" t="inlineStr">
        <is>
          <t>DN319789</t>
        </is>
      </c>
      <c r="B1549" s="10" t="inlineStr">
        <is>
          <t>SO63779</t>
        </is>
      </c>
      <c r="C1549" s="10" t="inlineStr">
        <is>
          <t>C10322</t>
        </is>
      </c>
      <c r="D1549" s="10">
        <f>INDEX(Customers!$B:$B,MATCH(C1549,Customers!$A:$A,0))</f>
        <v/>
      </c>
      <c r="E1549" s="10">
        <f>INDEX(Customers!$D:$D,MATCH(C1549,Customers!$A:$A,0))</f>
        <v/>
      </c>
      <c r="F1549" s="10" t="inlineStr">
        <is>
          <t>Own trucks</t>
        </is>
      </c>
      <c r="G1549" s="5" t="n">
        <v>46288</v>
      </c>
      <c r="H1549" s="5" t="n">
        <v>46289</v>
      </c>
      <c r="I1549" s="5" t="n">
        <v>46289</v>
      </c>
      <c r="J1549" s="10" t="inlineStr">
        <is>
          <t>09:50</t>
        </is>
      </c>
      <c r="K1549" s="10" t="inlineStr">
        <is>
          <t>On time</t>
        </is>
      </c>
      <c r="L1549" s="6" t="n">
        <v>0</v>
      </c>
      <c r="M1549" s="10" t="n"/>
      <c r="N1549" s="6" t="n">
        <v>7</v>
      </c>
      <c r="O1549" s="6" t="n">
        <v>770</v>
      </c>
      <c r="P1549" s="6" t="n">
        <v>1</v>
      </c>
      <c r="Q1549" s="6">
        <f>IF(OR(K1549="On time",K1549="Late",K1549="Very late"),1,0)</f>
        <v/>
      </c>
    </row>
    <row r="1550">
      <c r="A1550" s="10" t="inlineStr">
        <is>
          <t>DN319790</t>
        </is>
      </c>
      <c r="B1550" s="10" t="inlineStr">
        <is>
          <t>SO63781</t>
        </is>
      </c>
      <c r="C1550" s="10" t="inlineStr">
        <is>
          <t>C10343</t>
        </is>
      </c>
      <c r="D1550" s="10">
        <f>INDEX(Customers!$B:$B,MATCH(C1550,Customers!$A:$A,0))</f>
        <v/>
      </c>
      <c r="E1550" s="10">
        <f>INDEX(Customers!$D:$D,MATCH(C1550,Customers!$A:$A,0))</f>
        <v/>
      </c>
      <c r="F1550" s="10" t="inlineStr">
        <is>
          <t>Own trucks</t>
        </is>
      </c>
      <c r="G1550" s="5" t="n">
        <v>46288</v>
      </c>
      <c r="H1550" s="5" t="n">
        <v>46289</v>
      </c>
      <c r="I1550" s="5" t="n">
        <v>46289</v>
      </c>
      <c r="J1550" s="10" t="inlineStr">
        <is>
          <t>08:10</t>
        </is>
      </c>
      <c r="K1550" s="10" t="inlineStr">
        <is>
          <t>On time</t>
        </is>
      </c>
      <c r="L1550" s="6" t="n">
        <v>0</v>
      </c>
      <c r="M1550" s="10" t="n"/>
      <c r="N1550" s="6" t="n">
        <v>37</v>
      </c>
      <c r="O1550" s="6" t="n">
        <v>4921</v>
      </c>
      <c r="P1550" s="6" t="n">
        <v>1</v>
      </c>
      <c r="Q1550" s="6">
        <f>IF(OR(K1550="On time",K1550="Late",K1550="Very late"),1,0)</f>
        <v/>
      </c>
    </row>
    <row r="1551">
      <c r="A1551" s="10" t="inlineStr">
        <is>
          <t>DN319791</t>
        </is>
      </c>
      <c r="B1551" s="10" t="inlineStr">
        <is>
          <t>SO63782</t>
        </is>
      </c>
      <c r="C1551" s="10" t="inlineStr">
        <is>
          <t>C10413</t>
        </is>
      </c>
      <c r="D1551" s="10">
        <f>INDEX(Customers!$B:$B,MATCH(C1551,Customers!$A:$A,0))</f>
        <v/>
      </c>
      <c r="E1551" s="10">
        <f>INDEX(Customers!$D:$D,MATCH(C1551,Customers!$A:$A,0))</f>
        <v/>
      </c>
      <c r="F1551" s="10" t="inlineStr">
        <is>
          <t>Own trucks</t>
        </is>
      </c>
      <c r="G1551" s="5" t="n">
        <v>46288</v>
      </c>
      <c r="H1551" s="5" t="n">
        <v>46289</v>
      </c>
      <c r="I1551" s="5" t="n">
        <v>46289</v>
      </c>
      <c r="J1551" s="10" t="inlineStr">
        <is>
          <t>11:30</t>
        </is>
      </c>
      <c r="K1551" s="10" t="inlineStr">
        <is>
          <t>On time</t>
        </is>
      </c>
      <c r="L1551" s="6" t="n">
        <v>0</v>
      </c>
      <c r="M1551" s="10" t="n"/>
      <c r="N1551" s="6" t="n">
        <v>35</v>
      </c>
      <c r="O1551" s="6" t="n">
        <v>2730</v>
      </c>
      <c r="P1551" s="6" t="n">
        <v>1</v>
      </c>
      <c r="Q1551" s="6">
        <f>IF(OR(K1551="On time",K1551="Late",K1551="Very late"),1,0)</f>
        <v/>
      </c>
    </row>
    <row r="1552">
      <c r="A1552" s="10" t="inlineStr">
        <is>
          <t>DN319792</t>
        </is>
      </c>
      <c r="B1552" s="10" t="inlineStr">
        <is>
          <t>SO63783</t>
        </is>
      </c>
      <c r="C1552" s="10" t="inlineStr">
        <is>
          <t>C10446</t>
        </is>
      </c>
      <c r="D1552" s="10">
        <f>INDEX(Customers!$B:$B,MATCH(C1552,Customers!$A:$A,0))</f>
        <v/>
      </c>
      <c r="E1552" s="10">
        <f>INDEX(Customers!$D:$D,MATCH(C1552,Customers!$A:$A,0))</f>
        <v/>
      </c>
      <c r="F1552" s="10" t="inlineStr">
        <is>
          <t>Own trucks</t>
        </is>
      </c>
      <c r="G1552" s="5" t="n">
        <v>46288</v>
      </c>
      <c r="H1552" s="5" t="n">
        <v>46289</v>
      </c>
      <c r="I1552" s="5" t="n">
        <v>46289</v>
      </c>
      <c r="J1552" s="10" t="inlineStr">
        <is>
          <t>14:20</t>
        </is>
      </c>
      <c r="K1552" s="10" t="inlineStr">
        <is>
          <t>On time</t>
        </is>
      </c>
      <c r="L1552" s="6" t="n">
        <v>0</v>
      </c>
      <c r="M1552" s="10" t="n"/>
      <c r="N1552" s="6" t="n">
        <v>28</v>
      </c>
      <c r="O1552" s="6" t="n">
        <v>2100</v>
      </c>
      <c r="P1552" s="6" t="n">
        <v>1</v>
      </c>
      <c r="Q1552" s="6">
        <f>IF(OR(K1552="On time",K1552="Late",K1552="Very late"),1,0)</f>
        <v/>
      </c>
    </row>
    <row r="1553">
      <c r="A1553" s="10" t="inlineStr">
        <is>
          <t>DN319793</t>
        </is>
      </c>
      <c r="B1553" s="10" t="inlineStr">
        <is>
          <t>SO63784</t>
        </is>
      </c>
      <c r="C1553" s="10" t="inlineStr">
        <is>
          <t>C10515</t>
        </is>
      </c>
      <c r="D1553" s="10">
        <f>INDEX(Customers!$B:$B,MATCH(C1553,Customers!$A:$A,0))</f>
        <v/>
      </c>
      <c r="E1553" s="10">
        <f>INDEX(Customers!$D:$D,MATCH(C1553,Customers!$A:$A,0))</f>
        <v/>
      </c>
      <c r="F1553" s="10" t="inlineStr">
        <is>
          <t>Own trucks</t>
        </is>
      </c>
      <c r="G1553" s="5" t="n">
        <v>46288</v>
      </c>
      <c r="H1553" s="5" t="n">
        <v>46289</v>
      </c>
      <c r="I1553" s="5" t="n">
        <v>46289</v>
      </c>
      <c r="J1553" s="10" t="inlineStr">
        <is>
          <t>09:40</t>
        </is>
      </c>
      <c r="K1553" s="10" t="inlineStr">
        <is>
          <t>On time</t>
        </is>
      </c>
      <c r="L1553" s="6" t="n">
        <v>0</v>
      </c>
      <c r="M1553" s="10" t="n"/>
      <c r="N1553" s="6" t="n">
        <v>39</v>
      </c>
      <c r="O1553" s="6" t="n">
        <v>4641</v>
      </c>
      <c r="P1553" s="6" t="n">
        <v>1</v>
      </c>
      <c r="Q1553" s="6">
        <f>IF(OR(K1553="On time",K1553="Late",K1553="Very late"),1,0)</f>
        <v/>
      </c>
    </row>
    <row r="1554">
      <c r="A1554" s="10" t="inlineStr">
        <is>
          <t>DN319794</t>
        </is>
      </c>
      <c r="B1554" s="10" t="inlineStr">
        <is>
          <t>SO63786</t>
        </is>
      </c>
      <c r="C1554" s="10" t="inlineStr">
        <is>
          <t>C10536</t>
        </is>
      </c>
      <c r="D1554" s="10">
        <f>INDEX(Customers!$B:$B,MATCH(C1554,Customers!$A:$A,0))</f>
        <v/>
      </c>
      <c r="E1554" s="10">
        <f>INDEX(Customers!$D:$D,MATCH(C1554,Customers!$A:$A,0))</f>
        <v/>
      </c>
      <c r="F1554" s="10" t="inlineStr">
        <is>
          <t>Own trucks</t>
        </is>
      </c>
      <c r="G1554" s="5" t="n">
        <v>46288</v>
      </c>
      <c r="H1554" s="5" t="n">
        <v>46289</v>
      </c>
      <c r="I1554" s="5" t="n">
        <v>46290</v>
      </c>
      <c r="J1554" s="10" t="inlineStr">
        <is>
          <t>15:30</t>
        </is>
      </c>
      <c r="K1554" s="10" t="inlineStr">
        <is>
          <t>Late</t>
        </is>
      </c>
      <c r="L1554" s="6" t="n">
        <v>1</v>
      </c>
      <c r="M1554" s="10" t="inlineStr">
        <is>
          <t>Run overloaded</t>
        </is>
      </c>
      <c r="N1554" s="6" t="n">
        <v>28</v>
      </c>
      <c r="O1554" s="6" t="n">
        <v>2184</v>
      </c>
      <c r="P1554" s="6" t="n">
        <v>1</v>
      </c>
      <c r="Q1554" s="6">
        <f>IF(OR(K1554="On time",K1554="Late",K1554="Very late"),1,0)</f>
        <v/>
      </c>
    </row>
    <row r="1555">
      <c r="A1555" s="10" t="inlineStr">
        <is>
          <t>DN319795</t>
        </is>
      </c>
      <c r="B1555" s="10" t="inlineStr">
        <is>
          <t>SO63788</t>
        </is>
      </c>
      <c r="C1555" s="10" t="inlineStr">
        <is>
          <t>C10551</t>
        </is>
      </c>
      <c r="D1555" s="10">
        <f>INDEX(Customers!$B:$B,MATCH(C1555,Customers!$A:$A,0))</f>
        <v/>
      </c>
      <c r="E1555" s="10">
        <f>INDEX(Customers!$D:$D,MATCH(C1555,Customers!$A:$A,0))</f>
        <v/>
      </c>
      <c r="F1555" s="10" t="inlineStr">
        <is>
          <t>Own trucks</t>
        </is>
      </c>
      <c r="G1555" s="5" t="n">
        <v>46288</v>
      </c>
      <c r="H1555" s="5" t="n">
        <v>46289</v>
      </c>
      <c r="I1555" s="5" t="n">
        <v>46289</v>
      </c>
      <c r="J1555" s="10" t="inlineStr">
        <is>
          <t>12:50</t>
        </is>
      </c>
      <c r="K1555" s="10" t="inlineStr">
        <is>
          <t>On time</t>
        </is>
      </c>
      <c r="L1555" s="6" t="n">
        <v>0</v>
      </c>
      <c r="M1555" s="10" t="n"/>
      <c r="N1555" s="6" t="n">
        <v>3</v>
      </c>
      <c r="O1555" s="6" t="n">
        <v>321</v>
      </c>
      <c r="P1555" s="6" t="n">
        <v>1</v>
      </c>
      <c r="Q1555" s="6">
        <f>IF(OR(K1555="On time",K1555="Late",K1555="Very late"),1,0)</f>
        <v/>
      </c>
    </row>
    <row r="1556">
      <c r="A1556" s="10" t="inlineStr">
        <is>
          <t>DN319796</t>
        </is>
      </c>
      <c r="B1556" s="10" t="inlineStr">
        <is>
          <t>SO63789</t>
        </is>
      </c>
      <c r="C1556" s="10" t="inlineStr">
        <is>
          <t>C10589</t>
        </is>
      </c>
      <c r="D1556" s="10">
        <f>INDEX(Customers!$B:$B,MATCH(C1556,Customers!$A:$A,0))</f>
        <v/>
      </c>
      <c r="E1556" s="10">
        <f>INDEX(Customers!$D:$D,MATCH(C1556,Customers!$A:$A,0))</f>
        <v/>
      </c>
      <c r="F1556" s="10" t="inlineStr">
        <is>
          <t>Own trucks</t>
        </is>
      </c>
      <c r="G1556" s="5" t="n">
        <v>46288</v>
      </c>
      <c r="H1556" s="5" t="n">
        <v>46289</v>
      </c>
      <c r="I1556" s="5" t="n">
        <v>46289</v>
      </c>
      <c r="J1556" s="10" t="inlineStr">
        <is>
          <t>11:10</t>
        </is>
      </c>
      <c r="K1556" s="10" t="inlineStr">
        <is>
          <t>On time</t>
        </is>
      </c>
      <c r="L1556" s="6" t="n">
        <v>0</v>
      </c>
      <c r="M1556" s="10" t="n"/>
      <c r="N1556" s="6" t="n">
        <v>37</v>
      </c>
      <c r="O1556" s="6" t="n">
        <v>3737</v>
      </c>
      <c r="P1556" s="6" t="n">
        <v>1</v>
      </c>
      <c r="Q1556" s="6">
        <f>IF(OR(K1556="On time",K1556="Late",K1556="Very late"),1,0)</f>
        <v/>
      </c>
    </row>
    <row r="1557">
      <c r="A1557" s="10" t="inlineStr">
        <is>
          <t>DN319797</t>
        </is>
      </c>
      <c r="B1557" s="10" t="inlineStr">
        <is>
          <t>SO63790</t>
        </is>
      </c>
      <c r="C1557" s="10" t="inlineStr">
        <is>
          <t>C10622</t>
        </is>
      </c>
      <c r="D1557" s="10">
        <f>INDEX(Customers!$B:$B,MATCH(C1557,Customers!$A:$A,0))</f>
        <v/>
      </c>
      <c r="E1557" s="10">
        <f>INDEX(Customers!$D:$D,MATCH(C1557,Customers!$A:$A,0))</f>
        <v/>
      </c>
      <c r="F1557" s="10" t="inlineStr">
        <is>
          <t>Own trucks</t>
        </is>
      </c>
      <c r="G1557" s="5" t="n">
        <v>46288</v>
      </c>
      <c r="H1557" s="5" t="n">
        <v>46289</v>
      </c>
      <c r="I1557" s="5" t="n">
        <v>46289</v>
      </c>
      <c r="J1557" s="10" t="inlineStr">
        <is>
          <t>16:00</t>
        </is>
      </c>
      <c r="K1557" s="10" t="inlineStr">
        <is>
          <t>On time</t>
        </is>
      </c>
      <c r="L1557" s="6" t="n">
        <v>0</v>
      </c>
      <c r="M1557" s="10" t="n"/>
      <c r="N1557" s="6" t="n">
        <v>35</v>
      </c>
      <c r="O1557" s="6" t="n">
        <v>4515</v>
      </c>
      <c r="P1557" s="6" t="n">
        <v>1</v>
      </c>
      <c r="Q1557" s="6">
        <f>IF(OR(K1557="On time",K1557="Late",K1557="Very late"),1,0)</f>
        <v/>
      </c>
    </row>
    <row r="1558">
      <c r="A1558" s="10" t="inlineStr">
        <is>
          <t>DN319798</t>
        </is>
      </c>
      <c r="B1558" s="10" t="inlineStr">
        <is>
          <t>SO63791</t>
        </is>
      </c>
      <c r="C1558" s="10" t="inlineStr">
        <is>
          <t>C10676</t>
        </is>
      </c>
      <c r="D1558" s="10">
        <f>INDEX(Customers!$B:$B,MATCH(C1558,Customers!$A:$A,0))</f>
        <v/>
      </c>
      <c r="E1558" s="10">
        <f>INDEX(Customers!$D:$D,MATCH(C1558,Customers!$A:$A,0))</f>
        <v/>
      </c>
      <c r="F1558" s="10" t="inlineStr">
        <is>
          <t>Own trucks</t>
        </is>
      </c>
      <c r="G1558" s="5" t="n">
        <v>46288</v>
      </c>
      <c r="H1558" s="5" t="n">
        <v>46289</v>
      </c>
      <c r="I1558" s="5" t="n">
        <v>46289</v>
      </c>
      <c r="J1558" s="10" t="inlineStr">
        <is>
          <t>09:30</t>
        </is>
      </c>
      <c r="K1558" s="10" t="inlineStr">
        <is>
          <t>On time</t>
        </is>
      </c>
      <c r="L1558" s="6" t="n">
        <v>0</v>
      </c>
      <c r="M1558" s="10" t="n"/>
      <c r="N1558" s="6" t="n">
        <v>12</v>
      </c>
      <c r="O1558" s="6" t="n">
        <v>1080</v>
      </c>
      <c r="P1558" s="6" t="n">
        <v>1</v>
      </c>
      <c r="Q1558" s="6">
        <f>IF(OR(K1558="On time",K1558="Late",K1558="Very late"),1,0)</f>
        <v/>
      </c>
    </row>
    <row r="1559">
      <c r="A1559" s="10" t="inlineStr">
        <is>
          <t>DN319799</t>
        </is>
      </c>
      <c r="B1559" s="10" t="inlineStr">
        <is>
          <t>SO63793</t>
        </is>
      </c>
      <c r="C1559" s="10" t="inlineStr">
        <is>
          <t>C10847</t>
        </is>
      </c>
      <c r="D1559" s="10">
        <f>INDEX(Customers!$B:$B,MATCH(C1559,Customers!$A:$A,0))</f>
        <v/>
      </c>
      <c r="E1559" s="10">
        <f>INDEX(Customers!$D:$D,MATCH(C1559,Customers!$A:$A,0))</f>
        <v/>
      </c>
      <c r="F1559" s="10" t="inlineStr">
        <is>
          <t>Own trucks</t>
        </is>
      </c>
      <c r="G1559" s="5" t="n">
        <v>46288</v>
      </c>
      <c r="H1559" s="5" t="n">
        <v>46289</v>
      </c>
      <c r="I1559" s="5" t="n">
        <v>46289</v>
      </c>
      <c r="J1559" s="10" t="inlineStr">
        <is>
          <t>16:40</t>
        </is>
      </c>
      <c r="K1559" s="10" t="inlineStr">
        <is>
          <t>On time</t>
        </is>
      </c>
      <c r="L1559" s="6" t="n">
        <v>0</v>
      </c>
      <c r="M1559" s="10" t="n"/>
      <c r="N1559" s="6" t="n">
        <v>36</v>
      </c>
      <c r="O1559" s="6" t="n">
        <v>5004</v>
      </c>
      <c r="P1559" s="6" t="n">
        <v>1</v>
      </c>
      <c r="Q1559" s="6">
        <f>IF(OR(K1559="On time",K1559="Late",K1559="Very late"),1,0)</f>
        <v/>
      </c>
    </row>
    <row r="1560">
      <c r="A1560" s="10" t="inlineStr">
        <is>
          <t>DN319801</t>
        </is>
      </c>
      <c r="B1560" s="10" t="inlineStr">
        <is>
          <t>SO63794</t>
        </is>
      </c>
      <c r="C1560" s="10" t="inlineStr">
        <is>
          <t>C10915</t>
        </is>
      </c>
      <c r="D1560" s="10">
        <f>INDEX(Customers!$B:$B,MATCH(C1560,Customers!$A:$A,0))</f>
        <v/>
      </c>
      <c r="E1560" s="10">
        <f>INDEX(Customers!$D:$D,MATCH(C1560,Customers!$A:$A,0))</f>
        <v/>
      </c>
      <c r="F1560" s="10" t="inlineStr">
        <is>
          <t>Own trucks</t>
        </is>
      </c>
      <c r="G1560" s="5" t="n">
        <v>46288</v>
      </c>
      <c r="H1560" s="5" t="n">
        <v>46289</v>
      </c>
      <c r="I1560" s="5" t="n">
        <v>46289</v>
      </c>
      <c r="J1560" s="10" t="inlineStr">
        <is>
          <t>10:20</t>
        </is>
      </c>
      <c r="K1560" s="10" t="inlineStr">
        <is>
          <t>On time</t>
        </is>
      </c>
      <c r="L1560" s="6" t="n">
        <v>0</v>
      </c>
      <c r="M1560" s="10" t="n"/>
      <c r="N1560" s="6" t="n">
        <v>34</v>
      </c>
      <c r="O1560" s="6" t="n">
        <v>2074</v>
      </c>
      <c r="P1560" s="6" t="n">
        <v>1</v>
      </c>
      <c r="Q1560" s="6">
        <f>IF(OR(K1560="On time",K1560="Late",K1560="Very late"),1,0)</f>
        <v/>
      </c>
    </row>
    <row r="1561">
      <c r="A1561" s="10" t="inlineStr">
        <is>
          <t>DN319802</t>
        </is>
      </c>
      <c r="B1561" s="10" t="inlineStr">
        <is>
          <t>SO63795</t>
        </is>
      </c>
      <c r="C1561" s="10" t="inlineStr">
        <is>
          <t>C10982</t>
        </is>
      </c>
      <c r="D1561" s="10">
        <f>INDEX(Customers!$B:$B,MATCH(C1561,Customers!$A:$A,0))</f>
        <v/>
      </c>
      <c r="E1561" s="10">
        <f>INDEX(Customers!$D:$D,MATCH(C1561,Customers!$A:$A,0))</f>
        <v/>
      </c>
      <c r="F1561" s="10" t="inlineStr">
        <is>
          <t>Own trucks</t>
        </is>
      </c>
      <c r="G1561" s="5" t="n">
        <v>46288</v>
      </c>
      <c r="H1561" s="5" t="n">
        <v>46289</v>
      </c>
      <c r="I1561" s="5" t="n">
        <v>46290</v>
      </c>
      <c r="J1561" s="10" t="inlineStr">
        <is>
          <t>11:40</t>
        </is>
      </c>
      <c r="K1561" s="10" t="inlineStr">
        <is>
          <t>Late</t>
        </is>
      </c>
      <c r="L1561" s="6" t="n">
        <v>1</v>
      </c>
      <c r="M1561" s="10" t="inlineStr">
        <is>
          <t>Stock not ready</t>
        </is>
      </c>
      <c r="N1561" s="6" t="n">
        <v>27</v>
      </c>
      <c r="O1561" s="6" t="n">
        <v>2835</v>
      </c>
      <c r="P1561" s="6" t="n">
        <v>1</v>
      </c>
      <c r="Q1561" s="6">
        <f>IF(OR(K1561="On time",K1561="Late",K1561="Very late"),1,0)</f>
        <v/>
      </c>
    </row>
    <row r="1562">
      <c r="A1562" s="10" t="inlineStr">
        <is>
          <t>DN319803</t>
        </is>
      </c>
      <c r="B1562" s="10" t="inlineStr">
        <is>
          <t>SO63796</t>
        </is>
      </c>
      <c r="C1562" s="10" t="inlineStr">
        <is>
          <t>C11107</t>
        </is>
      </c>
      <c r="D1562" s="10">
        <f>INDEX(Customers!$B:$B,MATCH(C1562,Customers!$A:$A,0))</f>
        <v/>
      </c>
      <c r="E1562" s="10">
        <f>INDEX(Customers!$D:$D,MATCH(C1562,Customers!$A:$A,0))</f>
        <v/>
      </c>
      <c r="F1562" s="10" t="inlineStr">
        <is>
          <t>Own trucks</t>
        </is>
      </c>
      <c r="G1562" s="5" t="n">
        <v>46288</v>
      </c>
      <c r="H1562" s="5" t="n">
        <v>46289</v>
      </c>
      <c r="I1562" s="5" t="n">
        <v>46289</v>
      </c>
      <c r="J1562" s="10" t="inlineStr">
        <is>
          <t>08:10</t>
        </is>
      </c>
      <c r="K1562" s="10" t="inlineStr">
        <is>
          <t>On time</t>
        </is>
      </c>
      <c r="L1562" s="6" t="n">
        <v>0</v>
      </c>
      <c r="M1562" s="10" t="n"/>
      <c r="N1562" s="6" t="n">
        <v>27</v>
      </c>
      <c r="O1562" s="6" t="n">
        <v>1998</v>
      </c>
      <c r="P1562" s="6" t="n">
        <v>1</v>
      </c>
      <c r="Q1562" s="6">
        <f>IF(OR(K1562="On time",K1562="Late",K1562="Very late"),1,0)</f>
        <v/>
      </c>
    </row>
    <row r="1563">
      <c r="A1563" s="10" t="inlineStr">
        <is>
          <t>DN319804</t>
        </is>
      </c>
      <c r="B1563" s="10" t="inlineStr">
        <is>
          <t>SO63797</t>
        </is>
      </c>
      <c r="C1563" s="10" t="inlineStr">
        <is>
          <t>C11143</t>
        </is>
      </c>
      <c r="D1563" s="10">
        <f>INDEX(Customers!$B:$B,MATCH(C1563,Customers!$A:$A,0))</f>
        <v/>
      </c>
      <c r="E1563" s="10">
        <f>INDEX(Customers!$D:$D,MATCH(C1563,Customers!$A:$A,0))</f>
        <v/>
      </c>
      <c r="F1563" s="10" t="inlineStr">
        <is>
          <t>Own trucks</t>
        </is>
      </c>
      <c r="G1563" s="5" t="n">
        <v>46288</v>
      </c>
      <c r="H1563" s="5" t="n">
        <v>46289</v>
      </c>
      <c r="I1563" s="5" t="n">
        <v>46289</v>
      </c>
      <c r="J1563" s="10" t="inlineStr">
        <is>
          <t>08:00</t>
        </is>
      </c>
      <c r="K1563" s="10" t="inlineStr">
        <is>
          <t>On time</t>
        </is>
      </c>
      <c r="L1563" s="6" t="n">
        <v>0</v>
      </c>
      <c r="M1563" s="10" t="n"/>
      <c r="N1563" s="6" t="n">
        <v>34</v>
      </c>
      <c r="O1563" s="6" t="n">
        <v>2924</v>
      </c>
      <c r="P1563" s="6" t="n">
        <v>0</v>
      </c>
      <c r="Q1563" s="6">
        <f>IF(OR(K1563="On time",K1563="Late",K1563="Very late"),1,0)</f>
        <v/>
      </c>
    </row>
    <row r="1564">
      <c r="A1564" s="10" t="inlineStr">
        <is>
          <t>DN319805</t>
        </is>
      </c>
      <c r="B1564" s="10" t="inlineStr">
        <is>
          <t>SO63798</t>
        </is>
      </c>
      <c r="C1564" s="10" t="inlineStr">
        <is>
          <t>C11186</t>
        </is>
      </c>
      <c r="D1564" s="10">
        <f>INDEX(Customers!$B:$B,MATCH(C1564,Customers!$A:$A,0))</f>
        <v/>
      </c>
      <c r="E1564" s="10">
        <f>INDEX(Customers!$D:$D,MATCH(C1564,Customers!$A:$A,0))</f>
        <v/>
      </c>
      <c r="F1564" s="10" t="inlineStr">
        <is>
          <t>Own trucks</t>
        </is>
      </c>
      <c r="G1564" s="5" t="n">
        <v>46288</v>
      </c>
      <c r="H1564" s="5" t="n">
        <v>46289</v>
      </c>
      <c r="I1564" s="5" t="n">
        <v>46289</v>
      </c>
      <c r="J1564" s="10" t="inlineStr">
        <is>
          <t>15:00</t>
        </is>
      </c>
      <c r="K1564" s="10" t="inlineStr">
        <is>
          <t>On time</t>
        </is>
      </c>
      <c r="L1564" s="6" t="n">
        <v>0</v>
      </c>
      <c r="M1564" s="10" t="n"/>
      <c r="N1564" s="6" t="n">
        <v>28</v>
      </c>
      <c r="O1564" s="6" t="n">
        <v>1624</v>
      </c>
      <c r="P1564" s="6" t="n">
        <v>1</v>
      </c>
      <c r="Q1564" s="6">
        <f>IF(OR(K1564="On time",K1564="Late",K1564="Very late"),1,0)</f>
        <v/>
      </c>
    </row>
    <row r="1565">
      <c r="A1565" s="10" t="inlineStr">
        <is>
          <t>DN319806</t>
        </is>
      </c>
      <c r="B1565" s="10" t="inlineStr">
        <is>
          <t>SO63800</t>
        </is>
      </c>
      <c r="C1565" s="10" t="inlineStr">
        <is>
          <t>C11247</t>
        </is>
      </c>
      <c r="D1565" s="10">
        <f>INDEX(Customers!$B:$B,MATCH(C1565,Customers!$A:$A,0))</f>
        <v/>
      </c>
      <c r="E1565" s="10">
        <f>INDEX(Customers!$D:$D,MATCH(C1565,Customers!$A:$A,0))</f>
        <v/>
      </c>
      <c r="F1565" s="10" t="inlineStr">
        <is>
          <t>Own trucks</t>
        </is>
      </c>
      <c r="G1565" s="5" t="n">
        <v>46288</v>
      </c>
      <c r="H1565" s="5" t="n">
        <v>46289</v>
      </c>
      <c r="I1565" s="5" t="n">
        <v>46289</v>
      </c>
      <c r="J1565" s="10" t="inlineStr">
        <is>
          <t>15:30</t>
        </is>
      </c>
      <c r="K1565" s="10" t="inlineStr">
        <is>
          <t>On time</t>
        </is>
      </c>
      <c r="L1565" s="6" t="n">
        <v>0</v>
      </c>
      <c r="M1565" s="10" t="n"/>
      <c r="N1565" s="6" t="n">
        <v>23</v>
      </c>
      <c r="O1565" s="6" t="n">
        <v>1334</v>
      </c>
      <c r="P1565" s="6" t="n">
        <v>1</v>
      </c>
      <c r="Q1565" s="6">
        <f>IF(OR(K1565="On time",K1565="Late",K1565="Very late"),1,0)</f>
        <v/>
      </c>
    </row>
    <row r="1566">
      <c r="A1566" s="10" t="inlineStr">
        <is>
          <t>DN319807</t>
        </is>
      </c>
      <c r="B1566" s="10" t="inlineStr">
        <is>
          <t>SO63801</t>
        </is>
      </c>
      <c r="C1566" s="10" t="inlineStr">
        <is>
          <t>C11264</t>
        </is>
      </c>
      <c r="D1566" s="10">
        <f>INDEX(Customers!$B:$B,MATCH(C1566,Customers!$A:$A,0))</f>
        <v/>
      </c>
      <c r="E1566" s="10">
        <f>INDEX(Customers!$D:$D,MATCH(C1566,Customers!$A:$A,0))</f>
        <v/>
      </c>
      <c r="F1566" s="10" t="inlineStr">
        <is>
          <t>Own trucks</t>
        </is>
      </c>
      <c r="G1566" s="5" t="n">
        <v>46288</v>
      </c>
      <c r="H1566" s="5" t="n">
        <v>46289</v>
      </c>
      <c r="I1566" s="5" t="n">
        <v>46289</v>
      </c>
      <c r="J1566" s="10" t="inlineStr">
        <is>
          <t>13:20</t>
        </is>
      </c>
      <c r="K1566" s="10" t="inlineStr">
        <is>
          <t>On time</t>
        </is>
      </c>
      <c r="L1566" s="6" t="n">
        <v>0</v>
      </c>
      <c r="M1566" s="10" t="n"/>
      <c r="N1566" s="6" t="n">
        <v>28</v>
      </c>
      <c r="O1566" s="6" t="n">
        <v>2660</v>
      </c>
      <c r="P1566" s="6" t="n">
        <v>1</v>
      </c>
      <c r="Q1566" s="6">
        <f>IF(OR(K1566="On time",K1566="Late",K1566="Very late"),1,0)</f>
        <v/>
      </c>
    </row>
    <row r="1567">
      <c r="A1567" s="10" t="inlineStr">
        <is>
          <t>DN319808</t>
        </is>
      </c>
      <c r="B1567" s="10" t="inlineStr">
        <is>
          <t>SO63802</t>
        </is>
      </c>
      <c r="C1567" s="10" t="inlineStr">
        <is>
          <t>C11314</t>
        </is>
      </c>
      <c r="D1567" s="10">
        <f>INDEX(Customers!$B:$B,MATCH(C1567,Customers!$A:$A,0))</f>
        <v/>
      </c>
      <c r="E1567" s="10">
        <f>INDEX(Customers!$D:$D,MATCH(C1567,Customers!$A:$A,0))</f>
        <v/>
      </c>
      <c r="F1567" s="10" t="inlineStr">
        <is>
          <t>Own trucks</t>
        </is>
      </c>
      <c r="G1567" s="5" t="n">
        <v>46288</v>
      </c>
      <c r="H1567" s="5" t="n">
        <v>46289</v>
      </c>
      <c r="I1567" s="5" t="n">
        <v>46289</v>
      </c>
      <c r="J1567" s="10" t="inlineStr">
        <is>
          <t>15:10</t>
        </is>
      </c>
      <c r="K1567" s="10" t="inlineStr">
        <is>
          <t>On time</t>
        </is>
      </c>
      <c r="L1567" s="6" t="n">
        <v>0</v>
      </c>
      <c r="M1567" s="10" t="n"/>
      <c r="N1567" s="6" t="n">
        <v>13</v>
      </c>
      <c r="O1567" s="6" t="n">
        <v>1209</v>
      </c>
      <c r="P1567" s="6" t="n">
        <v>1</v>
      </c>
      <c r="Q1567" s="6">
        <f>IF(OR(K1567="On time",K1567="Late",K1567="Very late"),1,0)</f>
        <v/>
      </c>
    </row>
    <row r="1568">
      <c r="A1568" s="10" t="inlineStr">
        <is>
          <t>DN319809</t>
        </is>
      </c>
      <c r="B1568" s="10" t="inlineStr">
        <is>
          <t>SO63803</t>
        </is>
      </c>
      <c r="C1568" s="10" t="inlineStr">
        <is>
          <t>C11616</t>
        </is>
      </c>
      <c r="D1568" s="10">
        <f>INDEX(Customers!$B:$B,MATCH(C1568,Customers!$A:$A,0))</f>
        <v/>
      </c>
      <c r="E1568" s="10">
        <f>INDEX(Customers!$D:$D,MATCH(C1568,Customers!$A:$A,0))</f>
        <v/>
      </c>
      <c r="F1568" s="10" t="inlineStr">
        <is>
          <t>Own trucks</t>
        </is>
      </c>
      <c r="G1568" s="5" t="n">
        <v>46288</v>
      </c>
      <c r="H1568" s="5" t="n">
        <v>46289</v>
      </c>
      <c r="I1568" s="5" t="n">
        <v>46289</v>
      </c>
      <c r="J1568" s="10" t="inlineStr">
        <is>
          <t>15:40</t>
        </is>
      </c>
      <c r="K1568" s="10" t="inlineStr">
        <is>
          <t>On time</t>
        </is>
      </c>
      <c r="L1568" s="6" t="n">
        <v>0</v>
      </c>
      <c r="M1568" s="10" t="n"/>
      <c r="N1568" s="6" t="n">
        <v>8</v>
      </c>
      <c r="O1568" s="6" t="n">
        <v>488</v>
      </c>
      <c r="P1568" s="6" t="n">
        <v>1</v>
      </c>
      <c r="Q1568" s="6">
        <f>IF(OR(K1568="On time",K1568="Late",K1568="Very late"),1,0)</f>
        <v/>
      </c>
    </row>
    <row r="1569">
      <c r="A1569" s="10" t="inlineStr">
        <is>
          <t>DN319810</t>
        </is>
      </c>
      <c r="B1569" s="10" t="inlineStr">
        <is>
          <t>SO63804</t>
        </is>
      </c>
      <c r="C1569" s="10" t="inlineStr">
        <is>
          <t>C11666</t>
        </is>
      </c>
      <c r="D1569" s="10">
        <f>INDEX(Customers!$B:$B,MATCH(C1569,Customers!$A:$A,0))</f>
        <v/>
      </c>
      <c r="E1569" s="10">
        <f>INDEX(Customers!$D:$D,MATCH(C1569,Customers!$A:$A,0))</f>
        <v/>
      </c>
      <c r="F1569" s="10" t="inlineStr">
        <is>
          <t>Own trucks</t>
        </is>
      </c>
      <c r="G1569" s="5" t="n">
        <v>46288</v>
      </c>
      <c r="H1569" s="5" t="n">
        <v>46289</v>
      </c>
      <c r="I1569" s="5" t="n">
        <v>46289</v>
      </c>
      <c r="J1569" s="10" t="inlineStr">
        <is>
          <t>15:50</t>
        </is>
      </c>
      <c r="K1569" s="10" t="inlineStr">
        <is>
          <t>On time</t>
        </is>
      </c>
      <c r="L1569" s="6" t="n">
        <v>0</v>
      </c>
      <c r="M1569" s="10" t="n"/>
      <c r="N1569" s="6" t="n">
        <v>17</v>
      </c>
      <c r="O1569" s="6" t="n">
        <v>2210</v>
      </c>
      <c r="P1569" s="6" t="n">
        <v>1</v>
      </c>
      <c r="Q1569" s="6">
        <f>IF(OR(K1569="On time",K1569="Late",K1569="Very late"),1,0)</f>
        <v/>
      </c>
    </row>
    <row r="1570">
      <c r="A1570" s="10" t="inlineStr">
        <is>
          <t>DN319811</t>
        </is>
      </c>
      <c r="B1570" s="10" t="inlineStr">
        <is>
          <t>SO63806</t>
        </is>
      </c>
      <c r="C1570" s="10" t="inlineStr">
        <is>
          <t>C11798</t>
        </is>
      </c>
      <c r="D1570" s="10">
        <f>INDEX(Customers!$B:$B,MATCH(C1570,Customers!$A:$A,0))</f>
        <v/>
      </c>
      <c r="E1570" s="10">
        <f>INDEX(Customers!$D:$D,MATCH(C1570,Customers!$A:$A,0))</f>
        <v/>
      </c>
      <c r="F1570" s="10" t="inlineStr">
        <is>
          <t>Carrier A</t>
        </is>
      </c>
      <c r="G1570" s="5" t="n">
        <v>46288</v>
      </c>
      <c r="H1570" s="5" t="n">
        <v>46289</v>
      </c>
      <c r="I1570" s="5" t="n">
        <v>46289</v>
      </c>
      <c r="J1570" s="10" t="inlineStr">
        <is>
          <t>09:50</t>
        </is>
      </c>
      <c r="K1570" s="10" t="inlineStr">
        <is>
          <t>On time</t>
        </is>
      </c>
      <c r="L1570" s="6" t="n">
        <v>0</v>
      </c>
      <c r="M1570" s="10" t="n"/>
      <c r="N1570" s="6" t="n">
        <v>27</v>
      </c>
      <c r="O1570" s="6" t="n">
        <v>3672</v>
      </c>
      <c r="P1570" s="6" t="n">
        <v>1</v>
      </c>
      <c r="Q1570" s="6">
        <f>IF(OR(K1570="On time",K1570="Late",K1570="Very late"),1,0)</f>
        <v/>
      </c>
    </row>
    <row r="1571">
      <c r="A1571" s="10" t="inlineStr">
        <is>
          <t>DN319812</t>
        </is>
      </c>
      <c r="B1571" s="10" t="inlineStr">
        <is>
          <t>SO63807</t>
        </is>
      </c>
      <c r="C1571" s="10" t="inlineStr">
        <is>
          <t>C11858</t>
        </is>
      </c>
      <c r="D1571" s="10">
        <f>INDEX(Customers!$B:$B,MATCH(C1571,Customers!$A:$A,0))</f>
        <v/>
      </c>
      <c r="E1571" s="10">
        <f>INDEX(Customers!$D:$D,MATCH(C1571,Customers!$A:$A,0))</f>
        <v/>
      </c>
      <c r="F1571" s="10" t="inlineStr">
        <is>
          <t>Carrier A</t>
        </is>
      </c>
      <c r="G1571" s="5" t="n">
        <v>46288</v>
      </c>
      <c r="H1571" s="5" t="n">
        <v>46289</v>
      </c>
      <c r="I1571" s="5" t="n">
        <v>46289</v>
      </c>
      <c r="J1571" s="10" t="inlineStr">
        <is>
          <t>07:30</t>
        </is>
      </c>
      <c r="K1571" s="10" t="inlineStr">
        <is>
          <t>On time</t>
        </is>
      </c>
      <c r="L1571" s="6" t="n">
        <v>0</v>
      </c>
      <c r="M1571" s="10" t="n"/>
      <c r="N1571" s="6" t="n">
        <v>20</v>
      </c>
      <c r="O1571" s="6" t="n">
        <v>2420</v>
      </c>
      <c r="P1571" s="6" t="n">
        <v>1</v>
      </c>
      <c r="Q1571" s="6">
        <f>IF(OR(K1571="On time",K1571="Late",K1571="Very late"),1,0)</f>
        <v/>
      </c>
    </row>
    <row r="1572">
      <c r="A1572" s="10" t="inlineStr">
        <is>
          <t>DN319813</t>
        </is>
      </c>
      <c r="B1572" s="10" t="inlineStr">
        <is>
          <t>SO63808</t>
        </is>
      </c>
      <c r="C1572" s="10" t="inlineStr">
        <is>
          <t>C11910</t>
        </is>
      </c>
      <c r="D1572" s="10">
        <f>INDEX(Customers!$B:$B,MATCH(C1572,Customers!$A:$A,0))</f>
        <v/>
      </c>
      <c r="E1572" s="10">
        <f>INDEX(Customers!$D:$D,MATCH(C1572,Customers!$A:$A,0))</f>
        <v/>
      </c>
      <c r="F1572" s="10" t="inlineStr">
        <is>
          <t>Carrier A</t>
        </is>
      </c>
      <c r="G1572" s="5" t="n">
        <v>46288</v>
      </c>
      <c r="H1572" s="5" t="n">
        <v>46289</v>
      </c>
      <c r="I1572" s="5" t="n">
        <v>46289</v>
      </c>
      <c r="J1572" s="10" t="inlineStr">
        <is>
          <t>15:40</t>
        </is>
      </c>
      <c r="K1572" s="10" t="inlineStr">
        <is>
          <t>On time</t>
        </is>
      </c>
      <c r="L1572" s="6" t="n">
        <v>0</v>
      </c>
      <c r="M1572" s="10" t="n"/>
      <c r="N1572" s="6" t="n">
        <v>31</v>
      </c>
      <c r="O1572" s="6" t="n">
        <v>2170</v>
      </c>
      <c r="P1572" s="6" t="n">
        <v>1</v>
      </c>
      <c r="Q1572" s="6">
        <f>IF(OR(K1572="On time",K1572="Late",K1572="Very late"),1,0)</f>
        <v/>
      </c>
    </row>
    <row r="1573">
      <c r="A1573" s="10" t="inlineStr">
        <is>
          <t>DN319814</t>
        </is>
      </c>
      <c r="B1573" s="10" t="inlineStr">
        <is>
          <t>SO63809</t>
        </is>
      </c>
      <c r="C1573" s="10" t="inlineStr">
        <is>
          <t>C11950</t>
        </is>
      </c>
      <c r="D1573" s="10">
        <f>INDEX(Customers!$B:$B,MATCH(C1573,Customers!$A:$A,0))</f>
        <v/>
      </c>
      <c r="E1573" s="10">
        <f>INDEX(Customers!$D:$D,MATCH(C1573,Customers!$A:$A,0))</f>
        <v/>
      </c>
      <c r="F1573" s="10" t="inlineStr">
        <is>
          <t>Carrier A</t>
        </is>
      </c>
      <c r="G1573" s="5" t="n">
        <v>46288</v>
      </c>
      <c r="H1573" s="5" t="n">
        <v>46289</v>
      </c>
      <c r="I1573" s="5" t="n">
        <v>46289</v>
      </c>
      <c r="J1573" s="10" t="inlineStr">
        <is>
          <t>14:10</t>
        </is>
      </c>
      <c r="K1573" s="10" t="inlineStr">
        <is>
          <t>On time</t>
        </is>
      </c>
      <c r="L1573" s="6" t="n">
        <v>0</v>
      </c>
      <c r="M1573" s="10" t="n"/>
      <c r="N1573" s="6" t="n">
        <v>33</v>
      </c>
      <c r="O1573" s="6" t="n">
        <v>3630</v>
      </c>
      <c r="P1573" s="6" t="n">
        <v>1</v>
      </c>
      <c r="Q1573" s="6">
        <f>IF(OR(K1573="On time",K1573="Late",K1573="Very late"),1,0)</f>
        <v/>
      </c>
    </row>
    <row r="1574">
      <c r="A1574" s="10" t="inlineStr">
        <is>
          <t>DN319815</t>
        </is>
      </c>
      <c r="B1574" s="10" t="inlineStr">
        <is>
          <t>SO63811</t>
        </is>
      </c>
      <c r="C1574" s="10" t="inlineStr">
        <is>
          <t>C11971</t>
        </is>
      </c>
      <c r="D1574" s="10">
        <f>INDEX(Customers!$B:$B,MATCH(C1574,Customers!$A:$A,0))</f>
        <v/>
      </c>
      <c r="E1574" s="10">
        <f>INDEX(Customers!$D:$D,MATCH(C1574,Customers!$A:$A,0))</f>
        <v/>
      </c>
      <c r="F1574" s="10" t="inlineStr">
        <is>
          <t>Own trucks</t>
        </is>
      </c>
      <c r="G1574" s="5" t="n">
        <v>46288</v>
      </c>
      <c r="H1574" s="5" t="n">
        <v>46289</v>
      </c>
      <c r="I1574" s="5" t="n">
        <v>46289</v>
      </c>
      <c r="J1574" s="10" t="inlineStr">
        <is>
          <t>09:20</t>
        </is>
      </c>
      <c r="K1574" s="10" t="inlineStr">
        <is>
          <t>On time</t>
        </is>
      </c>
      <c r="L1574" s="6" t="n">
        <v>0</v>
      </c>
      <c r="M1574" s="10" t="n"/>
      <c r="N1574" s="6" t="n">
        <v>18</v>
      </c>
      <c r="O1574" s="6" t="n">
        <v>1242</v>
      </c>
      <c r="P1574" s="6" t="n">
        <v>1</v>
      </c>
      <c r="Q1574" s="6">
        <f>IF(OR(K1574="On time",K1574="Late",K1574="Very late"),1,0)</f>
        <v/>
      </c>
    </row>
    <row r="1575">
      <c r="A1575" s="10" t="inlineStr">
        <is>
          <t>DN319816</t>
        </is>
      </c>
      <c r="B1575" s="10" t="inlineStr">
        <is>
          <t>SO63813</t>
        </is>
      </c>
      <c r="C1575" s="10" t="inlineStr">
        <is>
          <t>C11982</t>
        </is>
      </c>
      <c r="D1575" s="10">
        <f>INDEX(Customers!$B:$B,MATCH(C1575,Customers!$A:$A,0))</f>
        <v/>
      </c>
      <c r="E1575" s="10">
        <f>INDEX(Customers!$D:$D,MATCH(C1575,Customers!$A:$A,0))</f>
        <v/>
      </c>
      <c r="F1575" s="10" t="inlineStr">
        <is>
          <t>Own trucks</t>
        </is>
      </c>
      <c r="G1575" s="5" t="n">
        <v>46288</v>
      </c>
      <c r="H1575" s="5" t="n">
        <v>46289</v>
      </c>
      <c r="I1575" s="5" t="n">
        <v>46289</v>
      </c>
      <c r="J1575" s="10" t="inlineStr">
        <is>
          <t>11:50</t>
        </is>
      </c>
      <c r="K1575" s="10" t="inlineStr">
        <is>
          <t>On time</t>
        </is>
      </c>
      <c r="L1575" s="6" t="n">
        <v>0</v>
      </c>
      <c r="M1575" s="10" t="n"/>
      <c r="N1575" s="6" t="n">
        <v>9</v>
      </c>
      <c r="O1575" s="6" t="n">
        <v>1053</v>
      </c>
      <c r="P1575" s="6" t="n">
        <v>1</v>
      </c>
      <c r="Q1575" s="6">
        <f>IF(OR(K1575="On time",K1575="Late",K1575="Very late"),1,0)</f>
        <v/>
      </c>
    </row>
    <row r="1576">
      <c r="A1576" s="10" t="inlineStr">
        <is>
          <t>DN319817</t>
        </is>
      </c>
      <c r="B1576" s="10" t="inlineStr">
        <is>
          <t>SO63814</t>
        </is>
      </c>
      <c r="C1576" s="10" t="inlineStr">
        <is>
          <t>C12037</t>
        </is>
      </c>
      <c r="D1576" s="10">
        <f>INDEX(Customers!$B:$B,MATCH(C1576,Customers!$A:$A,0))</f>
        <v/>
      </c>
      <c r="E1576" s="10">
        <f>INDEX(Customers!$D:$D,MATCH(C1576,Customers!$A:$A,0))</f>
        <v/>
      </c>
      <c r="F1576" s="10" t="inlineStr">
        <is>
          <t>Own trucks</t>
        </is>
      </c>
      <c r="G1576" s="5" t="n">
        <v>46288</v>
      </c>
      <c r="H1576" s="5" t="n">
        <v>46289</v>
      </c>
      <c r="I1576" s="5" t="n">
        <v>46289</v>
      </c>
      <c r="J1576" s="10" t="inlineStr">
        <is>
          <t>09:50</t>
        </is>
      </c>
      <c r="K1576" s="10" t="inlineStr">
        <is>
          <t>On time</t>
        </is>
      </c>
      <c r="L1576" s="6" t="n">
        <v>0</v>
      </c>
      <c r="M1576" s="10" t="n"/>
      <c r="N1576" s="6" t="n">
        <v>6</v>
      </c>
      <c r="O1576" s="6" t="n">
        <v>792</v>
      </c>
      <c r="P1576" s="6" t="n">
        <v>1</v>
      </c>
      <c r="Q1576" s="6">
        <f>IF(OR(K1576="On time",K1576="Late",K1576="Very late"),1,0)</f>
        <v/>
      </c>
    </row>
    <row r="1577">
      <c r="A1577" s="10" t="inlineStr">
        <is>
          <t>DN319818</t>
        </is>
      </c>
      <c r="B1577" s="10" t="inlineStr">
        <is>
          <t>SO63816</t>
        </is>
      </c>
      <c r="C1577" s="10" t="inlineStr">
        <is>
          <t>C12103</t>
        </is>
      </c>
      <c r="D1577" s="10">
        <f>INDEX(Customers!$B:$B,MATCH(C1577,Customers!$A:$A,0))</f>
        <v/>
      </c>
      <c r="E1577" s="10">
        <f>INDEX(Customers!$D:$D,MATCH(C1577,Customers!$A:$A,0))</f>
        <v/>
      </c>
      <c r="F1577" s="10" t="inlineStr">
        <is>
          <t>Own trucks</t>
        </is>
      </c>
      <c r="G1577" s="5" t="n">
        <v>46288</v>
      </c>
      <c r="H1577" s="5" t="n">
        <v>46289</v>
      </c>
      <c r="I1577" s="5" t="n">
        <v>46289</v>
      </c>
      <c r="J1577" s="10" t="inlineStr">
        <is>
          <t>15:40</t>
        </is>
      </c>
      <c r="K1577" s="10" t="inlineStr">
        <is>
          <t>On time</t>
        </is>
      </c>
      <c r="L1577" s="6" t="n">
        <v>0</v>
      </c>
      <c r="M1577" s="10" t="n"/>
      <c r="N1577" s="6" t="n">
        <v>16</v>
      </c>
      <c r="O1577" s="6" t="n">
        <v>1840</v>
      </c>
      <c r="P1577" s="6" t="n">
        <v>1</v>
      </c>
      <c r="Q1577" s="6">
        <f>IF(OR(K1577="On time",K1577="Late",K1577="Very late"),1,0)</f>
        <v/>
      </c>
    </row>
    <row r="1578">
      <c r="A1578" s="10" t="inlineStr">
        <is>
          <t>DN319819</t>
        </is>
      </c>
      <c r="B1578" s="10" t="inlineStr">
        <is>
          <t>SO63817</t>
        </is>
      </c>
      <c r="C1578" s="10" t="inlineStr">
        <is>
          <t>C12262</t>
        </is>
      </c>
      <c r="D1578" s="10">
        <f>INDEX(Customers!$B:$B,MATCH(C1578,Customers!$A:$A,0))</f>
        <v/>
      </c>
      <c r="E1578" s="10">
        <f>INDEX(Customers!$D:$D,MATCH(C1578,Customers!$A:$A,0))</f>
        <v/>
      </c>
      <c r="F1578" s="10" t="inlineStr">
        <is>
          <t>Carrier B</t>
        </is>
      </c>
      <c r="G1578" s="5" t="n">
        <v>46288</v>
      </c>
      <c r="H1578" s="5" t="n">
        <v>46289</v>
      </c>
      <c r="I1578" s="5" t="n">
        <v>46289</v>
      </c>
      <c r="J1578" s="10" t="inlineStr">
        <is>
          <t>15:50</t>
        </is>
      </c>
      <c r="K1578" s="10" t="inlineStr">
        <is>
          <t>On time</t>
        </is>
      </c>
      <c r="L1578" s="6" t="n">
        <v>0</v>
      </c>
      <c r="M1578" s="10" t="n"/>
      <c r="N1578" s="6" t="n">
        <v>7</v>
      </c>
      <c r="O1578" s="6" t="n">
        <v>763</v>
      </c>
      <c r="P1578" s="6" t="n">
        <v>1</v>
      </c>
      <c r="Q1578" s="6">
        <f>IF(OR(K1578="On time",K1578="Late",K1578="Very late"),1,0)</f>
        <v/>
      </c>
    </row>
    <row r="1579">
      <c r="A1579" s="10" t="inlineStr">
        <is>
          <t>DN319820</t>
        </is>
      </c>
      <c r="B1579" s="10" t="inlineStr">
        <is>
          <t>SO63818</t>
        </is>
      </c>
      <c r="C1579" s="10" t="inlineStr">
        <is>
          <t>C12371</t>
        </is>
      </c>
      <c r="D1579" s="10">
        <f>INDEX(Customers!$B:$B,MATCH(C1579,Customers!$A:$A,0))</f>
        <v/>
      </c>
      <c r="E1579" s="10">
        <f>INDEX(Customers!$D:$D,MATCH(C1579,Customers!$A:$A,0))</f>
        <v/>
      </c>
      <c r="F1579" s="10" t="inlineStr">
        <is>
          <t>Carrier A</t>
        </is>
      </c>
      <c r="G1579" s="5" t="n">
        <v>46288</v>
      </c>
      <c r="H1579" s="5" t="n">
        <v>46289</v>
      </c>
      <c r="I1579" s="5" t="n">
        <v>46289</v>
      </c>
      <c r="J1579" s="10" t="inlineStr">
        <is>
          <t>10:20</t>
        </is>
      </c>
      <c r="K1579" s="10" t="inlineStr">
        <is>
          <t>On time</t>
        </is>
      </c>
      <c r="L1579" s="6" t="n">
        <v>0</v>
      </c>
      <c r="M1579" s="10" t="n"/>
      <c r="N1579" s="6" t="n">
        <v>39</v>
      </c>
      <c r="O1579" s="6" t="n">
        <v>2613</v>
      </c>
      <c r="P1579" s="6" t="n">
        <v>1</v>
      </c>
      <c r="Q1579" s="6">
        <f>IF(OR(K1579="On time",K1579="Late",K1579="Very late"),1,0)</f>
        <v/>
      </c>
    </row>
    <row r="1580">
      <c r="A1580" s="10" t="inlineStr">
        <is>
          <t>DN319821</t>
        </is>
      </c>
      <c r="B1580" s="10" t="inlineStr">
        <is>
          <t>SO63820</t>
        </is>
      </c>
      <c r="C1580" s="10" t="inlineStr">
        <is>
          <t>C12420</t>
        </is>
      </c>
      <c r="D1580" s="10">
        <f>INDEX(Customers!$B:$B,MATCH(C1580,Customers!$A:$A,0))</f>
        <v/>
      </c>
      <c r="E1580" s="10">
        <f>INDEX(Customers!$D:$D,MATCH(C1580,Customers!$A:$A,0))</f>
        <v/>
      </c>
      <c r="F1580" s="10" t="inlineStr">
        <is>
          <t>Carrier A</t>
        </is>
      </c>
      <c r="G1580" s="5" t="n">
        <v>46288</v>
      </c>
      <c r="H1580" s="5" t="n">
        <v>46289</v>
      </c>
      <c r="I1580" s="5" t="n">
        <v>46290</v>
      </c>
      <c r="J1580" s="10" t="inlineStr">
        <is>
          <t>08:30</t>
        </is>
      </c>
      <c r="K1580" s="10" t="inlineStr">
        <is>
          <t>Late</t>
        </is>
      </c>
      <c r="L1580" s="6" t="n">
        <v>1</v>
      </c>
      <c r="M1580" s="10" t="inlineStr">
        <is>
          <t>Carrier delay</t>
        </is>
      </c>
      <c r="N1580" s="6" t="n">
        <v>34</v>
      </c>
      <c r="O1580" s="6" t="n">
        <v>4658</v>
      </c>
      <c r="P1580" s="6" t="n">
        <v>1</v>
      </c>
      <c r="Q1580" s="6">
        <f>IF(OR(K1580="On time",K1580="Late",K1580="Very late"),1,0)</f>
        <v/>
      </c>
    </row>
    <row r="1581">
      <c r="A1581" s="10" t="inlineStr">
        <is>
          <t>DN319822</t>
        </is>
      </c>
      <c r="B1581" s="10" t="inlineStr">
        <is>
          <t>SO63822</t>
        </is>
      </c>
      <c r="C1581" s="10" t="inlineStr">
        <is>
          <t>C12543</t>
        </is>
      </c>
      <c r="D1581" s="10">
        <f>INDEX(Customers!$B:$B,MATCH(C1581,Customers!$A:$A,0))</f>
        <v/>
      </c>
      <c r="E1581" s="10">
        <f>INDEX(Customers!$D:$D,MATCH(C1581,Customers!$A:$A,0))</f>
        <v/>
      </c>
      <c r="F1581" s="10" t="inlineStr">
        <is>
          <t>Carrier B</t>
        </is>
      </c>
      <c r="G1581" s="5" t="n">
        <v>46287</v>
      </c>
      <c r="H1581" s="5" t="n">
        <v>46289</v>
      </c>
      <c r="I1581" s="5" t="n">
        <v>46289</v>
      </c>
      <c r="J1581" s="10" t="inlineStr">
        <is>
          <t>16:20</t>
        </is>
      </c>
      <c r="K1581" s="10" t="inlineStr">
        <is>
          <t>On time</t>
        </is>
      </c>
      <c r="L1581" s="6" t="n">
        <v>0</v>
      </c>
      <c r="M1581" s="10" t="n"/>
      <c r="N1581" s="6" t="n">
        <v>28</v>
      </c>
      <c r="O1581" s="6" t="n">
        <v>3248</v>
      </c>
      <c r="P1581" s="6" t="n">
        <v>1</v>
      </c>
      <c r="Q1581" s="6">
        <f>IF(OR(K1581="On time",K1581="Late",K1581="Very late"),1,0)</f>
        <v/>
      </c>
    </row>
    <row r="1582">
      <c r="A1582" s="10" t="inlineStr">
        <is>
          <t>DN319823</t>
        </is>
      </c>
      <c r="B1582" s="10" t="inlineStr">
        <is>
          <t>SO63823</t>
        </is>
      </c>
      <c r="C1582" s="10" t="inlineStr">
        <is>
          <t>C12617</t>
        </is>
      </c>
      <c r="D1582" s="10">
        <f>INDEX(Customers!$B:$B,MATCH(C1582,Customers!$A:$A,0))</f>
        <v/>
      </c>
      <c r="E1582" s="10">
        <f>INDEX(Customers!$D:$D,MATCH(C1582,Customers!$A:$A,0))</f>
        <v/>
      </c>
      <c r="F1582" s="10" t="inlineStr">
        <is>
          <t>Carrier B</t>
        </is>
      </c>
      <c r="G1582" s="5" t="n">
        <v>46287</v>
      </c>
      <c r="H1582" s="5" t="n">
        <v>46289</v>
      </c>
      <c r="I1582" s="5" t="n">
        <v>46293</v>
      </c>
      <c r="J1582" s="10" t="inlineStr">
        <is>
          <t>14:40</t>
        </is>
      </c>
      <c r="K1582" s="10" t="inlineStr">
        <is>
          <t>Very late</t>
        </is>
      </c>
      <c r="L1582" s="6" t="n">
        <v>2</v>
      </c>
      <c r="M1582" s="10" t="inlineStr">
        <is>
          <t>Carrier delay</t>
        </is>
      </c>
      <c r="N1582" s="6" t="n">
        <v>31</v>
      </c>
      <c r="O1582" s="6" t="n">
        <v>3317</v>
      </c>
      <c r="P1582" s="6" t="n">
        <v>1</v>
      </c>
      <c r="Q1582" s="6">
        <f>IF(OR(K1582="On time",K1582="Late",K1582="Very late"),1,0)</f>
        <v/>
      </c>
    </row>
    <row r="1583">
      <c r="A1583" s="10" t="inlineStr">
        <is>
          <t>DN319824</t>
        </is>
      </c>
      <c r="B1583" s="10" t="inlineStr">
        <is>
          <t>SO63824</t>
        </is>
      </c>
      <c r="C1583" s="10" t="inlineStr">
        <is>
          <t>C12631</t>
        </is>
      </c>
      <c r="D1583" s="10">
        <f>INDEX(Customers!$B:$B,MATCH(C1583,Customers!$A:$A,0))</f>
        <v/>
      </c>
      <c r="E1583" s="10">
        <f>INDEX(Customers!$D:$D,MATCH(C1583,Customers!$A:$A,0))</f>
        <v/>
      </c>
      <c r="F1583" s="10" t="inlineStr">
        <is>
          <t>Carrier B</t>
        </is>
      </c>
      <c r="G1583" s="5" t="n">
        <v>46287</v>
      </c>
      <c r="H1583" s="5" t="n">
        <v>46289</v>
      </c>
      <c r="I1583" s="5" t="n">
        <v>46289</v>
      </c>
      <c r="J1583" s="10" t="inlineStr">
        <is>
          <t>11:10</t>
        </is>
      </c>
      <c r="K1583" s="10" t="inlineStr">
        <is>
          <t>On time</t>
        </is>
      </c>
      <c r="L1583" s="6" t="n">
        <v>0</v>
      </c>
      <c r="M1583" s="10" t="n"/>
      <c r="N1583" s="6" t="n">
        <v>22</v>
      </c>
      <c r="O1583" s="6" t="n">
        <v>3080</v>
      </c>
      <c r="P1583" s="6" t="n">
        <v>1</v>
      </c>
      <c r="Q1583" s="6">
        <f>IF(OR(K1583="On time",K1583="Late",K1583="Very late"),1,0)</f>
        <v/>
      </c>
    </row>
    <row r="1584">
      <c r="A1584" s="10" t="inlineStr">
        <is>
          <t>DN319825</t>
        </is>
      </c>
      <c r="B1584" s="10" t="inlineStr">
        <is>
          <t>SO63826</t>
        </is>
      </c>
      <c r="C1584" s="10" t="inlineStr">
        <is>
          <t>C12639</t>
        </is>
      </c>
      <c r="D1584" s="10">
        <f>INDEX(Customers!$B:$B,MATCH(C1584,Customers!$A:$A,0))</f>
        <v/>
      </c>
      <c r="E1584" s="10">
        <f>INDEX(Customers!$D:$D,MATCH(C1584,Customers!$A:$A,0))</f>
        <v/>
      </c>
      <c r="F1584" s="10" t="inlineStr">
        <is>
          <t>Carrier B</t>
        </is>
      </c>
      <c r="G1584" s="5" t="n">
        <v>46287</v>
      </c>
      <c r="H1584" s="5" t="n">
        <v>46289</v>
      </c>
      <c r="I1584" s="5" t="n">
        <v>46289</v>
      </c>
      <c r="J1584" s="10" t="inlineStr">
        <is>
          <t>13:10</t>
        </is>
      </c>
      <c r="K1584" s="10" t="inlineStr">
        <is>
          <t>On time</t>
        </is>
      </c>
      <c r="L1584" s="6" t="n">
        <v>0</v>
      </c>
      <c r="M1584" s="10" t="n"/>
      <c r="N1584" s="6" t="n">
        <v>39</v>
      </c>
      <c r="O1584" s="6" t="n">
        <v>4602</v>
      </c>
      <c r="P1584" s="6" t="n">
        <v>1</v>
      </c>
      <c r="Q1584" s="6">
        <f>IF(OR(K1584="On time",K1584="Late",K1584="Very late"),1,0)</f>
        <v/>
      </c>
    </row>
    <row r="1585">
      <c r="A1585" s="10" t="inlineStr">
        <is>
          <t>DN319826</t>
        </is>
      </c>
      <c r="B1585" s="10" t="inlineStr">
        <is>
          <t>SO63828</t>
        </is>
      </c>
      <c r="C1585" s="10" t="inlineStr">
        <is>
          <t>C12675</t>
        </is>
      </c>
      <c r="D1585" s="10">
        <f>INDEX(Customers!$B:$B,MATCH(C1585,Customers!$A:$A,0))</f>
        <v/>
      </c>
      <c r="E1585" s="10">
        <f>INDEX(Customers!$D:$D,MATCH(C1585,Customers!$A:$A,0))</f>
        <v/>
      </c>
      <c r="F1585" s="10" t="inlineStr">
        <is>
          <t>Carrier B</t>
        </is>
      </c>
      <c r="G1585" s="5" t="n">
        <v>46287</v>
      </c>
      <c r="H1585" s="5" t="n">
        <v>46289</v>
      </c>
      <c r="I1585" s="5" t="n">
        <v>46289</v>
      </c>
      <c r="J1585" s="10" t="inlineStr">
        <is>
          <t>16:30</t>
        </is>
      </c>
      <c r="K1585" s="10" t="inlineStr">
        <is>
          <t>On time</t>
        </is>
      </c>
      <c r="L1585" s="6" t="n">
        <v>0</v>
      </c>
      <c r="M1585" s="10" t="n"/>
      <c r="N1585" s="6" t="n">
        <v>24</v>
      </c>
      <c r="O1585" s="6" t="n">
        <v>3336</v>
      </c>
      <c r="P1585" s="6" t="n">
        <v>1</v>
      </c>
      <c r="Q1585" s="6">
        <f>IF(OR(K1585="On time",K1585="Late",K1585="Very late"),1,0)</f>
        <v/>
      </c>
    </row>
    <row r="1586">
      <c r="A1586" s="10" t="inlineStr">
        <is>
          <t>DN319827</t>
        </is>
      </c>
      <c r="B1586" s="10" t="inlineStr">
        <is>
          <t>SO63829</t>
        </is>
      </c>
      <c r="C1586" s="10" t="inlineStr">
        <is>
          <t>C10268</t>
        </is>
      </c>
      <c r="D1586" s="10">
        <f>INDEX(Customers!$B:$B,MATCH(C1586,Customers!$A:$A,0))</f>
        <v/>
      </c>
      <c r="E1586" s="10">
        <f>INDEX(Customers!$D:$D,MATCH(C1586,Customers!$A:$A,0))</f>
        <v/>
      </c>
      <c r="F1586" s="10" t="inlineStr">
        <is>
          <t>Own trucks</t>
        </is>
      </c>
      <c r="G1586" s="5" t="n">
        <v>46289</v>
      </c>
      <c r="H1586" s="5" t="n">
        <v>46290</v>
      </c>
      <c r="I1586" s="5" t="n">
        <v>46290</v>
      </c>
      <c r="J1586" s="10" t="inlineStr">
        <is>
          <t>12:30</t>
        </is>
      </c>
      <c r="K1586" s="10" t="inlineStr">
        <is>
          <t>On time</t>
        </is>
      </c>
      <c r="L1586" s="6" t="n">
        <v>0</v>
      </c>
      <c r="M1586" s="10" t="n"/>
      <c r="N1586" s="6" t="n">
        <v>4</v>
      </c>
      <c r="O1586" s="6" t="n">
        <v>276</v>
      </c>
      <c r="P1586" s="6" t="n">
        <v>1</v>
      </c>
      <c r="Q1586" s="6">
        <f>IF(OR(K1586="On time",K1586="Late",K1586="Very late"),1,0)</f>
        <v/>
      </c>
    </row>
    <row r="1587">
      <c r="A1587" s="10" t="inlineStr">
        <is>
          <t>DN319828</t>
        </is>
      </c>
      <c r="B1587" s="10" t="inlineStr">
        <is>
          <t>SO63830</t>
        </is>
      </c>
      <c r="C1587" s="10" t="inlineStr">
        <is>
          <t>C10322</t>
        </is>
      </c>
      <c r="D1587" s="10">
        <f>INDEX(Customers!$B:$B,MATCH(C1587,Customers!$A:$A,0))</f>
        <v/>
      </c>
      <c r="E1587" s="10">
        <f>INDEX(Customers!$D:$D,MATCH(C1587,Customers!$A:$A,0))</f>
        <v/>
      </c>
      <c r="F1587" s="10" t="inlineStr">
        <is>
          <t>Own trucks</t>
        </is>
      </c>
      <c r="G1587" s="5" t="n">
        <v>46289</v>
      </c>
      <c r="H1587" s="5" t="n">
        <v>46290</v>
      </c>
      <c r="I1587" s="5" t="n">
        <v>46290</v>
      </c>
      <c r="J1587" s="10" t="inlineStr">
        <is>
          <t>11:10</t>
        </is>
      </c>
      <c r="K1587" s="10" t="inlineStr">
        <is>
          <t>On time</t>
        </is>
      </c>
      <c r="L1587" s="6" t="n">
        <v>0</v>
      </c>
      <c r="M1587" s="10" t="n"/>
      <c r="N1587" s="6" t="n">
        <v>40</v>
      </c>
      <c r="O1587" s="6" t="n">
        <v>2800</v>
      </c>
      <c r="P1587" s="6" t="n">
        <v>1</v>
      </c>
      <c r="Q1587" s="6">
        <f>IF(OR(K1587="On time",K1587="Late",K1587="Very late"),1,0)</f>
        <v/>
      </c>
    </row>
    <row r="1588">
      <c r="A1588" s="10" t="inlineStr">
        <is>
          <t>DN319829</t>
        </is>
      </c>
      <c r="B1588" s="10" t="inlineStr">
        <is>
          <t>SO63831</t>
        </is>
      </c>
      <c r="C1588" s="10" t="inlineStr">
        <is>
          <t>C10343</t>
        </is>
      </c>
      <c r="D1588" s="10">
        <f>INDEX(Customers!$B:$B,MATCH(C1588,Customers!$A:$A,0))</f>
        <v/>
      </c>
      <c r="E1588" s="10">
        <f>INDEX(Customers!$D:$D,MATCH(C1588,Customers!$A:$A,0))</f>
        <v/>
      </c>
      <c r="F1588" s="10" t="inlineStr">
        <is>
          <t>Own trucks</t>
        </is>
      </c>
      <c r="G1588" s="5" t="n">
        <v>46289</v>
      </c>
      <c r="H1588" s="5" t="n">
        <v>46290</v>
      </c>
      <c r="I1588" s="5" t="n">
        <v>46290</v>
      </c>
      <c r="J1588" s="10" t="inlineStr">
        <is>
          <t>10:30</t>
        </is>
      </c>
      <c r="K1588" s="10" t="inlineStr">
        <is>
          <t>On time</t>
        </is>
      </c>
      <c r="L1588" s="6" t="n">
        <v>0</v>
      </c>
      <c r="M1588" s="10" t="n"/>
      <c r="N1588" s="6" t="n">
        <v>15</v>
      </c>
      <c r="O1588" s="6" t="n">
        <v>1935</v>
      </c>
      <c r="P1588" s="6" t="n">
        <v>1</v>
      </c>
      <c r="Q1588" s="6">
        <f>IF(OR(K1588="On time",K1588="Late",K1588="Very late"),1,0)</f>
        <v/>
      </c>
    </row>
    <row r="1589">
      <c r="A1589" s="10" t="inlineStr">
        <is>
          <t>DN319830</t>
        </is>
      </c>
      <c r="B1589" s="10" t="inlineStr">
        <is>
          <t>SO63832</t>
        </is>
      </c>
      <c r="C1589" s="10" t="inlineStr">
        <is>
          <t>C10413</t>
        </is>
      </c>
      <c r="D1589" s="10">
        <f>INDEX(Customers!$B:$B,MATCH(C1589,Customers!$A:$A,0))</f>
        <v/>
      </c>
      <c r="E1589" s="10">
        <f>INDEX(Customers!$D:$D,MATCH(C1589,Customers!$A:$A,0))</f>
        <v/>
      </c>
      <c r="F1589" s="10" t="inlineStr">
        <is>
          <t>Own trucks</t>
        </is>
      </c>
      <c r="G1589" s="5" t="n">
        <v>46289</v>
      </c>
      <c r="H1589" s="5" t="n">
        <v>46290</v>
      </c>
      <c r="I1589" s="5" t="n">
        <v>46290</v>
      </c>
      <c r="J1589" s="10" t="inlineStr">
        <is>
          <t>08:20</t>
        </is>
      </c>
      <c r="K1589" s="10" t="inlineStr">
        <is>
          <t>On time</t>
        </is>
      </c>
      <c r="L1589" s="6" t="n">
        <v>0</v>
      </c>
      <c r="M1589" s="10" t="n"/>
      <c r="N1589" s="6" t="n">
        <v>11</v>
      </c>
      <c r="O1589" s="6" t="n">
        <v>638</v>
      </c>
      <c r="P1589" s="6" t="n">
        <v>1</v>
      </c>
      <c r="Q1589" s="6">
        <f>IF(OR(K1589="On time",K1589="Late",K1589="Very late"),1,0)</f>
        <v/>
      </c>
    </row>
    <row r="1590">
      <c r="A1590" s="10" t="inlineStr">
        <is>
          <t>DN319831</t>
        </is>
      </c>
      <c r="B1590" s="10" t="inlineStr">
        <is>
          <t>SO63833</t>
        </is>
      </c>
      <c r="C1590" s="10" t="inlineStr">
        <is>
          <t>C10446</t>
        </is>
      </c>
      <c r="D1590" s="10">
        <f>INDEX(Customers!$B:$B,MATCH(C1590,Customers!$A:$A,0))</f>
        <v/>
      </c>
      <c r="E1590" s="10">
        <f>INDEX(Customers!$D:$D,MATCH(C1590,Customers!$A:$A,0))</f>
        <v/>
      </c>
      <c r="F1590" s="10" t="inlineStr">
        <is>
          <t>Own trucks</t>
        </is>
      </c>
      <c r="G1590" s="5" t="n">
        <v>46289</v>
      </c>
      <c r="H1590" s="5" t="n">
        <v>46290</v>
      </c>
      <c r="I1590" s="5" t="n">
        <v>46290</v>
      </c>
      <c r="J1590" s="10" t="inlineStr">
        <is>
          <t>14:20</t>
        </is>
      </c>
      <c r="K1590" s="10" t="inlineStr">
        <is>
          <t>On time</t>
        </is>
      </c>
      <c r="L1590" s="6" t="n">
        <v>0</v>
      </c>
      <c r="M1590" s="10" t="n"/>
      <c r="N1590" s="6" t="n">
        <v>26</v>
      </c>
      <c r="O1590" s="6" t="n">
        <v>2756</v>
      </c>
      <c r="P1590" s="6" t="n">
        <v>1</v>
      </c>
      <c r="Q1590" s="6">
        <f>IF(OR(K1590="On time",K1590="Late",K1590="Very late"),1,0)</f>
        <v/>
      </c>
    </row>
    <row r="1591">
      <c r="A1591" s="10" t="inlineStr">
        <is>
          <t>DN319832</t>
        </is>
      </c>
      <c r="B1591" s="10" t="inlineStr">
        <is>
          <t>SO63835</t>
        </is>
      </c>
      <c r="C1591" s="10" t="inlineStr">
        <is>
          <t>C10536</t>
        </is>
      </c>
      <c r="D1591" s="10">
        <f>INDEX(Customers!$B:$B,MATCH(C1591,Customers!$A:$A,0))</f>
        <v/>
      </c>
      <c r="E1591" s="10">
        <f>INDEX(Customers!$D:$D,MATCH(C1591,Customers!$A:$A,0))</f>
        <v/>
      </c>
      <c r="F1591" s="10" t="inlineStr">
        <is>
          <t>Own trucks</t>
        </is>
      </c>
      <c r="G1591" s="5" t="n">
        <v>46289</v>
      </c>
      <c r="H1591" s="5" t="n">
        <v>46290</v>
      </c>
      <c r="I1591" s="5" t="n">
        <v>46290</v>
      </c>
      <c r="J1591" s="10" t="inlineStr">
        <is>
          <t>10:30</t>
        </is>
      </c>
      <c r="K1591" s="10" t="inlineStr">
        <is>
          <t>On time</t>
        </is>
      </c>
      <c r="L1591" s="6" t="n">
        <v>0</v>
      </c>
      <c r="M1591" s="10" t="n"/>
      <c r="N1591" s="6" t="n">
        <v>11</v>
      </c>
      <c r="O1591" s="6" t="n">
        <v>1408</v>
      </c>
      <c r="P1591" s="6" t="n">
        <v>1</v>
      </c>
      <c r="Q1591" s="6">
        <f>IF(OR(K1591="On time",K1591="Late",K1591="Very late"),1,0)</f>
        <v/>
      </c>
    </row>
    <row r="1592">
      <c r="A1592" s="10" t="inlineStr">
        <is>
          <t>DN319833</t>
        </is>
      </c>
      <c r="B1592" s="10" t="inlineStr">
        <is>
          <t>SO63836</t>
        </is>
      </c>
      <c r="C1592" s="10" t="inlineStr">
        <is>
          <t>C10589</t>
        </is>
      </c>
      <c r="D1592" s="10">
        <f>INDEX(Customers!$B:$B,MATCH(C1592,Customers!$A:$A,0))</f>
        <v/>
      </c>
      <c r="E1592" s="10">
        <f>INDEX(Customers!$D:$D,MATCH(C1592,Customers!$A:$A,0))</f>
        <v/>
      </c>
      <c r="F1592" s="10" t="inlineStr">
        <is>
          <t>Own trucks</t>
        </is>
      </c>
      <c r="G1592" s="5" t="n">
        <v>46289</v>
      </c>
      <c r="H1592" s="5" t="n">
        <v>46290</v>
      </c>
      <c r="I1592" s="5" t="n">
        <v>46290</v>
      </c>
      <c r="J1592" s="10" t="inlineStr">
        <is>
          <t>09:40</t>
        </is>
      </c>
      <c r="K1592" s="10" t="inlineStr">
        <is>
          <t>On time</t>
        </is>
      </c>
      <c r="L1592" s="6" t="n">
        <v>0</v>
      </c>
      <c r="M1592" s="10" t="n"/>
      <c r="N1592" s="6" t="n">
        <v>12</v>
      </c>
      <c r="O1592" s="6" t="n">
        <v>1068</v>
      </c>
      <c r="P1592" s="6" t="n">
        <v>1</v>
      </c>
      <c r="Q1592" s="6">
        <f>IF(OR(K1592="On time",K1592="Late",K1592="Very late"),1,0)</f>
        <v/>
      </c>
    </row>
    <row r="1593">
      <c r="A1593" s="10" t="inlineStr">
        <is>
          <t>DN319834</t>
        </is>
      </c>
      <c r="B1593" s="10" t="inlineStr">
        <is>
          <t>SO63837</t>
        </is>
      </c>
      <c r="C1593" s="10" t="inlineStr">
        <is>
          <t>C10622</t>
        </is>
      </c>
      <c r="D1593" s="10">
        <f>INDEX(Customers!$B:$B,MATCH(C1593,Customers!$A:$A,0))</f>
        <v/>
      </c>
      <c r="E1593" s="10">
        <f>INDEX(Customers!$D:$D,MATCH(C1593,Customers!$A:$A,0))</f>
        <v/>
      </c>
      <c r="F1593" s="10" t="inlineStr">
        <is>
          <t>Own trucks</t>
        </is>
      </c>
      <c r="G1593" s="5" t="n">
        <v>46289</v>
      </c>
      <c r="H1593" s="5" t="n">
        <v>46290</v>
      </c>
      <c r="I1593" s="5" t="n">
        <v>46290</v>
      </c>
      <c r="J1593" s="10" t="inlineStr">
        <is>
          <t>07:10</t>
        </is>
      </c>
      <c r="K1593" s="10" t="inlineStr">
        <is>
          <t>On time</t>
        </is>
      </c>
      <c r="L1593" s="6" t="n">
        <v>0</v>
      </c>
      <c r="M1593" s="10" t="n"/>
      <c r="N1593" s="6" t="n">
        <v>4</v>
      </c>
      <c r="O1593" s="6" t="n">
        <v>236</v>
      </c>
      <c r="P1593" s="6" t="n">
        <v>1</v>
      </c>
      <c r="Q1593" s="6">
        <f>IF(OR(K1593="On time",K1593="Late",K1593="Very late"),1,0)</f>
        <v/>
      </c>
    </row>
    <row r="1594">
      <c r="A1594" s="10" t="inlineStr">
        <is>
          <t>DN319835</t>
        </is>
      </c>
      <c r="B1594" s="10" t="inlineStr">
        <is>
          <t>SO63838</t>
        </is>
      </c>
      <c r="C1594" s="10" t="inlineStr">
        <is>
          <t>C10676</t>
        </is>
      </c>
      <c r="D1594" s="10">
        <f>INDEX(Customers!$B:$B,MATCH(C1594,Customers!$A:$A,0))</f>
        <v/>
      </c>
      <c r="E1594" s="10">
        <f>INDEX(Customers!$D:$D,MATCH(C1594,Customers!$A:$A,0))</f>
        <v/>
      </c>
      <c r="F1594" s="10" t="inlineStr">
        <is>
          <t>Own trucks</t>
        </is>
      </c>
      <c r="G1594" s="5" t="n">
        <v>46289</v>
      </c>
      <c r="H1594" s="5" t="n">
        <v>46290</v>
      </c>
      <c r="I1594" s="5" t="n">
        <v>46290</v>
      </c>
      <c r="J1594" s="10" t="inlineStr">
        <is>
          <t>16:10</t>
        </is>
      </c>
      <c r="K1594" s="10" t="inlineStr">
        <is>
          <t>On time</t>
        </is>
      </c>
      <c r="L1594" s="6" t="n">
        <v>0</v>
      </c>
      <c r="M1594" s="10" t="n"/>
      <c r="N1594" s="6" t="n">
        <v>8</v>
      </c>
      <c r="O1594" s="6" t="n">
        <v>560</v>
      </c>
      <c r="P1594" s="6" t="n">
        <v>1</v>
      </c>
      <c r="Q1594" s="6">
        <f>IF(OR(K1594="On time",K1594="Late",K1594="Very late"),1,0)</f>
        <v/>
      </c>
    </row>
    <row r="1595">
      <c r="A1595" s="10" t="inlineStr">
        <is>
          <t>DN319836</t>
        </is>
      </c>
      <c r="B1595" s="10" t="inlineStr">
        <is>
          <t>SO63840</t>
        </is>
      </c>
      <c r="C1595" s="10" t="inlineStr">
        <is>
          <t>C10847</t>
        </is>
      </c>
      <c r="D1595" s="10">
        <f>INDEX(Customers!$B:$B,MATCH(C1595,Customers!$A:$A,0))</f>
        <v/>
      </c>
      <c r="E1595" s="10">
        <f>INDEX(Customers!$D:$D,MATCH(C1595,Customers!$A:$A,0))</f>
        <v/>
      </c>
      <c r="F1595" s="10" t="inlineStr">
        <is>
          <t>Own trucks</t>
        </is>
      </c>
      <c r="G1595" s="5" t="n">
        <v>46289</v>
      </c>
      <c r="H1595" s="5" t="n">
        <v>46290</v>
      </c>
      <c r="I1595" s="5" t="n">
        <v>46290</v>
      </c>
      <c r="J1595" s="10" t="inlineStr">
        <is>
          <t>07:10</t>
        </is>
      </c>
      <c r="K1595" s="10" t="inlineStr">
        <is>
          <t>On time</t>
        </is>
      </c>
      <c r="L1595" s="6" t="n">
        <v>0</v>
      </c>
      <c r="M1595" s="10" t="n"/>
      <c r="N1595" s="6" t="n">
        <v>8</v>
      </c>
      <c r="O1595" s="6" t="n">
        <v>488</v>
      </c>
      <c r="P1595" s="6" t="n">
        <v>1</v>
      </c>
      <c r="Q1595" s="6">
        <f>IF(OR(K1595="On time",K1595="Late",K1595="Very late"),1,0)</f>
        <v/>
      </c>
    </row>
    <row r="1596">
      <c r="A1596" s="10" t="inlineStr">
        <is>
          <t>DN319837</t>
        </is>
      </c>
      <c r="B1596" s="10" t="inlineStr">
        <is>
          <t>SO63842</t>
        </is>
      </c>
      <c r="C1596" s="10" t="inlineStr">
        <is>
          <t>C10915</t>
        </is>
      </c>
      <c r="D1596" s="10">
        <f>INDEX(Customers!$B:$B,MATCH(C1596,Customers!$A:$A,0))</f>
        <v/>
      </c>
      <c r="E1596" s="10">
        <f>INDEX(Customers!$D:$D,MATCH(C1596,Customers!$A:$A,0))</f>
        <v/>
      </c>
      <c r="F1596" s="10" t="inlineStr">
        <is>
          <t>Own trucks</t>
        </is>
      </c>
      <c r="G1596" s="5" t="n">
        <v>46289</v>
      </c>
      <c r="H1596" s="5" t="n">
        <v>46290</v>
      </c>
      <c r="I1596" s="5" t="n">
        <v>46290</v>
      </c>
      <c r="J1596" s="10" t="inlineStr">
        <is>
          <t>15:10</t>
        </is>
      </c>
      <c r="K1596" s="10" t="inlineStr">
        <is>
          <t>On time</t>
        </is>
      </c>
      <c r="L1596" s="6" t="n">
        <v>0</v>
      </c>
      <c r="M1596" s="10" t="n"/>
      <c r="N1596" s="6" t="n">
        <v>38</v>
      </c>
      <c r="O1596" s="6" t="n">
        <v>4978</v>
      </c>
      <c r="P1596" s="6" t="n">
        <v>1</v>
      </c>
      <c r="Q1596" s="6">
        <f>IF(OR(K1596="On time",K1596="Late",K1596="Very late"),1,0)</f>
        <v/>
      </c>
    </row>
    <row r="1597">
      <c r="A1597" s="10" t="inlineStr">
        <is>
          <t>DN319838</t>
        </is>
      </c>
      <c r="B1597" s="10" t="inlineStr">
        <is>
          <t>SO63843</t>
        </is>
      </c>
      <c r="C1597" s="10" t="inlineStr">
        <is>
          <t>C10982</t>
        </is>
      </c>
      <c r="D1597" s="10">
        <f>INDEX(Customers!$B:$B,MATCH(C1597,Customers!$A:$A,0))</f>
        <v/>
      </c>
      <c r="E1597" s="10">
        <f>INDEX(Customers!$D:$D,MATCH(C1597,Customers!$A:$A,0))</f>
        <v/>
      </c>
      <c r="F1597" s="10" t="inlineStr">
        <is>
          <t>Own trucks</t>
        </is>
      </c>
      <c r="G1597" s="5" t="n">
        <v>46289</v>
      </c>
      <c r="H1597" s="5" t="n">
        <v>46290</v>
      </c>
      <c r="I1597" s="5" t="n">
        <v>46290</v>
      </c>
      <c r="J1597" s="10" t="inlineStr">
        <is>
          <t>12:30</t>
        </is>
      </c>
      <c r="K1597" s="10" t="inlineStr">
        <is>
          <t>On time</t>
        </is>
      </c>
      <c r="L1597" s="6" t="n">
        <v>0</v>
      </c>
      <c r="M1597" s="10" t="n"/>
      <c r="N1597" s="6" t="n">
        <v>37</v>
      </c>
      <c r="O1597" s="6" t="n">
        <v>5143</v>
      </c>
      <c r="P1597" s="6" t="n">
        <v>1</v>
      </c>
      <c r="Q1597" s="6">
        <f>IF(OR(K1597="On time",K1597="Late",K1597="Very late"),1,0)</f>
        <v/>
      </c>
    </row>
    <row r="1598">
      <c r="A1598" s="10" t="inlineStr">
        <is>
          <t>DN319839</t>
        </is>
      </c>
      <c r="B1598" s="10" t="inlineStr">
        <is>
          <t>SO63844</t>
        </is>
      </c>
      <c r="C1598" s="10" t="inlineStr">
        <is>
          <t>C11107</t>
        </is>
      </c>
      <c r="D1598" s="10">
        <f>INDEX(Customers!$B:$B,MATCH(C1598,Customers!$A:$A,0))</f>
        <v/>
      </c>
      <c r="E1598" s="10">
        <f>INDEX(Customers!$D:$D,MATCH(C1598,Customers!$A:$A,0))</f>
        <v/>
      </c>
      <c r="F1598" s="10" t="inlineStr">
        <is>
          <t>Own trucks</t>
        </is>
      </c>
      <c r="G1598" s="5" t="n">
        <v>46289</v>
      </c>
      <c r="H1598" s="5" t="n">
        <v>46290</v>
      </c>
      <c r="I1598" s="5" t="n">
        <v>46290</v>
      </c>
      <c r="J1598" s="10" t="inlineStr">
        <is>
          <t>13:40</t>
        </is>
      </c>
      <c r="K1598" s="10" t="inlineStr">
        <is>
          <t>On time</t>
        </is>
      </c>
      <c r="L1598" s="6" t="n">
        <v>0</v>
      </c>
      <c r="M1598" s="10" t="n"/>
      <c r="N1598" s="6" t="n">
        <v>38</v>
      </c>
      <c r="O1598" s="6" t="n">
        <v>3724</v>
      </c>
      <c r="P1598" s="6" t="n">
        <v>1</v>
      </c>
      <c r="Q1598" s="6">
        <f>IF(OR(K1598="On time",K1598="Late",K1598="Very late"),1,0)</f>
        <v/>
      </c>
    </row>
    <row r="1599">
      <c r="A1599" s="10" t="inlineStr">
        <is>
          <t>DN319840</t>
        </is>
      </c>
      <c r="B1599" s="10" t="inlineStr">
        <is>
          <t>SO63846</t>
        </is>
      </c>
      <c r="C1599" s="10" t="inlineStr">
        <is>
          <t>C11247</t>
        </is>
      </c>
      <c r="D1599" s="10">
        <f>INDEX(Customers!$B:$B,MATCH(C1599,Customers!$A:$A,0))</f>
        <v/>
      </c>
      <c r="E1599" s="10">
        <f>INDEX(Customers!$D:$D,MATCH(C1599,Customers!$A:$A,0))</f>
        <v/>
      </c>
      <c r="F1599" s="10" t="inlineStr">
        <is>
          <t>Own trucks</t>
        </is>
      </c>
      <c r="G1599" s="5" t="n">
        <v>46289</v>
      </c>
      <c r="H1599" s="5" t="n">
        <v>46290</v>
      </c>
      <c r="I1599" s="5" t="n">
        <v>46290</v>
      </c>
      <c r="J1599" s="10" t="inlineStr">
        <is>
          <t>13:30</t>
        </is>
      </c>
      <c r="K1599" s="10" t="inlineStr">
        <is>
          <t>On time</t>
        </is>
      </c>
      <c r="L1599" s="6" t="n">
        <v>0</v>
      </c>
      <c r="M1599" s="10" t="n"/>
      <c r="N1599" s="6" t="n">
        <v>20</v>
      </c>
      <c r="O1599" s="6" t="n">
        <v>1820</v>
      </c>
      <c r="P1599" s="6" t="n">
        <v>1</v>
      </c>
      <c r="Q1599" s="6">
        <f>IF(OR(K1599="On time",K1599="Late",K1599="Very late"),1,0)</f>
        <v/>
      </c>
    </row>
    <row r="1600">
      <c r="A1600" s="10" t="inlineStr">
        <is>
          <t>DN319841</t>
        </is>
      </c>
      <c r="B1600" s="10" t="inlineStr">
        <is>
          <t>SO63847</t>
        </is>
      </c>
      <c r="C1600" s="10" t="inlineStr">
        <is>
          <t>C11264</t>
        </is>
      </c>
      <c r="D1600" s="10">
        <f>INDEX(Customers!$B:$B,MATCH(C1600,Customers!$A:$A,0))</f>
        <v/>
      </c>
      <c r="E1600" s="10">
        <f>INDEX(Customers!$D:$D,MATCH(C1600,Customers!$A:$A,0))</f>
        <v/>
      </c>
      <c r="F1600" s="10" t="inlineStr">
        <is>
          <t>Own trucks</t>
        </is>
      </c>
      <c r="G1600" s="5" t="n">
        <v>46289</v>
      </c>
      <c r="H1600" s="5" t="n">
        <v>46290</v>
      </c>
      <c r="I1600" s="5" t="n">
        <v>46290</v>
      </c>
      <c r="J1600" s="10" t="inlineStr">
        <is>
          <t>11:00</t>
        </is>
      </c>
      <c r="K1600" s="10" t="inlineStr">
        <is>
          <t>On time</t>
        </is>
      </c>
      <c r="L1600" s="6" t="n">
        <v>0</v>
      </c>
      <c r="M1600" s="10" t="n"/>
      <c r="N1600" s="6" t="n">
        <v>36</v>
      </c>
      <c r="O1600" s="6" t="n">
        <v>4140</v>
      </c>
      <c r="P1600" s="6" t="n">
        <v>0</v>
      </c>
      <c r="Q1600" s="6">
        <f>IF(OR(K1600="On time",K1600="Late",K1600="Very late"),1,0)</f>
        <v/>
      </c>
    </row>
    <row r="1601">
      <c r="A1601" s="10" t="inlineStr">
        <is>
          <t>DN319842</t>
        </is>
      </c>
      <c r="B1601" s="10" t="inlineStr">
        <is>
          <t>SO63848</t>
        </is>
      </c>
      <c r="C1601" s="10" t="inlineStr">
        <is>
          <t>C11314</t>
        </is>
      </c>
      <c r="D1601" s="10">
        <f>INDEX(Customers!$B:$B,MATCH(C1601,Customers!$A:$A,0))</f>
        <v/>
      </c>
      <c r="E1601" s="10">
        <f>INDEX(Customers!$D:$D,MATCH(C1601,Customers!$A:$A,0))</f>
        <v/>
      </c>
      <c r="F1601" s="10" t="inlineStr">
        <is>
          <t>Own trucks</t>
        </is>
      </c>
      <c r="G1601" s="5" t="n">
        <v>46289</v>
      </c>
      <c r="H1601" s="5" t="n">
        <v>46290</v>
      </c>
      <c r="I1601" s="5" t="n">
        <v>46290</v>
      </c>
      <c r="J1601" s="10" t="inlineStr">
        <is>
          <t>14:50</t>
        </is>
      </c>
      <c r="K1601" s="10" t="inlineStr">
        <is>
          <t>On time</t>
        </is>
      </c>
      <c r="L1601" s="6" t="n">
        <v>0</v>
      </c>
      <c r="M1601" s="10" t="n"/>
      <c r="N1601" s="6" t="n">
        <v>14</v>
      </c>
      <c r="O1601" s="6" t="n">
        <v>1778</v>
      </c>
      <c r="P1601" s="6" t="n">
        <v>1</v>
      </c>
      <c r="Q1601" s="6">
        <f>IF(OR(K1601="On time",K1601="Late",K1601="Very late"),1,0)</f>
        <v/>
      </c>
    </row>
    <row r="1602">
      <c r="A1602" s="10" t="inlineStr">
        <is>
          <t>DN319843</t>
        </is>
      </c>
      <c r="B1602" s="10" t="inlineStr">
        <is>
          <t>SO63849</t>
        </is>
      </c>
      <c r="C1602" s="10" t="inlineStr">
        <is>
          <t>C11666</t>
        </is>
      </c>
      <c r="D1602" s="10">
        <f>INDEX(Customers!$B:$B,MATCH(C1602,Customers!$A:$A,0))</f>
        <v/>
      </c>
      <c r="E1602" s="10">
        <f>INDEX(Customers!$D:$D,MATCH(C1602,Customers!$A:$A,0))</f>
        <v/>
      </c>
      <c r="F1602" s="10" t="inlineStr">
        <is>
          <t>Own trucks</t>
        </is>
      </c>
      <c r="G1602" s="5" t="n">
        <v>46289</v>
      </c>
      <c r="H1602" s="5" t="n">
        <v>46290</v>
      </c>
      <c r="I1602" s="5" t="n">
        <v>46290</v>
      </c>
      <c r="J1602" s="10" t="inlineStr">
        <is>
          <t>12:30</t>
        </is>
      </c>
      <c r="K1602" s="10" t="inlineStr">
        <is>
          <t>On time</t>
        </is>
      </c>
      <c r="L1602" s="6" t="n">
        <v>0</v>
      </c>
      <c r="M1602" s="10" t="n"/>
      <c r="N1602" s="6" t="n">
        <v>26</v>
      </c>
      <c r="O1602" s="6" t="n">
        <v>3146</v>
      </c>
      <c r="P1602" s="6" t="n">
        <v>1</v>
      </c>
      <c r="Q1602" s="6">
        <f>IF(OR(K1602="On time",K1602="Late",K1602="Very late"),1,0)</f>
        <v/>
      </c>
    </row>
    <row r="1603">
      <c r="A1603" s="10" t="inlineStr">
        <is>
          <t>DN319844</t>
        </is>
      </c>
      <c r="B1603" s="10" t="inlineStr">
        <is>
          <t>SO63851</t>
        </is>
      </c>
      <c r="C1603" s="10" t="inlineStr">
        <is>
          <t>C11718</t>
        </is>
      </c>
      <c r="D1603" s="10">
        <f>INDEX(Customers!$B:$B,MATCH(C1603,Customers!$A:$A,0))</f>
        <v/>
      </c>
      <c r="E1603" s="10">
        <f>INDEX(Customers!$D:$D,MATCH(C1603,Customers!$A:$A,0))</f>
        <v/>
      </c>
      <c r="F1603" s="10" t="inlineStr">
        <is>
          <t>Own trucks</t>
        </is>
      </c>
      <c r="G1603" s="5" t="n">
        <v>46289</v>
      </c>
      <c r="H1603" s="5" t="n">
        <v>46290</v>
      </c>
      <c r="I1603" s="5" t="n">
        <v>46293</v>
      </c>
      <c r="J1603" s="10" t="inlineStr">
        <is>
          <t>16:50</t>
        </is>
      </c>
      <c r="K1603" s="10" t="inlineStr">
        <is>
          <t>Late</t>
        </is>
      </c>
      <c r="L1603" s="6" t="n">
        <v>1</v>
      </c>
      <c r="M1603" s="10" t="inlineStr">
        <is>
          <t>Customer closed (failed attempt)</t>
        </is>
      </c>
      <c r="N1603" s="6" t="n">
        <v>33</v>
      </c>
      <c r="O1603" s="6" t="n">
        <v>4158</v>
      </c>
      <c r="P1603" s="6" t="n">
        <v>1</v>
      </c>
      <c r="Q1603" s="6">
        <f>IF(OR(K1603="On time",K1603="Late",K1603="Very late"),1,0)</f>
        <v/>
      </c>
    </row>
    <row r="1604">
      <c r="A1604" s="10" t="inlineStr">
        <is>
          <t>DN319845</t>
        </is>
      </c>
      <c r="B1604" s="10" t="inlineStr">
        <is>
          <t>SO63852</t>
        </is>
      </c>
      <c r="C1604" s="10" t="inlineStr">
        <is>
          <t>C11798</t>
        </is>
      </c>
      <c r="D1604" s="10">
        <f>INDEX(Customers!$B:$B,MATCH(C1604,Customers!$A:$A,0))</f>
        <v/>
      </c>
      <c r="E1604" s="10">
        <f>INDEX(Customers!$D:$D,MATCH(C1604,Customers!$A:$A,0))</f>
        <v/>
      </c>
      <c r="F1604" s="10" t="inlineStr">
        <is>
          <t>Carrier A</t>
        </is>
      </c>
      <c r="G1604" s="5" t="n">
        <v>46289</v>
      </c>
      <c r="H1604" s="5" t="n">
        <v>46290</v>
      </c>
      <c r="I1604" s="5" t="n">
        <v>46290</v>
      </c>
      <c r="J1604" s="10" t="inlineStr">
        <is>
          <t>09:00</t>
        </is>
      </c>
      <c r="K1604" s="10" t="inlineStr">
        <is>
          <t>On time</t>
        </is>
      </c>
      <c r="L1604" s="6" t="n">
        <v>0</v>
      </c>
      <c r="M1604" s="10" t="n"/>
      <c r="N1604" s="6" t="n">
        <v>5</v>
      </c>
      <c r="O1604" s="6" t="n">
        <v>335</v>
      </c>
      <c r="P1604" s="6" t="n">
        <v>1</v>
      </c>
      <c r="Q1604" s="6">
        <f>IF(OR(K1604="On time",K1604="Late",K1604="Very late"),1,0)</f>
        <v/>
      </c>
    </row>
    <row r="1605">
      <c r="A1605" s="10" t="inlineStr">
        <is>
          <t>DN319846</t>
        </is>
      </c>
      <c r="B1605" s="10" t="inlineStr">
        <is>
          <t>SO63853</t>
        </is>
      </c>
      <c r="C1605" s="10" t="inlineStr">
        <is>
          <t>C11866</t>
        </is>
      </c>
      <c r="D1605" s="10">
        <f>INDEX(Customers!$B:$B,MATCH(C1605,Customers!$A:$A,0))</f>
        <v/>
      </c>
      <c r="E1605" s="10">
        <f>INDEX(Customers!$D:$D,MATCH(C1605,Customers!$A:$A,0))</f>
        <v/>
      </c>
      <c r="F1605" s="10" t="inlineStr">
        <is>
          <t>Carrier A</t>
        </is>
      </c>
      <c r="G1605" s="5" t="n">
        <v>46289</v>
      </c>
      <c r="H1605" s="5" t="n">
        <v>46290</v>
      </c>
      <c r="I1605" s="5" t="n">
        <v>46290</v>
      </c>
      <c r="J1605" s="10" t="inlineStr">
        <is>
          <t>14:40</t>
        </is>
      </c>
      <c r="K1605" s="10" t="inlineStr">
        <is>
          <t>On time</t>
        </is>
      </c>
      <c r="L1605" s="6" t="n">
        <v>0</v>
      </c>
      <c r="M1605" s="10" t="n"/>
      <c r="N1605" s="6" t="n">
        <v>11</v>
      </c>
      <c r="O1605" s="6" t="n">
        <v>979</v>
      </c>
      <c r="P1605" s="6" t="n">
        <v>1</v>
      </c>
      <c r="Q1605" s="6">
        <f>IF(OR(K1605="On time",K1605="Late",K1605="Very late"),1,0)</f>
        <v/>
      </c>
    </row>
    <row r="1606">
      <c r="A1606" s="10" t="inlineStr">
        <is>
          <t>DN319847</t>
        </is>
      </c>
      <c r="B1606" s="10" t="inlineStr">
        <is>
          <t>SO63855</t>
        </is>
      </c>
      <c r="C1606" s="10" t="inlineStr">
        <is>
          <t>C11971</t>
        </is>
      </c>
      <c r="D1606" s="10">
        <f>INDEX(Customers!$B:$B,MATCH(C1606,Customers!$A:$A,0))</f>
        <v/>
      </c>
      <c r="E1606" s="10">
        <f>INDEX(Customers!$D:$D,MATCH(C1606,Customers!$A:$A,0))</f>
        <v/>
      </c>
      <c r="F1606" s="10" t="inlineStr">
        <is>
          <t>Own trucks</t>
        </is>
      </c>
      <c r="G1606" s="5" t="n">
        <v>46289</v>
      </c>
      <c r="H1606" s="5" t="n">
        <v>46290</v>
      </c>
      <c r="I1606" s="5" t="n">
        <v>46290</v>
      </c>
      <c r="J1606" s="10" t="inlineStr">
        <is>
          <t>10:30</t>
        </is>
      </c>
      <c r="K1606" s="10" t="inlineStr">
        <is>
          <t>On time</t>
        </is>
      </c>
      <c r="L1606" s="6" t="n">
        <v>0</v>
      </c>
      <c r="M1606" s="10" t="n"/>
      <c r="N1606" s="6" t="n">
        <v>6</v>
      </c>
      <c r="O1606" s="6" t="n">
        <v>516</v>
      </c>
      <c r="P1606" s="6" t="n">
        <v>1</v>
      </c>
      <c r="Q1606" s="6">
        <f>IF(OR(K1606="On time",K1606="Late",K1606="Very late"),1,0)</f>
        <v/>
      </c>
    </row>
    <row r="1607">
      <c r="A1607" s="10" t="inlineStr">
        <is>
          <t>DN319848</t>
        </is>
      </c>
      <c r="B1607" s="10" t="inlineStr">
        <is>
          <t>SO63856</t>
        </is>
      </c>
      <c r="C1607" s="10" t="inlineStr">
        <is>
          <t>C11982</t>
        </is>
      </c>
      <c r="D1607" s="10">
        <f>INDEX(Customers!$B:$B,MATCH(C1607,Customers!$A:$A,0))</f>
        <v/>
      </c>
      <c r="E1607" s="10">
        <f>INDEX(Customers!$D:$D,MATCH(C1607,Customers!$A:$A,0))</f>
        <v/>
      </c>
      <c r="F1607" s="10" t="inlineStr">
        <is>
          <t>Own trucks</t>
        </is>
      </c>
      <c r="G1607" s="5" t="n">
        <v>46289</v>
      </c>
      <c r="H1607" s="5" t="n">
        <v>46290</v>
      </c>
      <c r="I1607" s="5" t="n">
        <v>46290</v>
      </c>
      <c r="J1607" s="10" t="inlineStr">
        <is>
          <t>11:40</t>
        </is>
      </c>
      <c r="K1607" s="10" t="inlineStr">
        <is>
          <t>On time</t>
        </is>
      </c>
      <c r="L1607" s="6" t="n">
        <v>0</v>
      </c>
      <c r="M1607" s="10" t="n"/>
      <c r="N1607" s="6" t="n">
        <v>10</v>
      </c>
      <c r="O1607" s="6" t="n">
        <v>850</v>
      </c>
      <c r="P1607" s="6" t="n">
        <v>1</v>
      </c>
      <c r="Q1607" s="6">
        <f>IF(OR(K1607="On time",K1607="Late",K1607="Very late"),1,0)</f>
        <v/>
      </c>
    </row>
    <row r="1608">
      <c r="A1608" s="10" t="inlineStr">
        <is>
          <t>DN319849</t>
        </is>
      </c>
      <c r="B1608" s="10" t="inlineStr">
        <is>
          <t>SO63857</t>
        </is>
      </c>
      <c r="C1608" s="10" t="inlineStr">
        <is>
          <t>C12103</t>
        </is>
      </c>
      <c r="D1608" s="10">
        <f>INDEX(Customers!$B:$B,MATCH(C1608,Customers!$A:$A,0))</f>
        <v/>
      </c>
      <c r="E1608" s="10">
        <f>INDEX(Customers!$D:$D,MATCH(C1608,Customers!$A:$A,0))</f>
        <v/>
      </c>
      <c r="F1608" s="10" t="inlineStr">
        <is>
          <t>Own trucks</t>
        </is>
      </c>
      <c r="G1608" s="5" t="n">
        <v>46289</v>
      </c>
      <c r="H1608" s="5" t="n">
        <v>46290</v>
      </c>
      <c r="I1608" s="5" t="n">
        <v>46290</v>
      </c>
      <c r="J1608" s="10" t="inlineStr">
        <is>
          <t>11:20</t>
        </is>
      </c>
      <c r="K1608" s="10" t="inlineStr">
        <is>
          <t>On time</t>
        </is>
      </c>
      <c r="L1608" s="6" t="n">
        <v>0</v>
      </c>
      <c r="M1608" s="10" t="n"/>
      <c r="N1608" s="6" t="n">
        <v>25</v>
      </c>
      <c r="O1608" s="6" t="n">
        <v>3025</v>
      </c>
      <c r="P1608" s="6" t="n">
        <v>1</v>
      </c>
      <c r="Q1608" s="6">
        <f>IF(OR(K1608="On time",K1608="Late",K1608="Very late"),1,0)</f>
        <v/>
      </c>
    </row>
    <row r="1609">
      <c r="A1609" s="10" t="inlineStr">
        <is>
          <t>DN319850</t>
        </is>
      </c>
      <c r="B1609" s="10" t="inlineStr">
        <is>
          <t>SO63858</t>
        </is>
      </c>
      <c r="C1609" s="10" t="inlineStr">
        <is>
          <t>C12183</t>
        </is>
      </c>
      <c r="D1609" s="10">
        <f>INDEX(Customers!$B:$B,MATCH(C1609,Customers!$A:$A,0))</f>
        <v/>
      </c>
      <c r="E1609" s="10">
        <f>INDEX(Customers!$D:$D,MATCH(C1609,Customers!$A:$A,0))</f>
        <v/>
      </c>
      <c r="F1609" s="10" t="inlineStr">
        <is>
          <t>Carrier B</t>
        </is>
      </c>
      <c r="G1609" s="5" t="n">
        <v>46289</v>
      </c>
      <c r="H1609" s="5" t="n">
        <v>46290</v>
      </c>
      <c r="I1609" s="5" t="n">
        <v>46290</v>
      </c>
      <c r="J1609" s="10" t="inlineStr">
        <is>
          <t>16:20</t>
        </is>
      </c>
      <c r="K1609" s="10" t="inlineStr">
        <is>
          <t>On time</t>
        </is>
      </c>
      <c r="L1609" s="6" t="n">
        <v>0</v>
      </c>
      <c r="M1609" s="10" t="n"/>
      <c r="N1609" s="6" t="n">
        <v>35</v>
      </c>
      <c r="O1609" s="6" t="n">
        <v>3990</v>
      </c>
      <c r="P1609" s="6" t="n">
        <v>1</v>
      </c>
      <c r="Q1609" s="6">
        <f>IF(OR(K1609="On time",K1609="Late",K1609="Very late"),1,0)</f>
        <v/>
      </c>
    </row>
    <row r="1610">
      <c r="A1610" s="10" t="inlineStr">
        <is>
          <t>DN319851</t>
        </is>
      </c>
      <c r="B1610" s="10" t="inlineStr">
        <is>
          <t>SO63859</t>
        </is>
      </c>
      <c r="C1610" s="10" t="inlineStr">
        <is>
          <t>C12213</t>
        </is>
      </c>
      <c r="D1610" s="10">
        <f>INDEX(Customers!$B:$B,MATCH(C1610,Customers!$A:$A,0))</f>
        <v/>
      </c>
      <c r="E1610" s="10">
        <f>INDEX(Customers!$D:$D,MATCH(C1610,Customers!$A:$A,0))</f>
        <v/>
      </c>
      <c r="F1610" s="10" t="inlineStr">
        <is>
          <t>Carrier B</t>
        </is>
      </c>
      <c r="G1610" s="5" t="n">
        <v>46289</v>
      </c>
      <c r="H1610" s="5" t="n">
        <v>46290</v>
      </c>
      <c r="I1610" s="5" t="n">
        <v>46294</v>
      </c>
      <c r="J1610" s="10" t="inlineStr">
        <is>
          <t>10:30</t>
        </is>
      </c>
      <c r="K1610" s="10" t="inlineStr">
        <is>
          <t>Very late</t>
        </is>
      </c>
      <c r="L1610" s="6" t="n">
        <v>2</v>
      </c>
      <c r="M1610" s="10" t="inlineStr">
        <is>
          <t>Carrier delay</t>
        </is>
      </c>
      <c r="N1610" s="6" t="n">
        <v>21</v>
      </c>
      <c r="O1610" s="6" t="n">
        <v>1239</v>
      </c>
      <c r="P1610" s="6" t="n">
        <v>1</v>
      </c>
      <c r="Q1610" s="6">
        <f>IF(OR(K1610="On time",K1610="Late",K1610="Very late"),1,0)</f>
        <v/>
      </c>
    </row>
    <row r="1611">
      <c r="A1611" s="10" t="inlineStr">
        <is>
          <t>DN319852</t>
        </is>
      </c>
      <c r="B1611" s="10" t="inlineStr">
        <is>
          <t>SO63860</t>
        </is>
      </c>
      <c r="C1611" s="10" t="inlineStr">
        <is>
          <t>C12239</t>
        </is>
      </c>
      <c r="D1611" s="10">
        <f>INDEX(Customers!$B:$B,MATCH(C1611,Customers!$A:$A,0))</f>
        <v/>
      </c>
      <c r="E1611" s="10">
        <f>INDEX(Customers!$D:$D,MATCH(C1611,Customers!$A:$A,0))</f>
        <v/>
      </c>
      <c r="F1611" s="10" t="inlineStr">
        <is>
          <t>Carrier B</t>
        </is>
      </c>
      <c r="G1611" s="5" t="n">
        <v>46289</v>
      </c>
      <c r="H1611" s="5" t="n">
        <v>46290</v>
      </c>
      <c r="I1611" s="5" t="n">
        <v>46290</v>
      </c>
      <c r="J1611" s="10" t="inlineStr">
        <is>
          <t>15:10</t>
        </is>
      </c>
      <c r="K1611" s="10" t="inlineStr">
        <is>
          <t>On time</t>
        </is>
      </c>
      <c r="L1611" s="6" t="n">
        <v>0</v>
      </c>
      <c r="M1611" s="10" t="n"/>
      <c r="N1611" s="6" t="n">
        <v>16</v>
      </c>
      <c r="O1611" s="6" t="n">
        <v>1792</v>
      </c>
      <c r="P1611" s="6" t="n">
        <v>1</v>
      </c>
      <c r="Q1611" s="6">
        <f>IF(OR(K1611="On time",K1611="Late",K1611="Very late"),1,0)</f>
        <v/>
      </c>
    </row>
    <row r="1612">
      <c r="A1612" s="10" t="inlineStr">
        <is>
          <t>DN319853</t>
        </is>
      </c>
      <c r="B1612" s="10" t="inlineStr">
        <is>
          <t>SO63861</t>
        </is>
      </c>
      <c r="C1612" s="10" t="inlineStr">
        <is>
          <t>C12305</t>
        </is>
      </c>
      <c r="D1612" s="10">
        <f>INDEX(Customers!$B:$B,MATCH(C1612,Customers!$A:$A,0))</f>
        <v/>
      </c>
      <c r="E1612" s="10">
        <f>INDEX(Customers!$D:$D,MATCH(C1612,Customers!$A:$A,0))</f>
        <v/>
      </c>
      <c r="F1612" s="10" t="inlineStr">
        <is>
          <t>Carrier B</t>
        </is>
      </c>
      <c r="G1612" s="5" t="n">
        <v>46289</v>
      </c>
      <c r="H1612" s="5" t="n">
        <v>46290</v>
      </c>
      <c r="I1612" s="5" t="n">
        <v>46290</v>
      </c>
      <c r="J1612" s="10" t="inlineStr">
        <is>
          <t>10:10</t>
        </is>
      </c>
      <c r="K1612" s="10" t="inlineStr">
        <is>
          <t>On time</t>
        </is>
      </c>
      <c r="L1612" s="6" t="n">
        <v>0</v>
      </c>
      <c r="M1612" s="10" t="n"/>
      <c r="N1612" s="6" t="n">
        <v>39</v>
      </c>
      <c r="O1612" s="6" t="n">
        <v>5148</v>
      </c>
      <c r="P1612" s="6" t="n">
        <v>1</v>
      </c>
      <c r="Q1612" s="6">
        <f>IF(OR(K1612="On time",K1612="Late",K1612="Very late"),1,0)</f>
        <v/>
      </c>
    </row>
    <row r="1613">
      <c r="A1613" s="10" t="inlineStr">
        <is>
          <t>DN319854</t>
        </is>
      </c>
      <c r="B1613" s="10" t="inlineStr">
        <is>
          <t>SO63863</t>
        </is>
      </c>
      <c r="C1613" s="10" t="inlineStr">
        <is>
          <t>C12365</t>
        </is>
      </c>
      <c r="D1613" s="10">
        <f>INDEX(Customers!$B:$B,MATCH(C1613,Customers!$A:$A,0))</f>
        <v/>
      </c>
      <c r="E1613" s="10">
        <f>INDEX(Customers!$D:$D,MATCH(C1613,Customers!$A:$A,0))</f>
        <v/>
      </c>
      <c r="F1613" s="10" t="inlineStr">
        <is>
          <t>Carrier B</t>
        </is>
      </c>
      <c r="G1613" s="5" t="n">
        <v>46289</v>
      </c>
      <c r="H1613" s="5" t="n">
        <v>46290</v>
      </c>
      <c r="I1613" s="5" t="n">
        <v>46290</v>
      </c>
      <c r="J1613" s="10" t="inlineStr">
        <is>
          <t>09:10</t>
        </is>
      </c>
      <c r="K1613" s="10" t="inlineStr">
        <is>
          <t>On time</t>
        </is>
      </c>
      <c r="L1613" s="6" t="n">
        <v>0</v>
      </c>
      <c r="M1613" s="10" t="n"/>
      <c r="N1613" s="6" t="n">
        <v>18</v>
      </c>
      <c r="O1613" s="6" t="n">
        <v>2232</v>
      </c>
      <c r="P1613" s="6" t="n">
        <v>1</v>
      </c>
      <c r="Q1613" s="6">
        <f>IF(OR(K1613="On time",K1613="Late",K1613="Very late"),1,0)</f>
        <v/>
      </c>
    </row>
    <row r="1614">
      <c r="A1614" s="10" t="inlineStr">
        <is>
          <t>DN319855</t>
        </is>
      </c>
      <c r="B1614" s="10" t="inlineStr">
        <is>
          <t>SO63864</t>
        </is>
      </c>
      <c r="C1614" s="10" t="inlineStr">
        <is>
          <t>C12393</t>
        </is>
      </c>
      <c r="D1614" s="10">
        <f>INDEX(Customers!$B:$B,MATCH(C1614,Customers!$A:$A,0))</f>
        <v/>
      </c>
      <c r="E1614" s="10">
        <f>INDEX(Customers!$D:$D,MATCH(C1614,Customers!$A:$A,0))</f>
        <v/>
      </c>
      <c r="F1614" s="10" t="inlineStr">
        <is>
          <t>Carrier A</t>
        </is>
      </c>
      <c r="G1614" s="5" t="n">
        <v>46289</v>
      </c>
      <c r="H1614" s="5" t="n">
        <v>46290</v>
      </c>
      <c r="I1614" s="5" t="n">
        <v>46293</v>
      </c>
      <c r="J1614" s="10" t="inlineStr">
        <is>
          <t>07:40</t>
        </is>
      </c>
      <c r="K1614" s="10" t="inlineStr">
        <is>
          <t>Late</t>
        </is>
      </c>
      <c r="L1614" s="6" t="n">
        <v>1</v>
      </c>
      <c r="M1614" s="10" t="inlineStr">
        <is>
          <t>Customer closed (failed attempt)</t>
        </is>
      </c>
      <c r="N1614" s="6" t="n">
        <v>2</v>
      </c>
      <c r="O1614" s="6" t="n">
        <v>190</v>
      </c>
      <c r="P1614" s="6" t="n">
        <v>1</v>
      </c>
      <c r="Q1614" s="6">
        <f>IF(OR(K1614="On time",K1614="Late",K1614="Very late"),1,0)</f>
        <v/>
      </c>
    </row>
    <row r="1615">
      <c r="A1615" s="10" t="inlineStr">
        <is>
          <t>DN319856</t>
        </is>
      </c>
      <c r="B1615" s="10" t="inlineStr">
        <is>
          <t>SO63865</t>
        </is>
      </c>
      <c r="C1615" s="10" t="inlineStr">
        <is>
          <t>C12420</t>
        </is>
      </c>
      <c r="D1615" s="10">
        <f>INDEX(Customers!$B:$B,MATCH(C1615,Customers!$A:$A,0))</f>
        <v/>
      </c>
      <c r="E1615" s="10">
        <f>INDEX(Customers!$D:$D,MATCH(C1615,Customers!$A:$A,0))</f>
        <v/>
      </c>
      <c r="F1615" s="10" t="inlineStr">
        <is>
          <t>Carrier A</t>
        </is>
      </c>
      <c r="G1615" s="5" t="n">
        <v>46289</v>
      </c>
      <c r="H1615" s="5" t="n">
        <v>46290</v>
      </c>
      <c r="I1615" s="5" t="n">
        <v>46293</v>
      </c>
      <c r="J1615" s="10" t="inlineStr">
        <is>
          <t>15:20</t>
        </is>
      </c>
      <c r="K1615" s="10" t="inlineStr">
        <is>
          <t>Late</t>
        </is>
      </c>
      <c r="L1615" s="6" t="n">
        <v>1</v>
      </c>
      <c r="M1615" s="10" t="inlineStr">
        <is>
          <t>Carrier delay</t>
        </is>
      </c>
      <c r="N1615" s="6" t="n">
        <v>17</v>
      </c>
      <c r="O1615" s="6" t="n">
        <v>1853</v>
      </c>
      <c r="P1615" s="6" t="n">
        <v>1</v>
      </c>
      <c r="Q1615" s="6">
        <f>IF(OR(K1615="On time",K1615="Late",K1615="Very late"),1,0)</f>
        <v/>
      </c>
    </row>
    <row r="1616">
      <c r="A1616" s="10" t="inlineStr">
        <is>
          <t>DN319857</t>
        </is>
      </c>
      <c r="B1616" s="10" t="inlineStr">
        <is>
          <t>SO63866</t>
        </is>
      </c>
      <c r="C1616" s="10" t="inlineStr">
        <is>
          <t>C12490</t>
        </is>
      </c>
      <c r="D1616" s="10">
        <f>INDEX(Customers!$B:$B,MATCH(C1616,Customers!$A:$A,0))</f>
        <v/>
      </c>
      <c r="E1616" s="10">
        <f>INDEX(Customers!$D:$D,MATCH(C1616,Customers!$A:$A,0))</f>
        <v/>
      </c>
      <c r="F1616" s="10" t="inlineStr">
        <is>
          <t>Carrier A</t>
        </is>
      </c>
      <c r="G1616" s="5" t="n">
        <v>46289</v>
      </c>
      <c r="H1616" s="5" t="n">
        <v>46290</v>
      </c>
      <c r="I1616" s="5" t="n">
        <v>46290</v>
      </c>
      <c r="J1616" s="10" t="inlineStr">
        <is>
          <t>11:00</t>
        </is>
      </c>
      <c r="K1616" s="10" t="inlineStr">
        <is>
          <t>On time</t>
        </is>
      </c>
      <c r="L1616" s="6" t="n">
        <v>0</v>
      </c>
      <c r="M1616" s="10" t="n"/>
      <c r="N1616" s="6" t="n">
        <v>13</v>
      </c>
      <c r="O1616" s="6" t="n">
        <v>1248</v>
      </c>
      <c r="P1616" s="6" t="n">
        <v>1</v>
      </c>
      <c r="Q1616" s="6">
        <f>IF(OR(K1616="On time",K1616="Late",K1616="Very late"),1,0)</f>
        <v/>
      </c>
    </row>
    <row r="1617">
      <c r="A1617" s="10" t="inlineStr">
        <is>
          <t>DN319858</t>
        </is>
      </c>
      <c r="B1617" s="10" t="inlineStr">
        <is>
          <t>SO63868</t>
        </is>
      </c>
      <c r="C1617" s="10" t="inlineStr">
        <is>
          <t>C12543</t>
        </is>
      </c>
      <c r="D1617" s="10">
        <f>INDEX(Customers!$B:$B,MATCH(C1617,Customers!$A:$A,0))</f>
        <v/>
      </c>
      <c r="E1617" s="10">
        <f>INDEX(Customers!$D:$D,MATCH(C1617,Customers!$A:$A,0))</f>
        <v/>
      </c>
      <c r="F1617" s="10" t="inlineStr">
        <is>
          <t>Carrier B</t>
        </is>
      </c>
      <c r="G1617" s="5" t="n">
        <v>46288</v>
      </c>
      <c r="H1617" s="5" t="n">
        <v>46290</v>
      </c>
      <c r="I1617" s="5" t="n">
        <v>46290</v>
      </c>
      <c r="J1617" s="10" t="inlineStr">
        <is>
          <t>12:20</t>
        </is>
      </c>
      <c r="K1617" s="10" t="inlineStr">
        <is>
          <t>On time</t>
        </is>
      </c>
      <c r="L1617" s="6" t="n">
        <v>0</v>
      </c>
      <c r="M1617" s="10" t="n"/>
      <c r="N1617" s="6" t="n">
        <v>6</v>
      </c>
      <c r="O1617" s="6" t="n">
        <v>366</v>
      </c>
      <c r="P1617" s="6" t="n">
        <v>1</v>
      </c>
      <c r="Q1617" s="6">
        <f>IF(OR(K1617="On time",K1617="Late",K1617="Very late"),1,0)</f>
        <v/>
      </c>
    </row>
    <row r="1618">
      <c r="A1618" s="10" t="inlineStr">
        <is>
          <t>DN319859</t>
        </is>
      </c>
      <c r="B1618" s="10" t="inlineStr">
        <is>
          <t>SO63870</t>
        </is>
      </c>
      <c r="C1618" s="10" t="inlineStr">
        <is>
          <t>C12557</t>
        </is>
      </c>
      <c r="D1618" s="10">
        <f>INDEX(Customers!$B:$B,MATCH(C1618,Customers!$A:$A,0))</f>
        <v/>
      </c>
      <c r="E1618" s="10">
        <f>INDEX(Customers!$D:$D,MATCH(C1618,Customers!$A:$A,0))</f>
        <v/>
      </c>
      <c r="F1618" s="10" t="inlineStr">
        <is>
          <t>Carrier B</t>
        </is>
      </c>
      <c r="G1618" s="5" t="n">
        <v>46288</v>
      </c>
      <c r="H1618" s="5" t="n">
        <v>46290</v>
      </c>
      <c r="I1618" s="5" t="n">
        <v>46293</v>
      </c>
      <c r="J1618" s="10" t="inlineStr">
        <is>
          <t>09:50</t>
        </is>
      </c>
      <c r="K1618" s="10" t="inlineStr">
        <is>
          <t>Late</t>
        </is>
      </c>
      <c r="L1618" s="6" t="n">
        <v>1</v>
      </c>
      <c r="M1618" s="10" t="inlineStr">
        <is>
          <t>Run overloaded</t>
        </is>
      </c>
      <c r="N1618" s="6" t="n">
        <v>10</v>
      </c>
      <c r="O1618" s="6" t="n">
        <v>670</v>
      </c>
      <c r="P1618" s="6" t="n">
        <v>1</v>
      </c>
      <c r="Q1618" s="6">
        <f>IF(OR(K1618="On time",K1618="Late",K1618="Very late"),1,0)</f>
        <v/>
      </c>
    </row>
    <row r="1619">
      <c r="A1619" s="10" t="inlineStr">
        <is>
          <t>DN319861</t>
        </is>
      </c>
      <c r="B1619" s="10" t="inlineStr">
        <is>
          <t>SO63872</t>
        </is>
      </c>
      <c r="C1619" s="10" t="inlineStr">
        <is>
          <t>C12617</t>
        </is>
      </c>
      <c r="D1619" s="10">
        <f>INDEX(Customers!$B:$B,MATCH(C1619,Customers!$A:$A,0))</f>
        <v/>
      </c>
      <c r="E1619" s="10">
        <f>INDEX(Customers!$D:$D,MATCH(C1619,Customers!$A:$A,0))</f>
        <v/>
      </c>
      <c r="F1619" s="10" t="inlineStr">
        <is>
          <t>Carrier B</t>
        </is>
      </c>
      <c r="G1619" s="5" t="n">
        <v>46288</v>
      </c>
      <c r="H1619" s="5" t="n">
        <v>46290</v>
      </c>
      <c r="I1619" s="5" t="n">
        <v>46290</v>
      </c>
      <c r="J1619" s="10" t="inlineStr">
        <is>
          <t>08:50</t>
        </is>
      </c>
      <c r="K1619" s="10" t="inlineStr">
        <is>
          <t>On time</t>
        </is>
      </c>
      <c r="L1619" s="6" t="n">
        <v>0</v>
      </c>
      <c r="M1619" s="10" t="n"/>
      <c r="N1619" s="6" t="n">
        <v>11</v>
      </c>
      <c r="O1619" s="6" t="n">
        <v>1397</v>
      </c>
      <c r="P1619" s="6" t="n">
        <v>1</v>
      </c>
      <c r="Q1619" s="6">
        <f>IF(OR(K1619="On time",K1619="Late",K1619="Very late"),1,0)</f>
        <v/>
      </c>
    </row>
    <row r="1620">
      <c r="A1620" s="10" t="inlineStr">
        <is>
          <t>DN319862</t>
        </is>
      </c>
      <c r="B1620" s="10" t="inlineStr">
        <is>
          <t>SO63873</t>
        </is>
      </c>
      <c r="C1620" s="10" t="inlineStr">
        <is>
          <t>C12631</t>
        </is>
      </c>
      <c r="D1620" s="10">
        <f>INDEX(Customers!$B:$B,MATCH(C1620,Customers!$A:$A,0))</f>
        <v/>
      </c>
      <c r="E1620" s="10">
        <f>INDEX(Customers!$D:$D,MATCH(C1620,Customers!$A:$A,0))</f>
        <v/>
      </c>
      <c r="F1620" s="10" t="inlineStr">
        <is>
          <t>Carrier B</t>
        </is>
      </c>
      <c r="G1620" s="5" t="n">
        <v>46288</v>
      </c>
      <c r="H1620" s="5" t="n">
        <v>46290</v>
      </c>
      <c r="I1620" s="5" t="n">
        <v>46290</v>
      </c>
      <c r="J1620" s="10" t="inlineStr">
        <is>
          <t>16:00</t>
        </is>
      </c>
      <c r="K1620" s="10" t="inlineStr">
        <is>
          <t>On time</t>
        </is>
      </c>
      <c r="L1620" s="6" t="n">
        <v>0</v>
      </c>
      <c r="M1620" s="10" t="n"/>
      <c r="N1620" s="6" t="n">
        <v>33</v>
      </c>
      <c r="O1620" s="6" t="n">
        <v>2343</v>
      </c>
      <c r="P1620" s="6" t="n">
        <v>1</v>
      </c>
      <c r="Q1620" s="6">
        <f>IF(OR(K1620="On time",K1620="Late",K1620="Very late"),1,0)</f>
        <v/>
      </c>
    </row>
    <row r="1621">
      <c r="A1621" s="10" t="inlineStr">
        <is>
          <t>DN319863</t>
        </is>
      </c>
      <c r="B1621" s="10" t="inlineStr">
        <is>
          <t>SO63874</t>
        </is>
      </c>
      <c r="C1621" s="10" t="inlineStr">
        <is>
          <t>C12639</t>
        </is>
      </c>
      <c r="D1621" s="10">
        <f>INDEX(Customers!$B:$B,MATCH(C1621,Customers!$A:$A,0))</f>
        <v/>
      </c>
      <c r="E1621" s="10">
        <f>INDEX(Customers!$D:$D,MATCH(C1621,Customers!$A:$A,0))</f>
        <v/>
      </c>
      <c r="F1621" s="10" t="inlineStr">
        <is>
          <t>Carrier B</t>
        </is>
      </c>
      <c r="G1621" s="5" t="n">
        <v>46288</v>
      </c>
      <c r="H1621" s="5" t="n">
        <v>46290</v>
      </c>
      <c r="I1621" s="5" t="n">
        <v>46290</v>
      </c>
      <c r="J1621" s="10" t="inlineStr">
        <is>
          <t>07:00</t>
        </is>
      </c>
      <c r="K1621" s="10" t="inlineStr">
        <is>
          <t>On time</t>
        </is>
      </c>
      <c r="L1621" s="6" t="n">
        <v>0</v>
      </c>
      <c r="M1621" s="10" t="n"/>
      <c r="N1621" s="6" t="n">
        <v>38</v>
      </c>
      <c r="O1621" s="6" t="n">
        <v>3230</v>
      </c>
      <c r="P1621" s="6" t="n">
        <v>1</v>
      </c>
      <c r="Q1621" s="6">
        <f>IF(OR(K1621="On time",K1621="Late",K1621="Very late"),1,0)</f>
        <v/>
      </c>
    </row>
    <row r="1622">
      <c r="A1622" s="10" t="inlineStr">
        <is>
          <t>DN319864</t>
        </is>
      </c>
      <c r="B1622" s="10" t="inlineStr">
        <is>
          <t>SO63875</t>
        </is>
      </c>
      <c r="C1622" s="10" t="inlineStr">
        <is>
          <t>C10268</t>
        </is>
      </c>
      <c r="D1622" s="10">
        <f>INDEX(Customers!$B:$B,MATCH(C1622,Customers!$A:$A,0))</f>
        <v/>
      </c>
      <c r="E1622" s="10">
        <f>INDEX(Customers!$D:$D,MATCH(C1622,Customers!$A:$A,0))</f>
        <v/>
      </c>
      <c r="F1622" s="10" t="inlineStr">
        <is>
          <t>Own trucks</t>
        </is>
      </c>
      <c r="G1622" s="5" t="n">
        <v>46290</v>
      </c>
      <c r="H1622" s="5" t="n">
        <v>46293</v>
      </c>
      <c r="I1622" s="5" t="n">
        <v>46293</v>
      </c>
      <c r="J1622" s="10" t="inlineStr">
        <is>
          <t>16:50</t>
        </is>
      </c>
      <c r="K1622" s="10" t="inlineStr">
        <is>
          <t>On time</t>
        </is>
      </c>
      <c r="L1622" s="6" t="n">
        <v>0</v>
      </c>
      <c r="M1622" s="10" t="n"/>
      <c r="N1622" s="6" t="n">
        <v>12</v>
      </c>
      <c r="O1622" s="6" t="n">
        <v>660</v>
      </c>
      <c r="P1622" s="6" t="n">
        <v>1</v>
      </c>
      <c r="Q1622" s="6">
        <f>IF(OR(K1622="On time",K1622="Late",K1622="Very late"),1,0)</f>
        <v/>
      </c>
    </row>
    <row r="1623">
      <c r="A1623" s="10" t="inlineStr">
        <is>
          <t>DN319865</t>
        </is>
      </c>
      <c r="B1623" s="10" t="inlineStr">
        <is>
          <t>SO63877</t>
        </is>
      </c>
      <c r="C1623" s="10" t="inlineStr">
        <is>
          <t>C10322</t>
        </is>
      </c>
      <c r="D1623" s="10">
        <f>INDEX(Customers!$B:$B,MATCH(C1623,Customers!$A:$A,0))</f>
        <v/>
      </c>
      <c r="E1623" s="10">
        <f>INDEX(Customers!$D:$D,MATCH(C1623,Customers!$A:$A,0))</f>
        <v/>
      </c>
      <c r="F1623" s="10" t="inlineStr">
        <is>
          <t>Own trucks</t>
        </is>
      </c>
      <c r="G1623" s="5" t="n">
        <v>46290</v>
      </c>
      <c r="H1623" s="5" t="n">
        <v>46293</v>
      </c>
      <c r="I1623" s="5" t="n">
        <v>46293</v>
      </c>
      <c r="J1623" s="10" t="inlineStr">
        <is>
          <t>07:30</t>
        </is>
      </c>
      <c r="K1623" s="10" t="inlineStr">
        <is>
          <t>On time</t>
        </is>
      </c>
      <c r="L1623" s="6" t="n">
        <v>0</v>
      </c>
      <c r="M1623" s="10" t="n"/>
      <c r="N1623" s="6" t="n">
        <v>15</v>
      </c>
      <c r="O1623" s="6" t="n">
        <v>2010</v>
      </c>
      <c r="P1623" s="6" t="n">
        <v>1</v>
      </c>
      <c r="Q1623" s="6">
        <f>IF(OR(K1623="On time",K1623="Late",K1623="Very late"),1,0)</f>
        <v/>
      </c>
    </row>
    <row r="1624">
      <c r="A1624" s="10" t="inlineStr">
        <is>
          <t>DN319866</t>
        </is>
      </c>
      <c r="B1624" s="10" t="inlineStr">
        <is>
          <t>SO63878</t>
        </is>
      </c>
      <c r="C1624" s="10" t="inlineStr">
        <is>
          <t>C10343</t>
        </is>
      </c>
      <c r="D1624" s="10">
        <f>INDEX(Customers!$B:$B,MATCH(C1624,Customers!$A:$A,0))</f>
        <v/>
      </c>
      <c r="E1624" s="10">
        <f>INDEX(Customers!$D:$D,MATCH(C1624,Customers!$A:$A,0))</f>
        <v/>
      </c>
      <c r="F1624" s="10" t="inlineStr">
        <is>
          <t>Same-day courier</t>
        </is>
      </c>
      <c r="G1624" s="5" t="n">
        <v>46290</v>
      </c>
      <c r="H1624" s="5" t="n">
        <v>46293</v>
      </c>
      <c r="I1624" s="5" t="n">
        <v>46293</v>
      </c>
      <c r="J1624" s="10" t="inlineStr">
        <is>
          <t>10:00</t>
        </is>
      </c>
      <c r="K1624" s="10" t="inlineStr">
        <is>
          <t>On time</t>
        </is>
      </c>
      <c r="L1624" s="6" t="n">
        <v>0</v>
      </c>
      <c r="M1624" s="10" t="n"/>
      <c r="N1624" s="6" t="n">
        <v>20</v>
      </c>
      <c r="O1624" s="6" t="n">
        <v>2580</v>
      </c>
      <c r="P1624" s="6" t="n">
        <v>1</v>
      </c>
      <c r="Q1624" s="6">
        <f>IF(OR(K1624="On time",K1624="Late",K1624="Very late"),1,0)</f>
        <v/>
      </c>
    </row>
    <row r="1625">
      <c r="A1625" s="10" t="inlineStr">
        <is>
          <t>DN319867</t>
        </is>
      </c>
      <c r="B1625" s="10" t="inlineStr">
        <is>
          <t>SO63879</t>
        </is>
      </c>
      <c r="C1625" s="10" t="inlineStr">
        <is>
          <t>C10413</t>
        </is>
      </c>
      <c r="D1625" s="10">
        <f>INDEX(Customers!$B:$B,MATCH(C1625,Customers!$A:$A,0))</f>
        <v/>
      </c>
      <c r="E1625" s="10">
        <f>INDEX(Customers!$D:$D,MATCH(C1625,Customers!$A:$A,0))</f>
        <v/>
      </c>
      <c r="F1625" s="10" t="inlineStr">
        <is>
          <t>Same-day courier</t>
        </is>
      </c>
      <c r="G1625" s="5" t="n">
        <v>46290</v>
      </c>
      <c r="H1625" s="5" t="n">
        <v>46293</v>
      </c>
      <c r="I1625" s="5" t="n">
        <v>46293</v>
      </c>
      <c r="J1625" s="10" t="inlineStr">
        <is>
          <t>09:30</t>
        </is>
      </c>
      <c r="K1625" s="10" t="inlineStr">
        <is>
          <t>On time</t>
        </is>
      </c>
      <c r="L1625" s="6" t="n">
        <v>0</v>
      </c>
      <c r="M1625" s="10" t="n"/>
      <c r="N1625" s="6" t="n">
        <v>24</v>
      </c>
      <c r="O1625" s="6" t="n">
        <v>1824</v>
      </c>
      <c r="P1625" s="6" t="n">
        <v>1</v>
      </c>
      <c r="Q1625" s="6">
        <f>IF(OR(K1625="On time",K1625="Late",K1625="Very late"),1,0)</f>
        <v/>
      </c>
    </row>
    <row r="1626">
      <c r="A1626" s="10" t="inlineStr">
        <is>
          <t>DN319868</t>
        </is>
      </c>
      <c r="B1626" s="10" t="inlineStr">
        <is>
          <t>SO63880</t>
        </is>
      </c>
      <c r="C1626" s="10" t="inlineStr">
        <is>
          <t>C10446</t>
        </is>
      </c>
      <c r="D1626" s="10">
        <f>INDEX(Customers!$B:$B,MATCH(C1626,Customers!$A:$A,0))</f>
        <v/>
      </c>
      <c r="E1626" s="10">
        <f>INDEX(Customers!$D:$D,MATCH(C1626,Customers!$A:$A,0))</f>
        <v/>
      </c>
      <c r="F1626" s="10" t="inlineStr">
        <is>
          <t>Own trucks</t>
        </is>
      </c>
      <c r="G1626" s="5" t="n">
        <v>46290</v>
      </c>
      <c r="H1626" s="5" t="n">
        <v>46293</v>
      </c>
      <c r="I1626" s="5" t="n">
        <v>46293</v>
      </c>
      <c r="J1626" s="10" t="inlineStr">
        <is>
          <t>16:00</t>
        </is>
      </c>
      <c r="K1626" s="10" t="inlineStr">
        <is>
          <t>On time</t>
        </is>
      </c>
      <c r="L1626" s="6" t="n">
        <v>0</v>
      </c>
      <c r="M1626" s="10" t="n"/>
      <c r="N1626" s="6" t="n">
        <v>8</v>
      </c>
      <c r="O1626" s="6" t="n">
        <v>480</v>
      </c>
      <c r="P1626" s="6" t="n">
        <v>1</v>
      </c>
      <c r="Q1626" s="6">
        <f>IF(OR(K1626="On time",K1626="Late",K1626="Very late"),1,0)</f>
        <v/>
      </c>
    </row>
    <row r="1627">
      <c r="A1627" s="10" t="inlineStr">
        <is>
          <t>DN319869</t>
        </is>
      </c>
      <c r="B1627" s="10" t="inlineStr">
        <is>
          <t>SO63882</t>
        </is>
      </c>
      <c r="C1627" s="10" t="inlineStr">
        <is>
          <t>C10522</t>
        </is>
      </c>
      <c r="D1627" s="10">
        <f>INDEX(Customers!$B:$B,MATCH(C1627,Customers!$A:$A,0))</f>
        <v/>
      </c>
      <c r="E1627" s="10">
        <f>INDEX(Customers!$D:$D,MATCH(C1627,Customers!$A:$A,0))</f>
        <v/>
      </c>
      <c r="F1627" s="10" t="inlineStr">
        <is>
          <t>Own trucks</t>
        </is>
      </c>
      <c r="G1627" s="5" t="n">
        <v>46290</v>
      </c>
      <c r="H1627" s="5" t="n">
        <v>46293</v>
      </c>
      <c r="I1627" s="5" t="n">
        <v>46293</v>
      </c>
      <c r="J1627" s="10" t="inlineStr">
        <is>
          <t>10:00</t>
        </is>
      </c>
      <c r="K1627" s="10" t="inlineStr">
        <is>
          <t>On time</t>
        </is>
      </c>
      <c r="L1627" s="6" t="n">
        <v>0</v>
      </c>
      <c r="M1627" s="10" t="n"/>
      <c r="N1627" s="6" t="n">
        <v>30</v>
      </c>
      <c r="O1627" s="6" t="n">
        <v>1650</v>
      </c>
      <c r="P1627" s="6" t="n">
        <v>1</v>
      </c>
      <c r="Q1627" s="6">
        <f>IF(OR(K1627="On time",K1627="Late",K1627="Very late"),1,0)</f>
        <v/>
      </c>
    </row>
    <row r="1628">
      <c r="A1628" s="10" t="inlineStr">
        <is>
          <t>DN319870</t>
        </is>
      </c>
      <c r="B1628" s="10" t="inlineStr">
        <is>
          <t>SO63883</t>
        </is>
      </c>
      <c r="C1628" s="10" t="inlineStr">
        <is>
          <t>C10536</t>
        </is>
      </c>
      <c r="D1628" s="10">
        <f>INDEX(Customers!$B:$B,MATCH(C1628,Customers!$A:$A,0))</f>
        <v/>
      </c>
      <c r="E1628" s="10">
        <f>INDEX(Customers!$D:$D,MATCH(C1628,Customers!$A:$A,0))</f>
        <v/>
      </c>
      <c r="F1628" s="10" t="inlineStr">
        <is>
          <t>Own trucks</t>
        </is>
      </c>
      <c r="G1628" s="5" t="n">
        <v>46290</v>
      </c>
      <c r="H1628" s="5" t="n">
        <v>46293</v>
      </c>
      <c r="I1628" s="5" t="n">
        <v>46293</v>
      </c>
      <c r="J1628" s="10" t="inlineStr">
        <is>
          <t>14:10</t>
        </is>
      </c>
      <c r="K1628" s="10" t="inlineStr">
        <is>
          <t>On time</t>
        </is>
      </c>
      <c r="L1628" s="6" t="n">
        <v>0</v>
      </c>
      <c r="M1628" s="10" t="n"/>
      <c r="N1628" s="6" t="n">
        <v>38</v>
      </c>
      <c r="O1628" s="6" t="n">
        <v>3496</v>
      </c>
      <c r="P1628" s="6" t="n">
        <v>1</v>
      </c>
      <c r="Q1628" s="6">
        <f>IF(OR(K1628="On time",K1628="Late",K1628="Very late"),1,0)</f>
        <v/>
      </c>
    </row>
    <row r="1629">
      <c r="A1629" s="10" t="inlineStr">
        <is>
          <t>DN319871</t>
        </is>
      </c>
      <c r="B1629" s="10" t="inlineStr">
        <is>
          <t>SO63885</t>
        </is>
      </c>
      <c r="C1629" s="10" t="inlineStr">
        <is>
          <t>C10622</t>
        </is>
      </c>
      <c r="D1629" s="10">
        <f>INDEX(Customers!$B:$B,MATCH(C1629,Customers!$A:$A,0))</f>
        <v/>
      </c>
      <c r="E1629" s="10">
        <f>INDEX(Customers!$D:$D,MATCH(C1629,Customers!$A:$A,0))</f>
        <v/>
      </c>
      <c r="F1629" s="10" t="inlineStr">
        <is>
          <t>Own trucks</t>
        </is>
      </c>
      <c r="G1629" s="5" t="n">
        <v>46290</v>
      </c>
      <c r="H1629" s="5" t="n">
        <v>46293</v>
      </c>
      <c r="I1629" s="5" t="n">
        <v>46293</v>
      </c>
      <c r="J1629" s="10" t="inlineStr">
        <is>
          <t>08:00</t>
        </is>
      </c>
      <c r="K1629" s="10" t="inlineStr">
        <is>
          <t>On time</t>
        </is>
      </c>
      <c r="L1629" s="6" t="n">
        <v>0</v>
      </c>
      <c r="M1629" s="10" t="n"/>
      <c r="N1629" s="6" t="n">
        <v>5</v>
      </c>
      <c r="O1629" s="6" t="n">
        <v>355</v>
      </c>
      <c r="P1629" s="6" t="n">
        <v>1</v>
      </c>
      <c r="Q1629" s="6">
        <f>IF(OR(K1629="On time",K1629="Late",K1629="Very late"),1,0)</f>
        <v/>
      </c>
    </row>
    <row r="1630">
      <c r="A1630" s="10" t="inlineStr">
        <is>
          <t>DN319872</t>
        </is>
      </c>
      <c r="B1630" s="10" t="inlineStr">
        <is>
          <t>SO63887</t>
        </is>
      </c>
      <c r="C1630" s="10" t="inlineStr">
        <is>
          <t>C10676</t>
        </is>
      </c>
      <c r="D1630" s="10">
        <f>INDEX(Customers!$B:$B,MATCH(C1630,Customers!$A:$A,0))</f>
        <v/>
      </c>
      <c r="E1630" s="10">
        <f>INDEX(Customers!$D:$D,MATCH(C1630,Customers!$A:$A,0))</f>
        <v/>
      </c>
      <c r="F1630" s="10" t="inlineStr">
        <is>
          <t>Own trucks</t>
        </is>
      </c>
      <c r="G1630" s="5" t="n">
        <v>46290</v>
      </c>
      <c r="H1630" s="5" t="n">
        <v>46293</v>
      </c>
      <c r="I1630" s="5" t="n">
        <v>46293</v>
      </c>
      <c r="J1630" s="10" t="inlineStr">
        <is>
          <t>16:00</t>
        </is>
      </c>
      <c r="K1630" s="10" t="inlineStr">
        <is>
          <t>On time</t>
        </is>
      </c>
      <c r="L1630" s="6" t="n">
        <v>0</v>
      </c>
      <c r="M1630" s="10" t="n"/>
      <c r="N1630" s="6" t="n">
        <v>35</v>
      </c>
      <c r="O1630" s="6" t="n">
        <v>3255</v>
      </c>
      <c r="P1630" s="6" t="n">
        <v>1</v>
      </c>
      <c r="Q1630" s="6">
        <f>IF(OR(K1630="On time",K1630="Late",K1630="Very late"),1,0)</f>
        <v/>
      </c>
    </row>
    <row r="1631">
      <c r="A1631" s="10" t="inlineStr">
        <is>
          <t>DN319873</t>
        </is>
      </c>
      <c r="B1631" s="10" t="inlineStr">
        <is>
          <t>SO63889</t>
        </is>
      </c>
      <c r="C1631" s="10" t="inlineStr">
        <is>
          <t>C10796</t>
        </is>
      </c>
      <c r="D1631" s="10">
        <f>INDEX(Customers!$B:$B,MATCH(C1631,Customers!$A:$A,0))</f>
        <v/>
      </c>
      <c r="E1631" s="10">
        <f>INDEX(Customers!$D:$D,MATCH(C1631,Customers!$A:$A,0))</f>
        <v/>
      </c>
      <c r="F1631" s="10" t="inlineStr">
        <is>
          <t>Own trucks</t>
        </is>
      </c>
      <c r="G1631" s="5" t="n">
        <v>46290</v>
      </c>
      <c r="H1631" s="5" t="n">
        <v>46293</v>
      </c>
      <c r="I1631" s="5" t="n">
        <v>46293</v>
      </c>
      <c r="J1631" s="10" t="inlineStr">
        <is>
          <t>12:50</t>
        </is>
      </c>
      <c r="K1631" s="10" t="inlineStr">
        <is>
          <t>On time</t>
        </is>
      </c>
      <c r="L1631" s="6" t="n">
        <v>0</v>
      </c>
      <c r="M1631" s="10" t="n"/>
      <c r="N1631" s="6" t="n">
        <v>10</v>
      </c>
      <c r="O1631" s="6" t="n">
        <v>1080</v>
      </c>
      <c r="P1631" s="6" t="n">
        <v>1</v>
      </c>
      <c r="Q1631" s="6">
        <f>IF(OR(K1631="On time",K1631="Late",K1631="Very late"),1,0)</f>
        <v/>
      </c>
    </row>
    <row r="1632">
      <c r="A1632" s="10" t="inlineStr">
        <is>
          <t>DN319874</t>
        </is>
      </c>
      <c r="B1632" s="10" t="inlineStr">
        <is>
          <t>SO63890</t>
        </is>
      </c>
      <c r="C1632" s="10" t="inlineStr">
        <is>
          <t>C10847</t>
        </is>
      </c>
      <c r="D1632" s="10">
        <f>INDEX(Customers!$B:$B,MATCH(C1632,Customers!$A:$A,0))</f>
        <v/>
      </c>
      <c r="E1632" s="10">
        <f>INDEX(Customers!$D:$D,MATCH(C1632,Customers!$A:$A,0))</f>
        <v/>
      </c>
      <c r="F1632" s="10" t="inlineStr">
        <is>
          <t>Own trucks</t>
        </is>
      </c>
      <c r="G1632" s="5" t="n">
        <v>46290</v>
      </c>
      <c r="H1632" s="5" t="n">
        <v>46293</v>
      </c>
      <c r="I1632" s="5" t="n">
        <v>46293</v>
      </c>
      <c r="J1632" s="10" t="inlineStr">
        <is>
          <t>10:50</t>
        </is>
      </c>
      <c r="K1632" s="10" t="inlineStr">
        <is>
          <t>On time</t>
        </is>
      </c>
      <c r="L1632" s="6" t="n">
        <v>0</v>
      </c>
      <c r="M1632" s="10" t="n"/>
      <c r="N1632" s="6" t="n">
        <v>4</v>
      </c>
      <c r="O1632" s="6" t="n">
        <v>432</v>
      </c>
      <c r="P1632" s="6" t="n">
        <v>1</v>
      </c>
      <c r="Q1632" s="6">
        <f>IF(OR(K1632="On time",K1632="Late",K1632="Very late"),1,0)</f>
        <v/>
      </c>
    </row>
    <row r="1633">
      <c r="A1633" s="10" t="inlineStr">
        <is>
          <t>DN319875</t>
        </is>
      </c>
      <c r="B1633" s="10" t="inlineStr">
        <is>
          <t>SO63891</t>
        </is>
      </c>
      <c r="C1633" s="10" t="inlineStr">
        <is>
          <t>C10982</t>
        </is>
      </c>
      <c r="D1633" s="10">
        <f>INDEX(Customers!$B:$B,MATCH(C1633,Customers!$A:$A,0))</f>
        <v/>
      </c>
      <c r="E1633" s="10">
        <f>INDEX(Customers!$D:$D,MATCH(C1633,Customers!$A:$A,0))</f>
        <v/>
      </c>
      <c r="F1633" s="10" t="inlineStr">
        <is>
          <t>Own trucks</t>
        </is>
      </c>
      <c r="G1633" s="5" t="n">
        <v>46290</v>
      </c>
      <c r="H1633" s="5" t="n">
        <v>46293</v>
      </c>
      <c r="I1633" s="5" t="n">
        <v>46293</v>
      </c>
      <c r="J1633" s="10" t="inlineStr">
        <is>
          <t>10:10</t>
        </is>
      </c>
      <c r="K1633" s="10" t="inlineStr">
        <is>
          <t>On time</t>
        </is>
      </c>
      <c r="L1633" s="6" t="n">
        <v>0</v>
      </c>
      <c r="M1633" s="10" t="n"/>
      <c r="N1633" s="6" t="n">
        <v>10</v>
      </c>
      <c r="O1633" s="6" t="n">
        <v>770</v>
      </c>
      <c r="P1633" s="6" t="n">
        <v>1</v>
      </c>
      <c r="Q1633" s="6">
        <f>IF(OR(K1633="On time",K1633="Late",K1633="Very late"),1,0)</f>
        <v/>
      </c>
    </row>
    <row r="1634">
      <c r="A1634" s="10" t="inlineStr">
        <is>
          <t>DN319876</t>
        </is>
      </c>
      <c r="B1634" s="10" t="inlineStr">
        <is>
          <t>SO63893</t>
        </is>
      </c>
      <c r="C1634" s="10" t="inlineStr">
        <is>
          <t>C11049</t>
        </is>
      </c>
      <c r="D1634" s="10">
        <f>INDEX(Customers!$B:$B,MATCH(C1634,Customers!$A:$A,0))</f>
        <v/>
      </c>
      <c r="E1634" s="10">
        <f>INDEX(Customers!$D:$D,MATCH(C1634,Customers!$A:$A,0))</f>
        <v/>
      </c>
      <c r="F1634" s="10" t="inlineStr">
        <is>
          <t>Own trucks</t>
        </is>
      </c>
      <c r="G1634" s="5" t="n">
        <v>46290</v>
      </c>
      <c r="H1634" s="5" t="n">
        <v>46293</v>
      </c>
      <c r="I1634" s="5" t="n">
        <v>46293</v>
      </c>
      <c r="J1634" s="10" t="inlineStr">
        <is>
          <t>09:50</t>
        </is>
      </c>
      <c r="K1634" s="10" t="inlineStr">
        <is>
          <t>On time</t>
        </is>
      </c>
      <c r="L1634" s="6" t="n">
        <v>0</v>
      </c>
      <c r="M1634" s="10" t="n"/>
      <c r="N1634" s="6" t="n">
        <v>2</v>
      </c>
      <c r="O1634" s="6" t="n">
        <v>220</v>
      </c>
      <c r="P1634" s="6" t="n">
        <v>1</v>
      </c>
      <c r="Q1634" s="6">
        <f>IF(OR(K1634="On time",K1634="Late",K1634="Very late"),1,0)</f>
        <v/>
      </c>
    </row>
    <row r="1635">
      <c r="A1635" s="10" t="inlineStr">
        <is>
          <t>DN319877</t>
        </is>
      </c>
      <c r="B1635" s="10" t="inlineStr">
        <is>
          <t>SO63894</t>
        </is>
      </c>
      <c r="C1635" s="10" t="inlineStr">
        <is>
          <t>C11107</t>
        </is>
      </c>
      <c r="D1635" s="10">
        <f>INDEX(Customers!$B:$B,MATCH(C1635,Customers!$A:$A,0))</f>
        <v/>
      </c>
      <c r="E1635" s="10">
        <f>INDEX(Customers!$D:$D,MATCH(C1635,Customers!$A:$A,0))</f>
        <v/>
      </c>
      <c r="F1635" s="10" t="inlineStr">
        <is>
          <t>Own trucks</t>
        </is>
      </c>
      <c r="G1635" s="5" t="n">
        <v>46290</v>
      </c>
      <c r="H1635" s="5" t="n">
        <v>46293</v>
      </c>
      <c r="I1635" s="5" t="n">
        <v>46293</v>
      </c>
      <c r="J1635" s="10" t="inlineStr">
        <is>
          <t>11:30</t>
        </is>
      </c>
      <c r="K1635" s="10" t="inlineStr">
        <is>
          <t>On time</t>
        </is>
      </c>
      <c r="L1635" s="6" t="n">
        <v>0</v>
      </c>
      <c r="M1635" s="10" t="n"/>
      <c r="N1635" s="6" t="n">
        <v>26</v>
      </c>
      <c r="O1635" s="6" t="n">
        <v>1560</v>
      </c>
      <c r="P1635" s="6" t="n">
        <v>1</v>
      </c>
      <c r="Q1635" s="6">
        <f>IF(OR(K1635="On time",K1635="Late",K1635="Very late"),1,0)</f>
        <v/>
      </c>
    </row>
    <row r="1636">
      <c r="A1636" s="10" t="inlineStr">
        <is>
          <t>DN319878</t>
        </is>
      </c>
      <c r="B1636" s="10" t="inlineStr">
        <is>
          <t>SO63895</t>
        </is>
      </c>
      <c r="C1636" s="10" t="inlineStr">
        <is>
          <t>C11247</t>
        </is>
      </c>
      <c r="D1636" s="10">
        <f>INDEX(Customers!$B:$B,MATCH(C1636,Customers!$A:$A,0))</f>
        <v/>
      </c>
      <c r="E1636" s="10">
        <f>INDEX(Customers!$D:$D,MATCH(C1636,Customers!$A:$A,0))</f>
        <v/>
      </c>
      <c r="F1636" s="10" t="inlineStr">
        <is>
          <t>Own trucks</t>
        </is>
      </c>
      <c r="G1636" s="5" t="n">
        <v>46290</v>
      </c>
      <c r="H1636" s="5" t="n">
        <v>46293</v>
      </c>
      <c r="I1636" s="5" t="n">
        <v>46293</v>
      </c>
      <c r="J1636" s="10" t="inlineStr">
        <is>
          <t>10:20</t>
        </is>
      </c>
      <c r="K1636" s="10" t="inlineStr">
        <is>
          <t>On time</t>
        </is>
      </c>
      <c r="L1636" s="6" t="n">
        <v>0</v>
      </c>
      <c r="M1636" s="10" t="n"/>
      <c r="N1636" s="6" t="n">
        <v>18</v>
      </c>
      <c r="O1636" s="6" t="n">
        <v>1872</v>
      </c>
      <c r="P1636" s="6" t="n">
        <v>1</v>
      </c>
      <c r="Q1636" s="6">
        <f>IF(OR(K1636="On time",K1636="Late",K1636="Very late"),1,0)</f>
        <v/>
      </c>
    </row>
    <row r="1637">
      <c r="A1637" s="10" t="inlineStr">
        <is>
          <t>DN319879</t>
        </is>
      </c>
      <c r="B1637" s="10" t="inlineStr">
        <is>
          <t>SO63897</t>
        </is>
      </c>
      <c r="C1637" s="10" t="inlineStr">
        <is>
          <t>C11264</t>
        </is>
      </c>
      <c r="D1637" s="10">
        <f>INDEX(Customers!$B:$B,MATCH(C1637,Customers!$A:$A,0))</f>
        <v/>
      </c>
      <c r="E1637" s="10">
        <f>INDEX(Customers!$D:$D,MATCH(C1637,Customers!$A:$A,0))</f>
        <v/>
      </c>
      <c r="F1637" s="10" t="inlineStr">
        <is>
          <t>Own trucks</t>
        </is>
      </c>
      <c r="G1637" s="5" t="n">
        <v>46290</v>
      </c>
      <c r="H1637" s="5" t="n">
        <v>46293</v>
      </c>
      <c r="I1637" s="5" t="n">
        <v>46293</v>
      </c>
      <c r="J1637" s="10" t="inlineStr">
        <is>
          <t>10:20</t>
        </is>
      </c>
      <c r="K1637" s="10" t="inlineStr">
        <is>
          <t>On time</t>
        </is>
      </c>
      <c r="L1637" s="6" t="n">
        <v>0</v>
      </c>
      <c r="M1637" s="10" t="n"/>
      <c r="N1637" s="6" t="n">
        <v>5</v>
      </c>
      <c r="O1637" s="6" t="n">
        <v>580</v>
      </c>
      <c r="P1637" s="6" t="n">
        <v>1</v>
      </c>
      <c r="Q1637" s="6">
        <f>IF(OR(K1637="On time",K1637="Late",K1637="Very late"),1,0)</f>
        <v/>
      </c>
    </row>
    <row r="1638">
      <c r="A1638" s="10" t="inlineStr">
        <is>
          <t>DN319880</t>
        </is>
      </c>
      <c r="B1638" s="10" t="inlineStr">
        <is>
          <t>SO63898</t>
        </is>
      </c>
      <c r="C1638" s="10" t="inlineStr">
        <is>
          <t>C11314</t>
        </is>
      </c>
      <c r="D1638" s="10">
        <f>INDEX(Customers!$B:$B,MATCH(C1638,Customers!$A:$A,0))</f>
        <v/>
      </c>
      <c r="E1638" s="10">
        <f>INDEX(Customers!$D:$D,MATCH(C1638,Customers!$A:$A,0))</f>
        <v/>
      </c>
      <c r="F1638" s="10" t="inlineStr">
        <is>
          <t>Own trucks</t>
        </is>
      </c>
      <c r="G1638" s="5" t="n">
        <v>46290</v>
      </c>
      <c r="H1638" s="5" t="n">
        <v>46293</v>
      </c>
      <c r="I1638" s="5" t="n">
        <v>46293</v>
      </c>
      <c r="J1638" s="10" t="inlineStr">
        <is>
          <t>08:50</t>
        </is>
      </c>
      <c r="K1638" s="10" t="inlineStr">
        <is>
          <t>On time</t>
        </is>
      </c>
      <c r="L1638" s="6" t="n">
        <v>0</v>
      </c>
      <c r="M1638" s="10" t="n"/>
      <c r="N1638" s="6" t="n">
        <v>16</v>
      </c>
      <c r="O1638" s="6" t="n">
        <v>1344</v>
      </c>
      <c r="P1638" s="6" t="n">
        <v>1</v>
      </c>
      <c r="Q1638" s="6">
        <f>IF(OR(K1638="On time",K1638="Late",K1638="Very late"),1,0)</f>
        <v/>
      </c>
    </row>
    <row r="1639">
      <c r="A1639" s="10" t="inlineStr">
        <is>
          <t>DN319881</t>
        </is>
      </c>
      <c r="B1639" s="10" t="inlineStr">
        <is>
          <t>SO63899</t>
        </is>
      </c>
      <c r="C1639" s="10" t="inlineStr">
        <is>
          <t>C11333</t>
        </is>
      </c>
      <c r="D1639" s="10">
        <f>INDEX(Customers!$B:$B,MATCH(C1639,Customers!$A:$A,0))</f>
        <v/>
      </c>
      <c r="E1639" s="10">
        <f>INDEX(Customers!$D:$D,MATCH(C1639,Customers!$A:$A,0))</f>
        <v/>
      </c>
      <c r="F1639" s="10" t="inlineStr">
        <is>
          <t>Own trucks</t>
        </is>
      </c>
      <c r="G1639" s="5" t="n">
        <v>46290</v>
      </c>
      <c r="H1639" s="5" t="n">
        <v>46293</v>
      </c>
      <c r="I1639" s="5" t="n">
        <v>46293</v>
      </c>
      <c r="J1639" s="10" t="inlineStr">
        <is>
          <t>16:00</t>
        </is>
      </c>
      <c r="K1639" s="10" t="inlineStr">
        <is>
          <t>On time</t>
        </is>
      </c>
      <c r="L1639" s="6" t="n">
        <v>0</v>
      </c>
      <c r="M1639" s="10" t="n"/>
      <c r="N1639" s="6" t="n">
        <v>13</v>
      </c>
      <c r="O1639" s="6" t="n">
        <v>871</v>
      </c>
      <c r="P1639" s="6" t="n">
        <v>1</v>
      </c>
      <c r="Q1639" s="6">
        <f>IF(OR(K1639="On time",K1639="Late",K1639="Very late"),1,0)</f>
        <v/>
      </c>
    </row>
    <row r="1640">
      <c r="A1640" s="10" t="inlineStr">
        <is>
          <t>DN319882</t>
        </is>
      </c>
      <c r="B1640" s="10" t="inlineStr">
        <is>
          <t>SO63900</t>
        </is>
      </c>
      <c r="C1640" s="10" t="inlineStr">
        <is>
          <t>C11400</t>
        </is>
      </c>
      <c r="D1640" s="10">
        <f>INDEX(Customers!$B:$B,MATCH(C1640,Customers!$A:$A,0))</f>
        <v/>
      </c>
      <c r="E1640" s="10">
        <f>INDEX(Customers!$D:$D,MATCH(C1640,Customers!$A:$A,0))</f>
        <v/>
      </c>
      <c r="F1640" s="10" t="inlineStr">
        <is>
          <t>Own trucks</t>
        </is>
      </c>
      <c r="G1640" s="5" t="n">
        <v>46290</v>
      </c>
      <c r="H1640" s="5" t="n">
        <v>46293</v>
      </c>
      <c r="I1640" s="5" t="n">
        <v>46293</v>
      </c>
      <c r="J1640" s="10" t="inlineStr">
        <is>
          <t>12:10</t>
        </is>
      </c>
      <c r="K1640" s="10" t="inlineStr">
        <is>
          <t>On time</t>
        </is>
      </c>
      <c r="L1640" s="6" t="n">
        <v>0</v>
      </c>
      <c r="M1640" s="10" t="n"/>
      <c r="N1640" s="6" t="n">
        <v>33</v>
      </c>
      <c r="O1640" s="6" t="n">
        <v>3993</v>
      </c>
      <c r="P1640" s="6" t="n">
        <v>1</v>
      </c>
      <c r="Q1640" s="6">
        <f>IF(OR(K1640="On time",K1640="Late",K1640="Very late"),1,0)</f>
        <v/>
      </c>
    </row>
    <row r="1641">
      <c r="A1641" s="10" t="inlineStr">
        <is>
          <t>DN319884</t>
        </is>
      </c>
      <c r="B1641" s="10" t="inlineStr">
        <is>
          <t>SO63901</t>
        </is>
      </c>
      <c r="C1641" s="10" t="inlineStr">
        <is>
          <t>C11463</t>
        </is>
      </c>
      <c r="D1641" s="10">
        <f>INDEX(Customers!$B:$B,MATCH(C1641,Customers!$A:$A,0))</f>
        <v/>
      </c>
      <c r="E1641" s="10">
        <f>INDEX(Customers!$D:$D,MATCH(C1641,Customers!$A:$A,0))</f>
        <v/>
      </c>
      <c r="F1641" s="10" t="inlineStr">
        <is>
          <t>Own trucks</t>
        </is>
      </c>
      <c r="G1641" s="5" t="n">
        <v>46290</v>
      </c>
      <c r="H1641" s="5" t="n">
        <v>46293</v>
      </c>
      <c r="I1641" s="5" t="n">
        <v>46293</v>
      </c>
      <c r="J1641" s="10" t="inlineStr">
        <is>
          <t>07:30</t>
        </is>
      </c>
      <c r="K1641" s="10" t="inlineStr">
        <is>
          <t>On time</t>
        </is>
      </c>
      <c r="L1641" s="6" t="n">
        <v>0</v>
      </c>
      <c r="M1641" s="10" t="n"/>
      <c r="N1641" s="6" t="n">
        <v>7</v>
      </c>
      <c r="O1641" s="6" t="n">
        <v>959</v>
      </c>
      <c r="P1641" s="6" t="n">
        <v>1</v>
      </c>
      <c r="Q1641" s="6">
        <f>IF(OR(K1641="On time",K1641="Late",K1641="Very late"),1,0)</f>
        <v/>
      </c>
    </row>
    <row r="1642">
      <c r="A1642" s="10" t="inlineStr">
        <is>
          <t>DN319885</t>
        </is>
      </c>
      <c r="B1642" s="10" t="inlineStr">
        <is>
          <t>SO63902</t>
        </is>
      </c>
      <c r="C1642" s="10" t="inlineStr">
        <is>
          <t>C11518</t>
        </is>
      </c>
      <c r="D1642" s="10">
        <f>INDEX(Customers!$B:$B,MATCH(C1642,Customers!$A:$A,0))</f>
        <v/>
      </c>
      <c r="E1642" s="10">
        <f>INDEX(Customers!$D:$D,MATCH(C1642,Customers!$A:$A,0))</f>
        <v/>
      </c>
      <c r="F1642" s="10" t="inlineStr">
        <is>
          <t>Own trucks</t>
        </is>
      </c>
      <c r="G1642" s="5" t="n">
        <v>46290</v>
      </c>
      <c r="H1642" s="5" t="n">
        <v>46293</v>
      </c>
      <c r="I1642" s="5" t="n">
        <v>46293</v>
      </c>
      <c r="J1642" s="10" t="inlineStr">
        <is>
          <t>08:20</t>
        </is>
      </c>
      <c r="K1642" s="10" t="inlineStr">
        <is>
          <t>On time</t>
        </is>
      </c>
      <c r="L1642" s="6" t="n">
        <v>0</v>
      </c>
      <c r="M1642" s="10" t="n"/>
      <c r="N1642" s="6" t="n">
        <v>12</v>
      </c>
      <c r="O1642" s="6" t="n">
        <v>768</v>
      </c>
      <c r="P1642" s="6" t="n">
        <v>1</v>
      </c>
      <c r="Q1642" s="6">
        <f>IF(OR(K1642="On time",K1642="Late",K1642="Very late"),1,0)</f>
        <v/>
      </c>
    </row>
    <row r="1643">
      <c r="A1643" s="10" t="inlineStr">
        <is>
          <t>DN319887</t>
        </is>
      </c>
      <c r="B1643" s="10" t="inlineStr">
        <is>
          <t>SO63903</t>
        </is>
      </c>
      <c r="C1643" s="10" t="inlineStr">
        <is>
          <t>C11579</t>
        </is>
      </c>
      <c r="D1643" s="10">
        <f>INDEX(Customers!$B:$B,MATCH(C1643,Customers!$A:$A,0))</f>
        <v/>
      </c>
      <c r="E1643" s="10">
        <f>INDEX(Customers!$D:$D,MATCH(C1643,Customers!$A:$A,0))</f>
        <v/>
      </c>
      <c r="F1643" s="10" t="inlineStr">
        <is>
          <t>Own trucks</t>
        </is>
      </c>
      <c r="G1643" s="5" t="n">
        <v>46290</v>
      </c>
      <c r="H1643" s="5" t="n">
        <v>46293</v>
      </c>
      <c r="I1643" s="5" t="n">
        <v>46294</v>
      </c>
      <c r="J1643" s="10" t="inlineStr">
        <is>
          <t>16:00</t>
        </is>
      </c>
      <c r="K1643" s="10" t="inlineStr">
        <is>
          <t>Late</t>
        </is>
      </c>
      <c r="L1643" s="6" t="n">
        <v>1</v>
      </c>
      <c r="M1643" s="10" t="inlineStr">
        <is>
          <t>Run overloaded</t>
        </is>
      </c>
      <c r="N1643" s="6" t="n">
        <v>24</v>
      </c>
      <c r="O1643" s="6" t="n">
        <v>2640</v>
      </c>
      <c r="P1643" s="6" t="n">
        <v>1</v>
      </c>
      <c r="Q1643" s="6">
        <f>IF(OR(K1643="On time",K1643="Late",K1643="Very late"),1,0)</f>
        <v/>
      </c>
    </row>
    <row r="1644">
      <c r="A1644" s="10" t="inlineStr">
        <is>
          <t>DN319888</t>
        </is>
      </c>
      <c r="B1644" s="10" t="inlineStr">
        <is>
          <t>SO63904</t>
        </is>
      </c>
      <c r="C1644" s="10" t="inlineStr">
        <is>
          <t>C11666</t>
        </is>
      </c>
      <c r="D1644" s="10">
        <f>INDEX(Customers!$B:$B,MATCH(C1644,Customers!$A:$A,0))</f>
        <v/>
      </c>
      <c r="E1644" s="10">
        <f>INDEX(Customers!$D:$D,MATCH(C1644,Customers!$A:$A,0))</f>
        <v/>
      </c>
      <c r="F1644" s="10" t="inlineStr">
        <is>
          <t>Own trucks</t>
        </is>
      </c>
      <c r="G1644" s="5" t="n">
        <v>46290</v>
      </c>
      <c r="H1644" s="5" t="n">
        <v>46293</v>
      </c>
      <c r="I1644" s="5" t="n">
        <v>46293</v>
      </c>
      <c r="J1644" s="10" t="inlineStr">
        <is>
          <t>07:20</t>
        </is>
      </c>
      <c r="K1644" s="10" t="inlineStr">
        <is>
          <t>On time</t>
        </is>
      </c>
      <c r="L1644" s="6" t="n">
        <v>0</v>
      </c>
      <c r="M1644" s="10" t="n"/>
      <c r="N1644" s="6" t="n">
        <v>19</v>
      </c>
      <c r="O1644" s="6" t="n">
        <v>1786</v>
      </c>
      <c r="P1644" s="6" t="n">
        <v>0</v>
      </c>
      <c r="Q1644" s="6">
        <f>IF(OR(K1644="On time",K1644="Late",K1644="Very late"),1,0)</f>
        <v/>
      </c>
    </row>
    <row r="1645">
      <c r="A1645" s="10" t="inlineStr">
        <is>
          <t>DN319889</t>
        </is>
      </c>
      <c r="B1645" s="10" t="inlineStr">
        <is>
          <t>SO63905</t>
        </is>
      </c>
      <c r="C1645" s="10" t="inlineStr">
        <is>
          <t>C11745</t>
        </is>
      </c>
      <c r="D1645" s="10">
        <f>INDEX(Customers!$B:$B,MATCH(C1645,Customers!$A:$A,0))</f>
        <v/>
      </c>
      <c r="E1645" s="10">
        <f>INDEX(Customers!$D:$D,MATCH(C1645,Customers!$A:$A,0))</f>
        <v/>
      </c>
      <c r="F1645" s="10" t="inlineStr">
        <is>
          <t>Own trucks</t>
        </is>
      </c>
      <c r="G1645" s="5" t="n">
        <v>46290</v>
      </c>
      <c r="H1645" s="5" t="n">
        <v>46293</v>
      </c>
      <c r="I1645" s="5" t="n">
        <v>46293</v>
      </c>
      <c r="J1645" s="10" t="inlineStr">
        <is>
          <t>11:50</t>
        </is>
      </c>
      <c r="K1645" s="10" t="inlineStr">
        <is>
          <t>On time</t>
        </is>
      </c>
      <c r="L1645" s="6" t="n">
        <v>0</v>
      </c>
      <c r="M1645" s="10" t="n"/>
      <c r="N1645" s="6" t="n">
        <v>34</v>
      </c>
      <c r="O1645" s="6" t="n">
        <v>3060</v>
      </c>
      <c r="P1645" s="6" t="n">
        <v>1</v>
      </c>
      <c r="Q1645" s="6">
        <f>IF(OR(K1645="On time",K1645="Late",K1645="Very late"),1,0)</f>
        <v/>
      </c>
    </row>
    <row r="1646">
      <c r="A1646" s="10" t="inlineStr">
        <is>
          <t>DN319891</t>
        </is>
      </c>
      <c r="B1646" s="10" t="inlineStr">
        <is>
          <t>SO63906</t>
        </is>
      </c>
      <c r="C1646" s="10" t="inlineStr">
        <is>
          <t>C11790</t>
        </is>
      </c>
      <c r="D1646" s="10">
        <f>INDEX(Customers!$B:$B,MATCH(C1646,Customers!$A:$A,0))</f>
        <v/>
      </c>
      <c r="E1646" s="10">
        <f>INDEX(Customers!$D:$D,MATCH(C1646,Customers!$A:$A,0))</f>
        <v/>
      </c>
      <c r="F1646" s="10" t="inlineStr">
        <is>
          <t>Carrier A</t>
        </is>
      </c>
      <c r="G1646" s="5" t="n">
        <v>46290</v>
      </c>
      <c r="H1646" s="5" t="n">
        <v>46293</v>
      </c>
      <c r="I1646" s="5" t="n">
        <v>46293</v>
      </c>
      <c r="J1646" s="10" t="inlineStr">
        <is>
          <t>08:30</t>
        </is>
      </c>
      <c r="K1646" s="10" t="inlineStr">
        <is>
          <t>On time</t>
        </is>
      </c>
      <c r="L1646" s="6" t="n">
        <v>0</v>
      </c>
      <c r="M1646" s="10" t="n"/>
      <c r="N1646" s="6" t="n">
        <v>22</v>
      </c>
      <c r="O1646" s="6" t="n">
        <v>2486</v>
      </c>
      <c r="P1646" s="6" t="n">
        <v>1</v>
      </c>
      <c r="Q1646" s="6">
        <f>IF(OR(K1646="On time",K1646="Late",K1646="Very late"),1,0)</f>
        <v/>
      </c>
    </row>
    <row r="1647">
      <c r="A1647" s="10" t="inlineStr">
        <is>
          <t>DN319892</t>
        </is>
      </c>
      <c r="B1647" s="10" t="inlineStr">
        <is>
          <t>SO63908</t>
        </is>
      </c>
      <c r="C1647" s="10" t="inlineStr">
        <is>
          <t>C11798</t>
        </is>
      </c>
      <c r="D1647" s="10">
        <f>INDEX(Customers!$B:$B,MATCH(C1647,Customers!$A:$A,0))</f>
        <v/>
      </c>
      <c r="E1647" s="10">
        <f>INDEX(Customers!$D:$D,MATCH(C1647,Customers!$A:$A,0))</f>
        <v/>
      </c>
      <c r="F1647" s="10" t="inlineStr">
        <is>
          <t>Carrier A</t>
        </is>
      </c>
      <c r="G1647" s="5" t="n">
        <v>46290</v>
      </c>
      <c r="H1647" s="5" t="n">
        <v>46293</v>
      </c>
      <c r="I1647" s="5" t="n">
        <v>46293</v>
      </c>
      <c r="J1647" s="10" t="inlineStr">
        <is>
          <t>16:30</t>
        </is>
      </c>
      <c r="K1647" s="10" t="inlineStr">
        <is>
          <t>On time</t>
        </is>
      </c>
      <c r="L1647" s="6" t="n">
        <v>0</v>
      </c>
      <c r="M1647" s="10" t="n"/>
      <c r="N1647" s="6" t="n">
        <v>22</v>
      </c>
      <c r="O1647" s="6" t="n">
        <v>2728</v>
      </c>
      <c r="P1647" s="6" t="n">
        <v>1</v>
      </c>
      <c r="Q1647" s="6">
        <f>IF(OR(K1647="On time",K1647="Late",K1647="Very late"),1,0)</f>
        <v/>
      </c>
    </row>
    <row r="1648">
      <c r="A1648" s="10" t="inlineStr">
        <is>
          <t>DN319893</t>
        </is>
      </c>
      <c r="B1648" s="10" t="inlineStr">
        <is>
          <t>SO63910</t>
        </is>
      </c>
      <c r="C1648" s="10" t="inlineStr">
        <is>
          <t>C11858</t>
        </is>
      </c>
      <c r="D1648" s="10">
        <f>INDEX(Customers!$B:$B,MATCH(C1648,Customers!$A:$A,0))</f>
        <v/>
      </c>
      <c r="E1648" s="10">
        <f>INDEX(Customers!$D:$D,MATCH(C1648,Customers!$A:$A,0))</f>
        <v/>
      </c>
      <c r="F1648" s="10" t="inlineStr">
        <is>
          <t>Carrier A</t>
        </is>
      </c>
      <c r="G1648" s="5" t="n">
        <v>46290</v>
      </c>
      <c r="H1648" s="5" t="n">
        <v>46293</v>
      </c>
      <c r="I1648" s="5" t="n">
        <v>46293</v>
      </c>
      <c r="J1648" s="10" t="inlineStr">
        <is>
          <t>07:00</t>
        </is>
      </c>
      <c r="K1648" s="10" t="inlineStr">
        <is>
          <t>On time</t>
        </is>
      </c>
      <c r="L1648" s="6" t="n">
        <v>0</v>
      </c>
      <c r="M1648" s="10" t="n"/>
      <c r="N1648" s="6" t="n">
        <v>19</v>
      </c>
      <c r="O1648" s="6" t="n">
        <v>1900</v>
      </c>
      <c r="P1648" s="6" t="n">
        <v>1</v>
      </c>
      <c r="Q1648" s="6">
        <f>IF(OR(K1648="On time",K1648="Late",K1648="Very late"),1,0)</f>
        <v/>
      </c>
    </row>
    <row r="1649">
      <c r="A1649" s="10" t="inlineStr">
        <is>
          <t>DN319894</t>
        </is>
      </c>
      <c r="B1649" s="10" t="inlineStr">
        <is>
          <t>SO63911</t>
        </is>
      </c>
      <c r="C1649" s="10" t="inlineStr">
        <is>
          <t>C11950</t>
        </is>
      </c>
      <c r="D1649" s="10">
        <f>INDEX(Customers!$B:$B,MATCH(C1649,Customers!$A:$A,0))</f>
        <v/>
      </c>
      <c r="E1649" s="10">
        <f>INDEX(Customers!$D:$D,MATCH(C1649,Customers!$A:$A,0))</f>
        <v/>
      </c>
      <c r="F1649" s="10" t="inlineStr">
        <is>
          <t>Carrier A</t>
        </is>
      </c>
      <c r="G1649" s="5" t="n">
        <v>46290</v>
      </c>
      <c r="H1649" s="5" t="n">
        <v>46293</v>
      </c>
      <c r="I1649" s="5" t="n">
        <v>46293</v>
      </c>
      <c r="J1649" s="10" t="inlineStr">
        <is>
          <t>14:00</t>
        </is>
      </c>
      <c r="K1649" s="10" t="inlineStr">
        <is>
          <t>On time</t>
        </is>
      </c>
      <c r="L1649" s="6" t="n">
        <v>0</v>
      </c>
      <c r="M1649" s="10" t="n"/>
      <c r="N1649" s="6" t="n">
        <v>38</v>
      </c>
      <c r="O1649" s="6" t="n">
        <v>5282</v>
      </c>
      <c r="P1649" s="6" t="n">
        <v>1</v>
      </c>
      <c r="Q1649" s="6">
        <f>IF(OR(K1649="On time",K1649="Late",K1649="Very late"),1,0)</f>
        <v/>
      </c>
    </row>
    <row r="1650">
      <c r="A1650" s="10" t="inlineStr">
        <is>
          <t>DN319895</t>
        </is>
      </c>
      <c r="B1650" s="10" t="inlineStr">
        <is>
          <t>SO63912</t>
        </is>
      </c>
      <c r="C1650" s="10" t="inlineStr">
        <is>
          <t>C11971</t>
        </is>
      </c>
      <c r="D1650" s="10">
        <f>INDEX(Customers!$B:$B,MATCH(C1650,Customers!$A:$A,0))</f>
        <v/>
      </c>
      <c r="E1650" s="10">
        <f>INDEX(Customers!$D:$D,MATCH(C1650,Customers!$A:$A,0))</f>
        <v/>
      </c>
      <c r="F1650" s="10" t="inlineStr">
        <is>
          <t>Own trucks</t>
        </is>
      </c>
      <c r="G1650" s="5" t="n">
        <v>46290</v>
      </c>
      <c r="H1650" s="5" t="n">
        <v>46293</v>
      </c>
      <c r="I1650" s="5" t="n">
        <v>46293</v>
      </c>
      <c r="J1650" s="10" t="inlineStr">
        <is>
          <t>10:40</t>
        </is>
      </c>
      <c r="K1650" s="10" t="inlineStr">
        <is>
          <t>On time</t>
        </is>
      </c>
      <c r="L1650" s="6" t="n">
        <v>0</v>
      </c>
      <c r="M1650" s="10" t="n"/>
      <c r="N1650" s="6" t="n">
        <v>32</v>
      </c>
      <c r="O1650" s="6" t="n">
        <v>3840</v>
      </c>
      <c r="P1650" s="6" t="n">
        <v>1</v>
      </c>
      <c r="Q1650" s="6">
        <f>IF(OR(K1650="On time",K1650="Late",K1650="Very late"),1,0)</f>
        <v/>
      </c>
    </row>
    <row r="1651">
      <c r="A1651" s="10" t="inlineStr">
        <is>
          <t>DN319896</t>
        </is>
      </c>
      <c r="B1651" s="10" t="inlineStr">
        <is>
          <t>SO63913</t>
        </is>
      </c>
      <c r="C1651" s="10" t="inlineStr">
        <is>
          <t>C12037</t>
        </is>
      </c>
      <c r="D1651" s="10">
        <f>INDEX(Customers!$B:$B,MATCH(C1651,Customers!$A:$A,0))</f>
        <v/>
      </c>
      <c r="E1651" s="10">
        <f>INDEX(Customers!$D:$D,MATCH(C1651,Customers!$A:$A,0))</f>
        <v/>
      </c>
      <c r="F1651" s="10" t="inlineStr">
        <is>
          <t>Own trucks</t>
        </is>
      </c>
      <c r="G1651" s="5" t="n">
        <v>46290</v>
      </c>
      <c r="H1651" s="5" t="n">
        <v>46293</v>
      </c>
      <c r="I1651" s="5" t="n">
        <v>46293</v>
      </c>
      <c r="J1651" s="10" t="inlineStr">
        <is>
          <t>16:40</t>
        </is>
      </c>
      <c r="K1651" s="10" t="inlineStr">
        <is>
          <t>On time</t>
        </is>
      </c>
      <c r="L1651" s="6" t="n">
        <v>0</v>
      </c>
      <c r="M1651" s="10" t="n"/>
      <c r="N1651" s="6" t="n">
        <v>25</v>
      </c>
      <c r="O1651" s="6" t="n">
        <v>1875</v>
      </c>
      <c r="P1651" s="6" t="n">
        <v>1</v>
      </c>
      <c r="Q1651" s="6">
        <f>IF(OR(K1651="On time",K1651="Late",K1651="Very late"),1,0)</f>
        <v/>
      </c>
    </row>
    <row r="1652">
      <c r="A1652" s="10" t="inlineStr">
        <is>
          <t>DN319897</t>
        </is>
      </c>
      <c r="B1652" s="10" t="inlineStr">
        <is>
          <t>SO63915</t>
        </is>
      </c>
      <c r="C1652" s="10" t="inlineStr">
        <is>
          <t>C12103</t>
        </is>
      </c>
      <c r="D1652" s="10">
        <f>INDEX(Customers!$B:$B,MATCH(C1652,Customers!$A:$A,0))</f>
        <v/>
      </c>
      <c r="E1652" s="10">
        <f>INDEX(Customers!$D:$D,MATCH(C1652,Customers!$A:$A,0))</f>
        <v/>
      </c>
      <c r="F1652" s="10" t="inlineStr">
        <is>
          <t>Own trucks</t>
        </is>
      </c>
      <c r="G1652" s="5" t="n">
        <v>46290</v>
      </c>
      <c r="H1652" s="5" t="n">
        <v>46293</v>
      </c>
      <c r="I1652" s="5" t="n">
        <v>46293</v>
      </c>
      <c r="J1652" s="10" t="inlineStr">
        <is>
          <t>15:20</t>
        </is>
      </c>
      <c r="K1652" s="10" t="inlineStr">
        <is>
          <t>On time</t>
        </is>
      </c>
      <c r="L1652" s="6" t="n">
        <v>0</v>
      </c>
      <c r="M1652" s="10" t="n"/>
      <c r="N1652" s="6" t="n">
        <v>7</v>
      </c>
      <c r="O1652" s="6" t="n">
        <v>693</v>
      </c>
      <c r="P1652" s="6" t="n">
        <v>1</v>
      </c>
      <c r="Q1652" s="6">
        <f>IF(OR(K1652="On time",K1652="Late",K1652="Very late"),1,0)</f>
        <v/>
      </c>
    </row>
    <row r="1653">
      <c r="A1653" s="10" t="inlineStr">
        <is>
          <t>DN319898</t>
        </is>
      </c>
      <c r="B1653" s="10" t="inlineStr">
        <is>
          <t>SO63916</t>
        </is>
      </c>
      <c r="C1653" s="10" t="inlineStr">
        <is>
          <t>C12117</t>
        </is>
      </c>
      <c r="D1653" s="10">
        <f>INDEX(Customers!$B:$B,MATCH(C1653,Customers!$A:$A,0))</f>
        <v/>
      </c>
      <c r="E1653" s="10">
        <f>INDEX(Customers!$D:$D,MATCH(C1653,Customers!$A:$A,0))</f>
        <v/>
      </c>
      <c r="F1653" s="10" t="inlineStr">
        <is>
          <t>Own trucks</t>
        </is>
      </c>
      <c r="G1653" s="5" t="n">
        <v>46290</v>
      </c>
      <c r="H1653" s="5" t="n">
        <v>46293</v>
      </c>
      <c r="I1653" s="5" t="n">
        <v>46293</v>
      </c>
      <c r="J1653" s="10" t="inlineStr">
        <is>
          <t>09:40</t>
        </is>
      </c>
      <c r="K1653" s="10" t="inlineStr">
        <is>
          <t>On time</t>
        </is>
      </c>
      <c r="L1653" s="6" t="n">
        <v>0</v>
      </c>
      <c r="M1653" s="10" t="n"/>
      <c r="N1653" s="6" t="n">
        <v>40</v>
      </c>
      <c r="O1653" s="6" t="n">
        <v>2280</v>
      </c>
      <c r="P1653" s="6" t="n">
        <v>1</v>
      </c>
      <c r="Q1653" s="6">
        <f>IF(OR(K1653="On time",K1653="Late",K1653="Very late"),1,0)</f>
        <v/>
      </c>
    </row>
    <row r="1654">
      <c r="A1654" s="10" t="inlineStr">
        <is>
          <t>DN319899</t>
        </is>
      </c>
      <c r="B1654" s="10" t="inlineStr">
        <is>
          <t>SO63917</t>
        </is>
      </c>
      <c r="C1654" s="10" t="inlineStr">
        <is>
          <t>C12239</t>
        </is>
      </c>
      <c r="D1654" s="10">
        <f>INDEX(Customers!$B:$B,MATCH(C1654,Customers!$A:$A,0))</f>
        <v/>
      </c>
      <c r="E1654" s="10">
        <f>INDEX(Customers!$D:$D,MATCH(C1654,Customers!$A:$A,0))</f>
        <v/>
      </c>
      <c r="F1654" s="10" t="inlineStr">
        <is>
          <t>Carrier B</t>
        </is>
      </c>
      <c r="G1654" s="5" t="n">
        <v>46290</v>
      </c>
      <c r="H1654" s="5" t="n">
        <v>46293</v>
      </c>
      <c r="I1654" s="5" t="n">
        <v>46293</v>
      </c>
      <c r="J1654" s="10" t="inlineStr">
        <is>
          <t>07:10</t>
        </is>
      </c>
      <c r="K1654" s="10" t="inlineStr">
        <is>
          <t>On time</t>
        </is>
      </c>
      <c r="L1654" s="6" t="n">
        <v>0</v>
      </c>
      <c r="M1654" s="10" t="n"/>
      <c r="N1654" s="6" t="n">
        <v>4</v>
      </c>
      <c r="O1654" s="6" t="n">
        <v>460</v>
      </c>
      <c r="P1654" s="6" t="n">
        <v>1</v>
      </c>
      <c r="Q1654" s="6">
        <f>IF(OR(K1654="On time",K1654="Late",K1654="Very late"),1,0)</f>
        <v/>
      </c>
    </row>
    <row r="1655">
      <c r="A1655" s="10" t="inlineStr">
        <is>
          <t>DN319900</t>
        </is>
      </c>
      <c r="B1655" s="10" t="inlineStr">
        <is>
          <t>SO63918</t>
        </is>
      </c>
      <c r="C1655" s="10" t="inlineStr">
        <is>
          <t>C12305</t>
        </is>
      </c>
      <c r="D1655" s="10">
        <f>INDEX(Customers!$B:$B,MATCH(C1655,Customers!$A:$A,0))</f>
        <v/>
      </c>
      <c r="E1655" s="10">
        <f>INDEX(Customers!$D:$D,MATCH(C1655,Customers!$A:$A,0))</f>
        <v/>
      </c>
      <c r="F1655" s="10" t="inlineStr">
        <is>
          <t>Carrier B</t>
        </is>
      </c>
      <c r="G1655" s="5" t="n">
        <v>46290</v>
      </c>
      <c r="H1655" s="5" t="n">
        <v>46293</v>
      </c>
      <c r="I1655" s="5" t="n">
        <v>46293</v>
      </c>
      <c r="J1655" s="10" t="inlineStr">
        <is>
          <t>12:10</t>
        </is>
      </c>
      <c r="K1655" s="10" t="inlineStr">
        <is>
          <t>On time</t>
        </is>
      </c>
      <c r="L1655" s="6" t="n">
        <v>0</v>
      </c>
      <c r="M1655" s="10" t="n"/>
      <c r="N1655" s="6" t="n">
        <v>6</v>
      </c>
      <c r="O1655" s="6" t="n">
        <v>822</v>
      </c>
      <c r="P1655" s="6" t="n">
        <v>0</v>
      </c>
      <c r="Q1655" s="6">
        <f>IF(OR(K1655="On time",K1655="Late",K1655="Very late"),1,0)</f>
        <v/>
      </c>
    </row>
    <row r="1656">
      <c r="A1656" s="10" t="inlineStr">
        <is>
          <t>DN319902</t>
        </is>
      </c>
      <c r="B1656" s="10" t="inlineStr">
        <is>
          <t>SO63919</t>
        </is>
      </c>
      <c r="C1656" s="10" t="inlineStr">
        <is>
          <t>C12371</t>
        </is>
      </c>
      <c r="D1656" s="10">
        <f>INDEX(Customers!$B:$B,MATCH(C1656,Customers!$A:$A,0))</f>
        <v/>
      </c>
      <c r="E1656" s="10">
        <f>INDEX(Customers!$D:$D,MATCH(C1656,Customers!$A:$A,0))</f>
        <v/>
      </c>
      <c r="F1656" s="10" t="inlineStr">
        <is>
          <t>Carrier A</t>
        </is>
      </c>
      <c r="G1656" s="5" t="n">
        <v>46290</v>
      </c>
      <c r="H1656" s="5" t="n">
        <v>46293</v>
      </c>
      <c r="I1656" s="5" t="n">
        <v>46294</v>
      </c>
      <c r="J1656" s="10" t="inlineStr">
        <is>
          <t>08:10</t>
        </is>
      </c>
      <c r="K1656" s="10" t="inlineStr">
        <is>
          <t>Late</t>
        </is>
      </c>
      <c r="L1656" s="6" t="n">
        <v>1</v>
      </c>
      <c r="M1656" s="10" t="inlineStr">
        <is>
          <t>Carrier delay</t>
        </is>
      </c>
      <c r="N1656" s="6" t="n">
        <v>23</v>
      </c>
      <c r="O1656" s="6" t="n">
        <v>1863</v>
      </c>
      <c r="P1656" s="6" t="n">
        <v>1</v>
      </c>
      <c r="Q1656" s="6">
        <f>IF(OR(K1656="On time",K1656="Late",K1656="Very late"),1,0)</f>
        <v/>
      </c>
    </row>
    <row r="1657">
      <c r="A1657" s="10" t="inlineStr">
        <is>
          <t>DN319903</t>
        </is>
      </c>
      <c r="B1657" s="10" t="inlineStr">
        <is>
          <t>SO63920</t>
        </is>
      </c>
      <c r="C1657" s="10" t="inlineStr">
        <is>
          <t>C12420</t>
        </is>
      </c>
      <c r="D1657" s="10">
        <f>INDEX(Customers!$B:$B,MATCH(C1657,Customers!$A:$A,0))</f>
        <v/>
      </c>
      <c r="E1657" s="10">
        <f>INDEX(Customers!$D:$D,MATCH(C1657,Customers!$A:$A,0))</f>
        <v/>
      </c>
      <c r="F1657" s="10" t="inlineStr">
        <is>
          <t>Carrier A</t>
        </is>
      </c>
      <c r="G1657" s="5" t="n">
        <v>46290</v>
      </c>
      <c r="H1657" s="5" t="n">
        <v>46293</v>
      </c>
      <c r="I1657" s="5" t="n">
        <v>46293</v>
      </c>
      <c r="J1657" s="10" t="inlineStr">
        <is>
          <t>08:10</t>
        </is>
      </c>
      <c r="K1657" s="10" t="inlineStr">
        <is>
          <t>On time</t>
        </is>
      </c>
      <c r="L1657" s="6" t="n">
        <v>0</v>
      </c>
      <c r="M1657" s="10" t="n"/>
      <c r="N1657" s="6" t="n">
        <v>26</v>
      </c>
      <c r="O1657" s="6" t="n">
        <v>1664</v>
      </c>
      <c r="P1657" s="6" t="n">
        <v>1</v>
      </c>
      <c r="Q1657" s="6">
        <f>IF(OR(K1657="On time",K1657="Late",K1657="Very late"),1,0)</f>
        <v/>
      </c>
    </row>
    <row r="1658">
      <c r="A1658" s="10" t="inlineStr">
        <is>
          <t>DN319904</t>
        </is>
      </c>
      <c r="B1658" s="10" t="inlineStr">
        <is>
          <t>SO63921</t>
        </is>
      </c>
      <c r="C1658" s="10" t="inlineStr">
        <is>
          <t>C12490</t>
        </is>
      </c>
      <c r="D1658" s="10">
        <f>INDEX(Customers!$B:$B,MATCH(C1658,Customers!$A:$A,0))</f>
        <v/>
      </c>
      <c r="E1658" s="10">
        <f>INDEX(Customers!$D:$D,MATCH(C1658,Customers!$A:$A,0))</f>
        <v/>
      </c>
      <c r="F1658" s="10" t="inlineStr">
        <is>
          <t>Carrier A</t>
        </is>
      </c>
      <c r="G1658" s="5" t="n">
        <v>46290</v>
      </c>
      <c r="H1658" s="5" t="n">
        <v>46293</v>
      </c>
      <c r="I1658" s="5" t="n">
        <v>46295</v>
      </c>
      <c r="J1658" s="10" t="inlineStr">
        <is>
          <t>09:50</t>
        </is>
      </c>
      <c r="K1658" s="10" t="inlineStr">
        <is>
          <t>Very late</t>
        </is>
      </c>
      <c r="L1658" s="6" t="n">
        <v>2</v>
      </c>
      <c r="M1658" s="10" t="inlineStr">
        <is>
          <t>Carrier delay</t>
        </is>
      </c>
      <c r="N1658" s="6" t="n">
        <v>14</v>
      </c>
      <c r="O1658" s="6" t="n">
        <v>1610</v>
      </c>
      <c r="P1658" s="6" t="n">
        <v>1</v>
      </c>
      <c r="Q1658" s="6">
        <f>IF(OR(K1658="On time",K1658="Late",K1658="Very late"),1,0)</f>
        <v/>
      </c>
    </row>
    <row r="1659">
      <c r="A1659" s="10" t="inlineStr">
        <is>
          <t>DN319905</t>
        </is>
      </c>
      <c r="B1659" s="10" t="inlineStr">
        <is>
          <t>SO63923</t>
        </is>
      </c>
      <c r="C1659" s="10" t="inlineStr">
        <is>
          <t>C12543</t>
        </is>
      </c>
      <c r="D1659" s="10">
        <f>INDEX(Customers!$B:$B,MATCH(C1659,Customers!$A:$A,0))</f>
        <v/>
      </c>
      <c r="E1659" s="10">
        <f>INDEX(Customers!$D:$D,MATCH(C1659,Customers!$A:$A,0))</f>
        <v/>
      </c>
      <c r="F1659" s="10" t="inlineStr">
        <is>
          <t>Carrier B</t>
        </is>
      </c>
      <c r="G1659" s="5" t="n">
        <v>46289</v>
      </c>
      <c r="H1659" s="5" t="n">
        <v>46293</v>
      </c>
      <c r="I1659" s="5" t="n">
        <v>46293</v>
      </c>
      <c r="J1659" s="10" t="inlineStr">
        <is>
          <t>16:50</t>
        </is>
      </c>
      <c r="K1659" s="10" t="inlineStr">
        <is>
          <t>On time</t>
        </is>
      </c>
      <c r="L1659" s="6" t="n">
        <v>0</v>
      </c>
      <c r="M1659" s="10" t="n"/>
      <c r="N1659" s="6" t="n">
        <v>30</v>
      </c>
      <c r="O1659" s="6" t="n">
        <v>1650</v>
      </c>
      <c r="P1659" s="6" t="n">
        <v>1</v>
      </c>
      <c r="Q1659" s="6">
        <f>IF(OR(K1659="On time",K1659="Late",K1659="Very late"),1,0)</f>
        <v/>
      </c>
    </row>
    <row r="1660">
      <c r="A1660" s="10" t="inlineStr">
        <is>
          <t>DN319906</t>
        </is>
      </c>
      <c r="B1660" s="10" t="inlineStr">
        <is>
          <t>SO63924</t>
        </is>
      </c>
      <c r="C1660" s="10" t="inlineStr">
        <is>
          <t>C12617</t>
        </is>
      </c>
      <c r="D1660" s="10">
        <f>INDEX(Customers!$B:$B,MATCH(C1660,Customers!$A:$A,0))</f>
        <v/>
      </c>
      <c r="E1660" s="10">
        <f>INDEX(Customers!$D:$D,MATCH(C1660,Customers!$A:$A,0))</f>
        <v/>
      </c>
      <c r="F1660" s="10" t="inlineStr">
        <is>
          <t>Carrier B</t>
        </is>
      </c>
      <c r="G1660" s="5" t="n">
        <v>46289</v>
      </c>
      <c r="H1660" s="5" t="n">
        <v>46293</v>
      </c>
      <c r="I1660" s="5" t="n">
        <v>46293</v>
      </c>
      <c r="J1660" s="10" t="inlineStr">
        <is>
          <t>16:30</t>
        </is>
      </c>
      <c r="K1660" s="10" t="inlineStr">
        <is>
          <t>On time</t>
        </is>
      </c>
      <c r="L1660" s="6" t="n">
        <v>0</v>
      </c>
      <c r="M1660" s="10" t="n"/>
      <c r="N1660" s="6" t="n">
        <v>20</v>
      </c>
      <c r="O1660" s="6" t="n">
        <v>2480</v>
      </c>
      <c r="P1660" s="6" t="n">
        <v>1</v>
      </c>
      <c r="Q1660" s="6">
        <f>IF(OR(K1660="On time",K1660="Late",K1660="Very late"),1,0)</f>
        <v/>
      </c>
    </row>
    <row r="1661">
      <c r="A1661" s="10" t="inlineStr">
        <is>
          <t>DN319907</t>
        </is>
      </c>
      <c r="B1661" s="10" t="inlineStr">
        <is>
          <t>SO63925</t>
        </is>
      </c>
      <c r="C1661" s="10" t="inlineStr">
        <is>
          <t>C12639</t>
        </is>
      </c>
      <c r="D1661" s="10">
        <f>INDEX(Customers!$B:$B,MATCH(C1661,Customers!$A:$A,0))</f>
        <v/>
      </c>
      <c r="E1661" s="10">
        <f>INDEX(Customers!$D:$D,MATCH(C1661,Customers!$A:$A,0))</f>
        <v/>
      </c>
      <c r="F1661" s="10" t="inlineStr">
        <is>
          <t>Carrier B</t>
        </is>
      </c>
      <c r="G1661" s="5" t="n">
        <v>46289</v>
      </c>
      <c r="H1661" s="5" t="n">
        <v>46293</v>
      </c>
      <c r="I1661" s="5" t="n">
        <v>46293</v>
      </c>
      <c r="J1661" s="10" t="inlineStr">
        <is>
          <t>16:50</t>
        </is>
      </c>
      <c r="K1661" s="10" t="inlineStr">
        <is>
          <t>On time</t>
        </is>
      </c>
      <c r="L1661" s="6" t="n">
        <v>0</v>
      </c>
      <c r="M1661" s="10" t="n"/>
      <c r="N1661" s="6" t="n">
        <v>3</v>
      </c>
      <c r="O1661" s="6" t="n">
        <v>222</v>
      </c>
      <c r="P1661" s="6" t="n">
        <v>1</v>
      </c>
      <c r="Q1661" s="6">
        <f>IF(OR(K1661="On time",K1661="Late",K1661="Very late"),1,0)</f>
        <v/>
      </c>
    </row>
    <row r="1662">
      <c r="A1662" s="10" t="inlineStr">
        <is>
          <t>DN319909</t>
        </is>
      </c>
      <c r="B1662" s="10" t="inlineStr">
        <is>
          <t>SO63926</t>
        </is>
      </c>
      <c r="C1662" s="10" t="inlineStr">
        <is>
          <t>C12675</t>
        </is>
      </c>
      <c r="D1662" s="10">
        <f>INDEX(Customers!$B:$B,MATCH(C1662,Customers!$A:$A,0))</f>
        <v/>
      </c>
      <c r="E1662" s="10">
        <f>INDEX(Customers!$D:$D,MATCH(C1662,Customers!$A:$A,0))</f>
        <v/>
      </c>
      <c r="F1662" s="10" t="inlineStr">
        <is>
          <t>Carrier B</t>
        </is>
      </c>
      <c r="G1662" s="5" t="n">
        <v>46289</v>
      </c>
      <c r="H1662" s="5" t="n">
        <v>46293</v>
      </c>
      <c r="I1662" s="5" t="n">
        <v>46293</v>
      </c>
      <c r="J1662" s="10" t="inlineStr">
        <is>
          <t>11:30</t>
        </is>
      </c>
      <c r="K1662" s="10" t="inlineStr">
        <is>
          <t>On time</t>
        </is>
      </c>
      <c r="L1662" s="6" t="n">
        <v>0</v>
      </c>
      <c r="M1662" s="10" t="n"/>
      <c r="N1662" s="6" t="n">
        <v>18</v>
      </c>
      <c r="O1662" s="6" t="n">
        <v>2394</v>
      </c>
      <c r="P1662" s="6" t="n">
        <v>1</v>
      </c>
      <c r="Q1662" s="6">
        <f>IF(OR(K1662="On time",K1662="Late",K1662="Very late"),1,0)</f>
        <v/>
      </c>
    </row>
    <row r="1663">
      <c r="A1663" s="10" t="inlineStr">
        <is>
          <t>DN319910</t>
        </is>
      </c>
      <c r="B1663" s="10" t="inlineStr">
        <is>
          <t>SO63927</t>
        </is>
      </c>
      <c r="C1663" s="10" t="inlineStr">
        <is>
          <t>C10268</t>
        </is>
      </c>
      <c r="D1663" s="10">
        <f>INDEX(Customers!$B:$B,MATCH(C1663,Customers!$A:$A,0))</f>
        <v/>
      </c>
      <c r="E1663" s="10">
        <f>INDEX(Customers!$D:$D,MATCH(C1663,Customers!$A:$A,0))</f>
        <v/>
      </c>
      <c r="F1663" s="10" t="inlineStr">
        <is>
          <t>Own trucks</t>
        </is>
      </c>
      <c r="G1663" s="5" t="n">
        <v>46293</v>
      </c>
      <c r="H1663" s="5" t="n">
        <v>46294</v>
      </c>
      <c r="I1663" s="5" t="n">
        <v>46294</v>
      </c>
      <c r="J1663" s="10" t="inlineStr">
        <is>
          <t>16:20</t>
        </is>
      </c>
      <c r="K1663" s="10" t="inlineStr">
        <is>
          <t>On time</t>
        </is>
      </c>
      <c r="L1663" s="6" t="n">
        <v>0</v>
      </c>
      <c r="M1663" s="10" t="n"/>
      <c r="N1663" s="6" t="n">
        <v>8</v>
      </c>
      <c r="O1663" s="6" t="n">
        <v>1016</v>
      </c>
      <c r="P1663" s="6" t="n">
        <v>1</v>
      </c>
      <c r="Q1663" s="6">
        <f>IF(OR(K1663="On time",K1663="Late",K1663="Very late"),1,0)</f>
        <v/>
      </c>
    </row>
    <row r="1664">
      <c r="A1664" s="10" t="inlineStr">
        <is>
          <t>DN319911</t>
        </is>
      </c>
      <c r="B1664" s="10" t="inlineStr">
        <is>
          <t>SO63929</t>
        </is>
      </c>
      <c r="C1664" s="10" t="inlineStr">
        <is>
          <t>C10322</t>
        </is>
      </c>
      <c r="D1664" s="10">
        <f>INDEX(Customers!$B:$B,MATCH(C1664,Customers!$A:$A,0))</f>
        <v/>
      </c>
      <c r="E1664" s="10">
        <f>INDEX(Customers!$D:$D,MATCH(C1664,Customers!$A:$A,0))</f>
        <v/>
      </c>
      <c r="F1664" s="10" t="inlineStr">
        <is>
          <t>Own trucks</t>
        </is>
      </c>
      <c r="G1664" s="5" t="n">
        <v>46293</v>
      </c>
      <c r="H1664" s="5" t="n">
        <v>46294</v>
      </c>
      <c r="I1664" s="5" t="n">
        <v>46294</v>
      </c>
      <c r="J1664" s="10" t="inlineStr">
        <is>
          <t>14:40</t>
        </is>
      </c>
      <c r="K1664" s="10" t="inlineStr">
        <is>
          <t>On time</t>
        </is>
      </c>
      <c r="L1664" s="6" t="n">
        <v>0</v>
      </c>
      <c r="M1664" s="10" t="n"/>
      <c r="N1664" s="6" t="n">
        <v>22</v>
      </c>
      <c r="O1664" s="6" t="n">
        <v>3058</v>
      </c>
      <c r="P1664" s="6" t="n">
        <v>1</v>
      </c>
      <c r="Q1664" s="6">
        <f>IF(OR(K1664="On time",K1664="Late",K1664="Very late"),1,0)</f>
        <v/>
      </c>
    </row>
    <row r="1665">
      <c r="A1665" s="10" t="inlineStr">
        <is>
          <t>DN319912</t>
        </is>
      </c>
      <c r="B1665" s="10" t="inlineStr">
        <is>
          <t>SO63930</t>
        </is>
      </c>
      <c r="C1665" s="10" t="inlineStr">
        <is>
          <t>C10343</t>
        </is>
      </c>
      <c r="D1665" s="10">
        <f>INDEX(Customers!$B:$B,MATCH(C1665,Customers!$A:$A,0))</f>
        <v/>
      </c>
      <c r="E1665" s="10">
        <f>INDEX(Customers!$D:$D,MATCH(C1665,Customers!$A:$A,0))</f>
        <v/>
      </c>
      <c r="F1665" s="10" t="inlineStr">
        <is>
          <t>Own trucks</t>
        </is>
      </c>
      <c r="G1665" s="5" t="n">
        <v>46293</v>
      </c>
      <c r="H1665" s="5" t="n">
        <v>46294</v>
      </c>
      <c r="I1665" s="5" t="n">
        <v>46294</v>
      </c>
      <c r="J1665" s="10" t="inlineStr">
        <is>
          <t>12:30</t>
        </is>
      </c>
      <c r="K1665" s="10" t="inlineStr">
        <is>
          <t>On time</t>
        </is>
      </c>
      <c r="L1665" s="6" t="n">
        <v>0</v>
      </c>
      <c r="M1665" s="10" t="n"/>
      <c r="N1665" s="6" t="n">
        <v>6</v>
      </c>
      <c r="O1665" s="6" t="n">
        <v>360</v>
      </c>
      <c r="P1665" s="6" t="n">
        <v>1</v>
      </c>
      <c r="Q1665" s="6">
        <f>IF(OR(K1665="On time",K1665="Late",K1665="Very late"),1,0)</f>
        <v/>
      </c>
    </row>
    <row r="1666">
      <c r="A1666" s="10" t="inlineStr">
        <is>
          <t>DN319913</t>
        </is>
      </c>
      <c r="B1666" s="10" t="inlineStr">
        <is>
          <t>SO63932</t>
        </is>
      </c>
      <c r="C1666" s="10" t="inlineStr">
        <is>
          <t>C10413</t>
        </is>
      </c>
      <c r="D1666" s="10">
        <f>INDEX(Customers!$B:$B,MATCH(C1666,Customers!$A:$A,0))</f>
        <v/>
      </c>
      <c r="E1666" s="10">
        <f>INDEX(Customers!$D:$D,MATCH(C1666,Customers!$A:$A,0))</f>
        <v/>
      </c>
      <c r="F1666" s="10" t="inlineStr">
        <is>
          <t>Own trucks</t>
        </is>
      </c>
      <c r="G1666" s="5" t="n">
        <v>46293</v>
      </c>
      <c r="H1666" s="5" t="n">
        <v>46294</v>
      </c>
      <c r="I1666" s="5" t="n">
        <v>46294</v>
      </c>
      <c r="J1666" s="10" t="inlineStr">
        <is>
          <t>13:30</t>
        </is>
      </c>
      <c r="K1666" s="10" t="inlineStr">
        <is>
          <t>On time</t>
        </is>
      </c>
      <c r="L1666" s="6" t="n">
        <v>0</v>
      </c>
      <c r="M1666" s="10" t="n"/>
      <c r="N1666" s="6" t="n">
        <v>7</v>
      </c>
      <c r="O1666" s="6" t="n">
        <v>385</v>
      </c>
      <c r="P1666" s="6" t="n">
        <v>1</v>
      </c>
      <c r="Q1666" s="6">
        <f>IF(OR(K1666="On time",K1666="Late",K1666="Very late"),1,0)</f>
        <v/>
      </c>
    </row>
    <row r="1667">
      <c r="A1667" s="10" t="inlineStr">
        <is>
          <t>DN319914</t>
        </is>
      </c>
      <c r="B1667" s="10" t="inlineStr">
        <is>
          <t>SO63933</t>
        </is>
      </c>
      <c r="C1667" s="10" t="inlineStr">
        <is>
          <t>C10446</t>
        </is>
      </c>
      <c r="D1667" s="10">
        <f>INDEX(Customers!$B:$B,MATCH(C1667,Customers!$A:$A,0))</f>
        <v/>
      </c>
      <c r="E1667" s="10">
        <f>INDEX(Customers!$D:$D,MATCH(C1667,Customers!$A:$A,0))</f>
        <v/>
      </c>
      <c r="F1667" s="10" t="inlineStr">
        <is>
          <t>Own trucks</t>
        </is>
      </c>
      <c r="G1667" s="5" t="n">
        <v>46293</v>
      </c>
      <c r="H1667" s="5" t="n">
        <v>46294</v>
      </c>
      <c r="I1667" s="5" t="n">
        <v>46294</v>
      </c>
      <c r="J1667" s="10" t="inlineStr">
        <is>
          <t>11:20</t>
        </is>
      </c>
      <c r="K1667" s="10" t="inlineStr">
        <is>
          <t>On time</t>
        </is>
      </c>
      <c r="L1667" s="6" t="n">
        <v>0</v>
      </c>
      <c r="M1667" s="10" t="n"/>
      <c r="N1667" s="6" t="n">
        <v>38</v>
      </c>
      <c r="O1667" s="6" t="n">
        <v>4028</v>
      </c>
      <c r="P1667" s="6" t="n">
        <v>1</v>
      </c>
      <c r="Q1667" s="6">
        <f>IF(OR(K1667="On time",K1667="Late",K1667="Very late"),1,0)</f>
        <v/>
      </c>
    </row>
    <row r="1668">
      <c r="A1668" s="10" t="inlineStr">
        <is>
          <t>DN319915</t>
        </is>
      </c>
      <c r="B1668" s="10" t="inlineStr">
        <is>
          <t>SO63935</t>
        </is>
      </c>
      <c r="C1668" s="10" t="inlineStr">
        <is>
          <t>C10522</t>
        </is>
      </c>
      <c r="D1668" s="10">
        <f>INDEX(Customers!$B:$B,MATCH(C1668,Customers!$A:$A,0))</f>
        <v/>
      </c>
      <c r="E1668" s="10">
        <f>INDEX(Customers!$D:$D,MATCH(C1668,Customers!$A:$A,0))</f>
        <v/>
      </c>
      <c r="F1668" s="10" t="inlineStr">
        <is>
          <t>Own trucks</t>
        </is>
      </c>
      <c r="G1668" s="5" t="n">
        <v>46293</v>
      </c>
      <c r="H1668" s="5" t="n">
        <v>46294</v>
      </c>
      <c r="I1668" s="5" t="n">
        <v>46294</v>
      </c>
      <c r="J1668" s="10" t="inlineStr">
        <is>
          <t>12:30</t>
        </is>
      </c>
      <c r="K1668" s="10" t="inlineStr">
        <is>
          <t>On time</t>
        </is>
      </c>
      <c r="L1668" s="6" t="n">
        <v>0</v>
      </c>
      <c r="M1668" s="10" t="n"/>
      <c r="N1668" s="6" t="n">
        <v>17</v>
      </c>
      <c r="O1668" s="6" t="n">
        <v>2142</v>
      </c>
      <c r="P1668" s="6" t="n">
        <v>1</v>
      </c>
      <c r="Q1668" s="6">
        <f>IF(OR(K1668="On time",K1668="Late",K1668="Very late"),1,0)</f>
        <v/>
      </c>
    </row>
    <row r="1669">
      <c r="A1669" s="10" t="inlineStr">
        <is>
          <t>DN319916</t>
        </is>
      </c>
      <c r="B1669" s="10" t="inlineStr">
        <is>
          <t>SO63937</t>
        </is>
      </c>
      <c r="C1669" s="10" t="inlineStr">
        <is>
          <t>C10536</t>
        </is>
      </c>
      <c r="D1669" s="10">
        <f>INDEX(Customers!$B:$B,MATCH(C1669,Customers!$A:$A,0))</f>
        <v/>
      </c>
      <c r="E1669" s="10">
        <f>INDEX(Customers!$D:$D,MATCH(C1669,Customers!$A:$A,0))</f>
        <v/>
      </c>
      <c r="F1669" s="10" t="inlineStr">
        <is>
          <t>Own trucks</t>
        </is>
      </c>
      <c r="G1669" s="5" t="n">
        <v>46293</v>
      </c>
      <c r="H1669" s="5" t="n">
        <v>46294</v>
      </c>
      <c r="I1669" s="5" t="n">
        <v>46294</v>
      </c>
      <c r="J1669" s="10" t="inlineStr">
        <is>
          <t>11:20</t>
        </is>
      </c>
      <c r="K1669" s="10" t="inlineStr">
        <is>
          <t>On time</t>
        </is>
      </c>
      <c r="L1669" s="6" t="n">
        <v>0</v>
      </c>
      <c r="M1669" s="10" t="n"/>
      <c r="N1669" s="6" t="n">
        <v>4</v>
      </c>
      <c r="O1669" s="6" t="n">
        <v>356</v>
      </c>
      <c r="P1669" s="6" t="n">
        <v>1</v>
      </c>
      <c r="Q1669" s="6">
        <f>IF(OR(K1669="On time",K1669="Late",K1669="Very late"),1,0)</f>
        <v/>
      </c>
    </row>
    <row r="1670">
      <c r="A1670" s="10" t="inlineStr">
        <is>
          <t>DN319917</t>
        </is>
      </c>
      <c r="B1670" s="10" t="inlineStr">
        <is>
          <t>SO63939</t>
        </is>
      </c>
      <c r="C1670" s="10" t="inlineStr">
        <is>
          <t>C10589</t>
        </is>
      </c>
      <c r="D1670" s="10">
        <f>INDEX(Customers!$B:$B,MATCH(C1670,Customers!$A:$A,0))</f>
        <v/>
      </c>
      <c r="E1670" s="10">
        <f>INDEX(Customers!$D:$D,MATCH(C1670,Customers!$A:$A,0))</f>
        <v/>
      </c>
      <c r="F1670" s="10" t="inlineStr">
        <is>
          <t>Own trucks</t>
        </is>
      </c>
      <c r="G1670" s="5" t="n">
        <v>46293</v>
      </c>
      <c r="H1670" s="5" t="n">
        <v>46294</v>
      </c>
      <c r="I1670" s="5" t="n">
        <v>46294</v>
      </c>
      <c r="J1670" s="10" t="inlineStr">
        <is>
          <t>09:00</t>
        </is>
      </c>
      <c r="K1670" s="10" t="inlineStr">
        <is>
          <t>On time</t>
        </is>
      </c>
      <c r="L1670" s="6" t="n">
        <v>0</v>
      </c>
      <c r="M1670" s="10" t="n"/>
      <c r="N1670" s="6" t="n">
        <v>18</v>
      </c>
      <c r="O1670" s="6" t="n">
        <v>1674</v>
      </c>
      <c r="P1670" s="6" t="n">
        <v>1</v>
      </c>
      <c r="Q1670" s="6">
        <f>IF(OR(K1670="On time",K1670="Late",K1670="Very late"),1,0)</f>
        <v/>
      </c>
    </row>
    <row r="1671">
      <c r="A1671" s="10" t="inlineStr">
        <is>
          <t>DN319918</t>
        </is>
      </c>
      <c r="B1671" s="10" t="inlineStr">
        <is>
          <t>SO63940</t>
        </is>
      </c>
      <c r="C1671" s="10" t="inlineStr">
        <is>
          <t>C10622</t>
        </is>
      </c>
      <c r="D1671" s="10">
        <f>INDEX(Customers!$B:$B,MATCH(C1671,Customers!$A:$A,0))</f>
        <v/>
      </c>
      <c r="E1671" s="10">
        <f>INDEX(Customers!$D:$D,MATCH(C1671,Customers!$A:$A,0))</f>
        <v/>
      </c>
      <c r="F1671" s="10" t="inlineStr">
        <is>
          <t>Own trucks</t>
        </is>
      </c>
      <c r="G1671" s="5" t="n">
        <v>46293</v>
      </c>
      <c r="H1671" s="5" t="n">
        <v>46294</v>
      </c>
      <c r="I1671" s="5" t="n">
        <v>46294</v>
      </c>
      <c r="J1671" s="10" t="inlineStr">
        <is>
          <t>12:00</t>
        </is>
      </c>
      <c r="K1671" s="10" t="inlineStr">
        <is>
          <t>On time</t>
        </is>
      </c>
      <c r="L1671" s="6" t="n">
        <v>0</v>
      </c>
      <c r="M1671" s="10" t="n"/>
      <c r="N1671" s="6" t="n">
        <v>39</v>
      </c>
      <c r="O1671" s="6" t="n">
        <v>3237</v>
      </c>
      <c r="P1671" s="6" t="n">
        <v>1</v>
      </c>
      <c r="Q1671" s="6">
        <f>IF(OR(K1671="On time",K1671="Late",K1671="Very late"),1,0)</f>
        <v/>
      </c>
    </row>
    <row r="1672">
      <c r="A1672" s="10" t="inlineStr">
        <is>
          <t>DN319919</t>
        </is>
      </c>
      <c r="B1672" s="10" t="inlineStr">
        <is>
          <t>SO63941</t>
        </is>
      </c>
      <c r="C1672" s="10" t="inlineStr">
        <is>
          <t>C10676</t>
        </is>
      </c>
      <c r="D1672" s="10">
        <f>INDEX(Customers!$B:$B,MATCH(C1672,Customers!$A:$A,0))</f>
        <v/>
      </c>
      <c r="E1672" s="10">
        <f>INDEX(Customers!$D:$D,MATCH(C1672,Customers!$A:$A,0))</f>
        <v/>
      </c>
      <c r="F1672" s="10" t="inlineStr">
        <is>
          <t>Own trucks</t>
        </is>
      </c>
      <c r="G1672" s="5" t="n">
        <v>46293</v>
      </c>
      <c r="H1672" s="5" t="n">
        <v>46294</v>
      </c>
      <c r="I1672" s="5" t="n">
        <v>46294</v>
      </c>
      <c r="J1672" s="10" t="inlineStr">
        <is>
          <t>15:00</t>
        </is>
      </c>
      <c r="K1672" s="10" t="inlineStr">
        <is>
          <t>On time</t>
        </is>
      </c>
      <c r="L1672" s="6" t="n">
        <v>0</v>
      </c>
      <c r="M1672" s="10" t="n"/>
      <c r="N1672" s="6" t="n">
        <v>30</v>
      </c>
      <c r="O1672" s="6" t="n">
        <v>2640</v>
      </c>
      <c r="P1672" s="6" t="n">
        <v>1</v>
      </c>
      <c r="Q1672" s="6">
        <f>IF(OR(K1672="On time",K1672="Late",K1672="Very late"),1,0)</f>
        <v/>
      </c>
    </row>
    <row r="1673">
      <c r="A1673" s="10" t="inlineStr">
        <is>
          <t>DN319920</t>
        </is>
      </c>
      <c r="B1673" s="10" t="inlineStr">
        <is>
          <t>SO63942</t>
        </is>
      </c>
      <c r="C1673" s="10" t="inlineStr">
        <is>
          <t>C10746</t>
        </is>
      </c>
      <c r="D1673" s="10">
        <f>INDEX(Customers!$B:$B,MATCH(C1673,Customers!$A:$A,0))</f>
        <v/>
      </c>
      <c r="E1673" s="10">
        <f>INDEX(Customers!$D:$D,MATCH(C1673,Customers!$A:$A,0))</f>
        <v/>
      </c>
      <c r="F1673" s="10" t="inlineStr">
        <is>
          <t>Own trucks</t>
        </is>
      </c>
      <c r="G1673" s="5" t="n">
        <v>46293</v>
      </c>
      <c r="H1673" s="5" t="n">
        <v>46294</v>
      </c>
      <c r="I1673" s="5" t="n">
        <v>46294</v>
      </c>
      <c r="J1673" s="10" t="inlineStr">
        <is>
          <t>12:10</t>
        </is>
      </c>
      <c r="K1673" s="10" t="inlineStr">
        <is>
          <t>On time</t>
        </is>
      </c>
      <c r="L1673" s="6" t="n">
        <v>0</v>
      </c>
      <c r="M1673" s="10" t="n"/>
      <c r="N1673" s="6" t="n">
        <v>2</v>
      </c>
      <c r="O1673" s="6" t="n">
        <v>196</v>
      </c>
      <c r="P1673" s="6" t="n">
        <v>1</v>
      </c>
      <c r="Q1673" s="6">
        <f>IF(OR(K1673="On time",K1673="Late",K1673="Very late"),1,0)</f>
        <v/>
      </c>
    </row>
    <row r="1674">
      <c r="A1674" s="10" t="inlineStr">
        <is>
          <t>DN319921</t>
        </is>
      </c>
      <c r="B1674" s="10" t="inlineStr">
        <is>
          <t>SO63944</t>
        </is>
      </c>
      <c r="C1674" s="10" t="inlineStr">
        <is>
          <t>C10847</t>
        </is>
      </c>
      <c r="D1674" s="10">
        <f>INDEX(Customers!$B:$B,MATCH(C1674,Customers!$A:$A,0))</f>
        <v/>
      </c>
      <c r="E1674" s="10">
        <f>INDEX(Customers!$D:$D,MATCH(C1674,Customers!$A:$A,0))</f>
        <v/>
      </c>
      <c r="F1674" s="10" t="inlineStr">
        <is>
          <t>Own trucks</t>
        </is>
      </c>
      <c r="G1674" s="5" t="n">
        <v>46293</v>
      </c>
      <c r="H1674" s="5" t="n">
        <v>46294</v>
      </c>
      <c r="I1674" s="5" t="n">
        <v>46294</v>
      </c>
      <c r="J1674" s="10" t="inlineStr">
        <is>
          <t>16:30</t>
        </is>
      </c>
      <c r="K1674" s="10" t="inlineStr">
        <is>
          <t>On time</t>
        </is>
      </c>
      <c r="L1674" s="6" t="n">
        <v>0</v>
      </c>
      <c r="M1674" s="10" t="n"/>
      <c r="N1674" s="6" t="n">
        <v>36</v>
      </c>
      <c r="O1674" s="6" t="n">
        <v>3276</v>
      </c>
      <c r="P1674" s="6" t="n">
        <v>1</v>
      </c>
      <c r="Q1674" s="6">
        <f>IF(OR(K1674="On time",K1674="Late",K1674="Very late"),1,0)</f>
        <v/>
      </c>
    </row>
    <row r="1675">
      <c r="A1675" s="10" t="inlineStr">
        <is>
          <t>DN319922</t>
        </is>
      </c>
      <c r="B1675" s="10" t="inlineStr">
        <is>
          <t>SO63946</t>
        </is>
      </c>
      <c r="C1675" s="10" t="inlineStr">
        <is>
          <t>C10982</t>
        </is>
      </c>
      <c r="D1675" s="10">
        <f>INDEX(Customers!$B:$B,MATCH(C1675,Customers!$A:$A,0))</f>
        <v/>
      </c>
      <c r="E1675" s="10">
        <f>INDEX(Customers!$D:$D,MATCH(C1675,Customers!$A:$A,0))</f>
        <v/>
      </c>
      <c r="F1675" s="10" t="inlineStr">
        <is>
          <t>Own trucks</t>
        </is>
      </c>
      <c r="G1675" s="5" t="n">
        <v>46293</v>
      </c>
      <c r="H1675" s="5" t="n">
        <v>46294</v>
      </c>
      <c r="I1675" s="5" t="n">
        <v>46294</v>
      </c>
      <c r="J1675" s="10" t="inlineStr">
        <is>
          <t>13:00</t>
        </is>
      </c>
      <c r="K1675" s="10" t="inlineStr">
        <is>
          <t>On time</t>
        </is>
      </c>
      <c r="L1675" s="6" t="n">
        <v>0</v>
      </c>
      <c r="M1675" s="10" t="n"/>
      <c r="N1675" s="6" t="n">
        <v>32</v>
      </c>
      <c r="O1675" s="6" t="n">
        <v>2368</v>
      </c>
      <c r="P1675" s="6" t="n">
        <v>1</v>
      </c>
      <c r="Q1675" s="6">
        <f>IF(OR(K1675="On time",K1675="Late",K1675="Very late"),1,0)</f>
        <v/>
      </c>
    </row>
    <row r="1676">
      <c r="A1676" s="10" t="inlineStr">
        <is>
          <t>DN319923</t>
        </is>
      </c>
      <c r="B1676" s="10" t="inlineStr">
        <is>
          <t>SO63947</t>
        </is>
      </c>
      <c r="C1676" s="10" t="inlineStr">
        <is>
          <t>C11107</t>
        </is>
      </c>
      <c r="D1676" s="10">
        <f>INDEX(Customers!$B:$B,MATCH(C1676,Customers!$A:$A,0))</f>
        <v/>
      </c>
      <c r="E1676" s="10">
        <f>INDEX(Customers!$D:$D,MATCH(C1676,Customers!$A:$A,0))</f>
        <v/>
      </c>
      <c r="F1676" s="10" t="inlineStr">
        <is>
          <t>Own trucks</t>
        </is>
      </c>
      <c r="G1676" s="5" t="n">
        <v>46293</v>
      </c>
      <c r="H1676" s="5" t="n">
        <v>46294</v>
      </c>
      <c r="I1676" s="5" t="n">
        <v>46294</v>
      </c>
      <c r="J1676" s="10" t="inlineStr">
        <is>
          <t>10:40</t>
        </is>
      </c>
      <c r="K1676" s="10" t="inlineStr">
        <is>
          <t>On time</t>
        </is>
      </c>
      <c r="L1676" s="6" t="n">
        <v>0</v>
      </c>
      <c r="M1676" s="10" t="n"/>
      <c r="N1676" s="6" t="n">
        <v>24</v>
      </c>
      <c r="O1676" s="6" t="n">
        <v>1344</v>
      </c>
      <c r="P1676" s="6" t="n">
        <v>1</v>
      </c>
      <c r="Q1676" s="6">
        <f>IF(OR(K1676="On time",K1676="Late",K1676="Very late"),1,0)</f>
        <v/>
      </c>
    </row>
    <row r="1677">
      <c r="A1677" s="10" t="inlineStr">
        <is>
          <t>DN319924</t>
        </is>
      </c>
      <c r="B1677" s="10" t="inlineStr">
        <is>
          <t>SO63948</t>
        </is>
      </c>
      <c r="C1677" s="10" t="inlineStr">
        <is>
          <t>C11186</t>
        </is>
      </c>
      <c r="D1677" s="10">
        <f>INDEX(Customers!$B:$B,MATCH(C1677,Customers!$A:$A,0))</f>
        <v/>
      </c>
      <c r="E1677" s="10">
        <f>INDEX(Customers!$D:$D,MATCH(C1677,Customers!$A:$A,0))</f>
        <v/>
      </c>
      <c r="F1677" s="10" t="inlineStr">
        <is>
          <t>Own trucks</t>
        </is>
      </c>
      <c r="G1677" s="5" t="n">
        <v>46293</v>
      </c>
      <c r="H1677" s="5" t="n">
        <v>46294</v>
      </c>
      <c r="I1677" s="5" t="n">
        <v>46294</v>
      </c>
      <c r="J1677" s="10" t="inlineStr">
        <is>
          <t>12:40</t>
        </is>
      </c>
      <c r="K1677" s="10" t="inlineStr">
        <is>
          <t>On time</t>
        </is>
      </c>
      <c r="L1677" s="6" t="n">
        <v>0</v>
      </c>
      <c r="M1677" s="10" t="n"/>
      <c r="N1677" s="6" t="n">
        <v>22</v>
      </c>
      <c r="O1677" s="6" t="n">
        <v>1430</v>
      </c>
      <c r="P1677" s="6" t="n">
        <v>1</v>
      </c>
      <c r="Q1677" s="6">
        <f>IF(OR(K1677="On time",K1677="Late",K1677="Very late"),1,0)</f>
        <v/>
      </c>
    </row>
    <row r="1678">
      <c r="A1678" s="10" t="inlineStr">
        <is>
          <t>DN319925</t>
        </is>
      </c>
      <c r="B1678" s="10" t="inlineStr">
        <is>
          <t>SO63950</t>
        </is>
      </c>
      <c r="C1678" s="10" t="inlineStr">
        <is>
          <t>C11264</t>
        </is>
      </c>
      <c r="D1678" s="10">
        <f>INDEX(Customers!$B:$B,MATCH(C1678,Customers!$A:$A,0))</f>
        <v/>
      </c>
      <c r="E1678" s="10">
        <f>INDEX(Customers!$D:$D,MATCH(C1678,Customers!$A:$A,0))</f>
        <v/>
      </c>
      <c r="F1678" s="10" t="inlineStr">
        <is>
          <t>Own trucks</t>
        </is>
      </c>
      <c r="G1678" s="5" t="n">
        <v>46293</v>
      </c>
      <c r="H1678" s="5" t="n">
        <v>46294</v>
      </c>
      <c r="I1678" s="5" t="n">
        <v>46294</v>
      </c>
      <c r="J1678" s="10" t="inlineStr">
        <is>
          <t>13:40</t>
        </is>
      </c>
      <c r="K1678" s="10" t="inlineStr">
        <is>
          <t>On time</t>
        </is>
      </c>
      <c r="L1678" s="6" t="n">
        <v>0</v>
      </c>
      <c r="M1678" s="10" t="n"/>
      <c r="N1678" s="6" t="n">
        <v>12</v>
      </c>
      <c r="O1678" s="6" t="n">
        <v>1368</v>
      </c>
      <c r="P1678" s="6" t="n">
        <v>1</v>
      </c>
      <c r="Q1678" s="6">
        <f>IF(OR(K1678="On time",K1678="Late",K1678="Very late"),1,0)</f>
        <v/>
      </c>
    </row>
    <row r="1679">
      <c r="A1679" s="10" t="inlineStr">
        <is>
          <t>DN319926</t>
        </is>
      </c>
      <c r="B1679" s="10" t="inlineStr">
        <is>
          <t>SO63951</t>
        </is>
      </c>
      <c r="C1679" s="10" t="inlineStr">
        <is>
          <t>C11314</t>
        </is>
      </c>
      <c r="D1679" s="10">
        <f>INDEX(Customers!$B:$B,MATCH(C1679,Customers!$A:$A,0))</f>
        <v/>
      </c>
      <c r="E1679" s="10">
        <f>INDEX(Customers!$D:$D,MATCH(C1679,Customers!$A:$A,0))</f>
        <v/>
      </c>
      <c r="F1679" s="10" t="inlineStr">
        <is>
          <t>Own trucks</t>
        </is>
      </c>
      <c r="G1679" s="5" t="n">
        <v>46293</v>
      </c>
      <c r="H1679" s="5" t="n">
        <v>46294</v>
      </c>
      <c r="I1679" s="5" t="n">
        <v>46294</v>
      </c>
      <c r="J1679" s="10" t="inlineStr">
        <is>
          <t>09:30</t>
        </is>
      </c>
      <c r="K1679" s="10" t="inlineStr">
        <is>
          <t>On time</t>
        </is>
      </c>
      <c r="L1679" s="6" t="n">
        <v>0</v>
      </c>
      <c r="M1679" s="10" t="n"/>
      <c r="N1679" s="6" t="n">
        <v>5</v>
      </c>
      <c r="O1679" s="6" t="n">
        <v>485</v>
      </c>
      <c r="P1679" s="6" t="n">
        <v>1</v>
      </c>
      <c r="Q1679" s="6">
        <f>IF(OR(K1679="On time",K1679="Late",K1679="Very late"),1,0)</f>
        <v/>
      </c>
    </row>
    <row r="1680">
      <c r="A1680" s="10" t="inlineStr">
        <is>
          <t>DN319927</t>
        </is>
      </c>
      <c r="B1680" s="10" t="inlineStr">
        <is>
          <t>SO63952</t>
        </is>
      </c>
      <c r="C1680" s="10" t="inlineStr">
        <is>
          <t>C11333</t>
        </is>
      </c>
      <c r="D1680" s="10">
        <f>INDEX(Customers!$B:$B,MATCH(C1680,Customers!$A:$A,0))</f>
        <v/>
      </c>
      <c r="E1680" s="10">
        <f>INDEX(Customers!$D:$D,MATCH(C1680,Customers!$A:$A,0))</f>
        <v/>
      </c>
      <c r="F1680" s="10" t="inlineStr">
        <is>
          <t>Own trucks</t>
        </is>
      </c>
      <c r="G1680" s="5" t="n">
        <v>46293</v>
      </c>
      <c r="H1680" s="5" t="n">
        <v>46294</v>
      </c>
      <c r="I1680" s="5" t="n">
        <v>46294</v>
      </c>
      <c r="J1680" s="10" t="inlineStr">
        <is>
          <t>07:00</t>
        </is>
      </c>
      <c r="K1680" s="10" t="inlineStr">
        <is>
          <t>On time</t>
        </is>
      </c>
      <c r="L1680" s="6" t="n">
        <v>0</v>
      </c>
      <c r="M1680" s="10" t="n"/>
      <c r="N1680" s="6" t="n">
        <v>25</v>
      </c>
      <c r="O1680" s="6" t="n">
        <v>2825</v>
      </c>
      <c r="P1680" s="6" t="n">
        <v>1</v>
      </c>
      <c r="Q1680" s="6">
        <f>IF(OR(K1680="On time",K1680="Late",K1680="Very late"),1,0)</f>
        <v/>
      </c>
    </row>
    <row r="1681">
      <c r="A1681" s="10" t="inlineStr">
        <is>
          <t>DN319928</t>
        </is>
      </c>
      <c r="B1681" s="10" t="inlineStr">
        <is>
          <t>SO63953</t>
        </is>
      </c>
      <c r="C1681" s="10" t="inlineStr">
        <is>
          <t>C11463</t>
        </is>
      </c>
      <c r="D1681" s="10">
        <f>INDEX(Customers!$B:$B,MATCH(C1681,Customers!$A:$A,0))</f>
        <v/>
      </c>
      <c r="E1681" s="10">
        <f>INDEX(Customers!$D:$D,MATCH(C1681,Customers!$A:$A,0))</f>
        <v/>
      </c>
      <c r="F1681" s="10" t="inlineStr">
        <is>
          <t>Own trucks</t>
        </is>
      </c>
      <c r="G1681" s="5" t="n">
        <v>46293</v>
      </c>
      <c r="H1681" s="5" t="n">
        <v>46294</v>
      </c>
      <c r="I1681" s="5" t="n">
        <v>46294</v>
      </c>
      <c r="J1681" s="10" t="inlineStr">
        <is>
          <t>07:50</t>
        </is>
      </c>
      <c r="K1681" s="10" t="inlineStr">
        <is>
          <t>On time</t>
        </is>
      </c>
      <c r="L1681" s="6" t="n">
        <v>0</v>
      </c>
      <c r="M1681" s="10" t="n"/>
      <c r="N1681" s="6" t="n">
        <v>2</v>
      </c>
      <c r="O1681" s="6" t="n">
        <v>250</v>
      </c>
      <c r="P1681" s="6" t="n">
        <v>1</v>
      </c>
      <c r="Q1681" s="6">
        <f>IF(OR(K1681="On time",K1681="Late",K1681="Very late"),1,0)</f>
        <v/>
      </c>
    </row>
    <row r="1682">
      <c r="A1682" s="10" t="inlineStr">
        <is>
          <t>DN319929</t>
        </is>
      </c>
      <c r="B1682" s="10" t="inlineStr">
        <is>
          <t>SO63954</t>
        </is>
      </c>
      <c r="C1682" s="10" t="inlineStr">
        <is>
          <t>C11518</t>
        </is>
      </c>
      <c r="D1682" s="10">
        <f>INDEX(Customers!$B:$B,MATCH(C1682,Customers!$A:$A,0))</f>
        <v/>
      </c>
      <c r="E1682" s="10">
        <f>INDEX(Customers!$D:$D,MATCH(C1682,Customers!$A:$A,0))</f>
        <v/>
      </c>
      <c r="F1682" s="10" t="inlineStr">
        <is>
          <t>Own trucks</t>
        </is>
      </c>
      <c r="G1682" s="5" t="n">
        <v>46293</v>
      </c>
      <c r="H1682" s="5" t="n">
        <v>46294</v>
      </c>
      <c r="I1682" s="5" t="n">
        <v>46294</v>
      </c>
      <c r="J1682" s="10" t="inlineStr">
        <is>
          <t>12:30</t>
        </is>
      </c>
      <c r="K1682" s="10" t="inlineStr">
        <is>
          <t>On time</t>
        </is>
      </c>
      <c r="L1682" s="6" t="n">
        <v>0</v>
      </c>
      <c r="M1682" s="10" t="n"/>
      <c r="N1682" s="6" t="n">
        <v>22</v>
      </c>
      <c r="O1682" s="6" t="n">
        <v>2794</v>
      </c>
      <c r="P1682" s="6" t="n">
        <v>1</v>
      </c>
      <c r="Q1682" s="6">
        <f>IF(OR(K1682="On time",K1682="Late",K1682="Very late"),1,0)</f>
        <v/>
      </c>
    </row>
    <row r="1683">
      <c r="A1683" s="10" t="inlineStr">
        <is>
          <t>DN319930</t>
        </is>
      </c>
      <c r="B1683" s="10" t="inlineStr">
        <is>
          <t>SO63955</t>
        </is>
      </c>
      <c r="C1683" s="10" t="inlineStr">
        <is>
          <t>C11579</t>
        </is>
      </c>
      <c r="D1683" s="10">
        <f>INDEX(Customers!$B:$B,MATCH(C1683,Customers!$A:$A,0))</f>
        <v/>
      </c>
      <c r="E1683" s="10">
        <f>INDEX(Customers!$D:$D,MATCH(C1683,Customers!$A:$A,0))</f>
        <v/>
      </c>
      <c r="F1683" s="10" t="inlineStr">
        <is>
          <t>Own trucks</t>
        </is>
      </c>
      <c r="G1683" s="5" t="n">
        <v>46293</v>
      </c>
      <c r="H1683" s="5" t="n">
        <v>46294</v>
      </c>
      <c r="I1683" s="5" t="n">
        <v>46294</v>
      </c>
      <c r="J1683" s="10" t="inlineStr">
        <is>
          <t>11:50</t>
        </is>
      </c>
      <c r="K1683" s="10" t="inlineStr">
        <is>
          <t>On time</t>
        </is>
      </c>
      <c r="L1683" s="6" t="n">
        <v>0</v>
      </c>
      <c r="M1683" s="10" t="n"/>
      <c r="N1683" s="6" t="n">
        <v>31</v>
      </c>
      <c r="O1683" s="6" t="n">
        <v>3410</v>
      </c>
      <c r="P1683" s="6" t="n">
        <v>1</v>
      </c>
      <c r="Q1683" s="6">
        <f>IF(OR(K1683="On time",K1683="Late",K1683="Very late"),1,0)</f>
        <v/>
      </c>
    </row>
    <row r="1684">
      <c r="A1684" s="10" t="inlineStr">
        <is>
          <t>DN319931</t>
        </is>
      </c>
      <c r="B1684" s="10" t="inlineStr">
        <is>
          <t>SO63956</t>
        </is>
      </c>
      <c r="C1684" s="10" t="inlineStr">
        <is>
          <t>C11616</t>
        </is>
      </c>
      <c r="D1684" s="10">
        <f>INDEX(Customers!$B:$B,MATCH(C1684,Customers!$A:$A,0))</f>
        <v/>
      </c>
      <c r="E1684" s="10">
        <f>INDEX(Customers!$D:$D,MATCH(C1684,Customers!$A:$A,0))</f>
        <v/>
      </c>
      <c r="F1684" s="10" t="inlineStr">
        <is>
          <t>Own trucks</t>
        </is>
      </c>
      <c r="G1684" s="5" t="n">
        <v>46293</v>
      </c>
      <c r="H1684" s="5" t="n">
        <v>46294</v>
      </c>
      <c r="I1684" s="5" t="n">
        <v>46294</v>
      </c>
      <c r="J1684" s="10" t="inlineStr">
        <is>
          <t>14:40</t>
        </is>
      </c>
      <c r="K1684" s="10" t="inlineStr">
        <is>
          <t>On time</t>
        </is>
      </c>
      <c r="L1684" s="6" t="n">
        <v>0</v>
      </c>
      <c r="M1684" s="10" t="n"/>
      <c r="N1684" s="6" t="n">
        <v>27</v>
      </c>
      <c r="O1684" s="6" t="n">
        <v>1863</v>
      </c>
      <c r="P1684" s="6" t="n">
        <v>1</v>
      </c>
      <c r="Q1684" s="6">
        <f>IF(OR(K1684="On time",K1684="Late",K1684="Very late"),1,0)</f>
        <v/>
      </c>
    </row>
    <row r="1685">
      <c r="A1685" s="10" t="inlineStr">
        <is>
          <t>DN319932</t>
        </is>
      </c>
      <c r="B1685" s="10" t="inlineStr">
        <is>
          <t>SO63958</t>
        </is>
      </c>
      <c r="C1685" s="10" t="inlineStr">
        <is>
          <t>C11666</t>
        </is>
      </c>
      <c r="D1685" s="10">
        <f>INDEX(Customers!$B:$B,MATCH(C1685,Customers!$A:$A,0))</f>
        <v/>
      </c>
      <c r="E1685" s="10">
        <f>INDEX(Customers!$D:$D,MATCH(C1685,Customers!$A:$A,0))</f>
        <v/>
      </c>
      <c r="F1685" s="10" t="inlineStr">
        <is>
          <t>Own trucks</t>
        </is>
      </c>
      <c r="G1685" s="5" t="n">
        <v>46293</v>
      </c>
      <c r="H1685" s="5" t="n">
        <v>46294</v>
      </c>
      <c r="I1685" s="5" t="n">
        <v>46294</v>
      </c>
      <c r="J1685" s="10" t="inlineStr">
        <is>
          <t>08:30</t>
        </is>
      </c>
      <c r="K1685" s="10" t="inlineStr">
        <is>
          <t>On time</t>
        </is>
      </c>
      <c r="L1685" s="6" t="n">
        <v>0</v>
      </c>
      <c r="M1685" s="10" t="n"/>
      <c r="N1685" s="6" t="n">
        <v>26</v>
      </c>
      <c r="O1685" s="6" t="n">
        <v>1586</v>
      </c>
      <c r="P1685" s="6" t="n">
        <v>1</v>
      </c>
      <c r="Q1685" s="6">
        <f>IF(OR(K1685="On time",K1685="Late",K1685="Very late"),1,0)</f>
        <v/>
      </c>
    </row>
    <row r="1686">
      <c r="A1686" s="10" t="inlineStr">
        <is>
          <t>DN319933</t>
        </is>
      </c>
      <c r="B1686" s="10" t="inlineStr">
        <is>
          <t>SO63959</t>
        </is>
      </c>
      <c r="C1686" s="10" t="inlineStr">
        <is>
          <t>C11745</t>
        </is>
      </c>
      <c r="D1686" s="10">
        <f>INDEX(Customers!$B:$B,MATCH(C1686,Customers!$A:$A,0))</f>
        <v/>
      </c>
      <c r="E1686" s="10">
        <f>INDEX(Customers!$D:$D,MATCH(C1686,Customers!$A:$A,0))</f>
        <v/>
      </c>
      <c r="F1686" s="10" t="inlineStr">
        <is>
          <t>Own trucks</t>
        </is>
      </c>
      <c r="G1686" s="5" t="n">
        <v>46293</v>
      </c>
      <c r="H1686" s="5" t="n">
        <v>46294</v>
      </c>
      <c r="I1686" s="5" t="n">
        <v>46294</v>
      </c>
      <c r="J1686" s="10" t="inlineStr">
        <is>
          <t>14:20</t>
        </is>
      </c>
      <c r="K1686" s="10" t="inlineStr">
        <is>
          <t>On time</t>
        </is>
      </c>
      <c r="L1686" s="6" t="n">
        <v>0</v>
      </c>
      <c r="M1686" s="10" t="n"/>
      <c r="N1686" s="6" t="n">
        <v>20</v>
      </c>
      <c r="O1686" s="6" t="n">
        <v>2120</v>
      </c>
      <c r="P1686" s="6" t="n">
        <v>1</v>
      </c>
      <c r="Q1686" s="6">
        <f>IF(OR(K1686="On time",K1686="Late",K1686="Very late"),1,0)</f>
        <v/>
      </c>
    </row>
    <row r="1687">
      <c r="A1687" s="10" t="inlineStr">
        <is>
          <t>DN319934</t>
        </is>
      </c>
      <c r="B1687" s="10" t="inlineStr">
        <is>
          <t>SO63960</t>
        </is>
      </c>
      <c r="C1687" s="10" t="inlineStr">
        <is>
          <t>C11798</t>
        </is>
      </c>
      <c r="D1687" s="10">
        <f>INDEX(Customers!$B:$B,MATCH(C1687,Customers!$A:$A,0))</f>
        <v/>
      </c>
      <c r="E1687" s="10">
        <f>INDEX(Customers!$D:$D,MATCH(C1687,Customers!$A:$A,0))</f>
        <v/>
      </c>
      <c r="F1687" s="10" t="inlineStr">
        <is>
          <t>Carrier A</t>
        </is>
      </c>
      <c r="G1687" s="5" t="n">
        <v>46293</v>
      </c>
      <c r="H1687" s="5" t="n">
        <v>46294</v>
      </c>
      <c r="I1687" s="5" t="n">
        <v>46294</v>
      </c>
      <c r="J1687" s="10" t="inlineStr">
        <is>
          <t>07:50</t>
        </is>
      </c>
      <c r="K1687" s="10" t="inlineStr">
        <is>
          <t>On time</t>
        </is>
      </c>
      <c r="L1687" s="6" t="n">
        <v>0</v>
      </c>
      <c r="M1687" s="10" t="n"/>
      <c r="N1687" s="6" t="n">
        <v>25</v>
      </c>
      <c r="O1687" s="6" t="n">
        <v>3075</v>
      </c>
      <c r="P1687" s="6" t="n">
        <v>1</v>
      </c>
      <c r="Q1687" s="6">
        <f>IF(OR(K1687="On time",K1687="Late",K1687="Very late"),1,0)</f>
        <v/>
      </c>
    </row>
    <row r="1688">
      <c r="A1688" s="10" t="inlineStr">
        <is>
          <t>DN319935</t>
        </is>
      </c>
      <c r="B1688" s="10" t="inlineStr">
        <is>
          <t>SO63961</t>
        </is>
      </c>
      <c r="C1688" s="10" t="inlineStr">
        <is>
          <t>C11866</t>
        </is>
      </c>
      <c r="D1688" s="10">
        <f>INDEX(Customers!$B:$B,MATCH(C1688,Customers!$A:$A,0))</f>
        <v/>
      </c>
      <c r="E1688" s="10">
        <f>INDEX(Customers!$D:$D,MATCH(C1688,Customers!$A:$A,0))</f>
        <v/>
      </c>
      <c r="F1688" s="10" t="inlineStr">
        <is>
          <t>Carrier A</t>
        </is>
      </c>
      <c r="G1688" s="5" t="n">
        <v>46293</v>
      </c>
      <c r="H1688" s="5" t="n">
        <v>46294</v>
      </c>
      <c r="I1688" s="5" t="n">
        <v>46294</v>
      </c>
      <c r="J1688" s="10" t="inlineStr">
        <is>
          <t>11:40</t>
        </is>
      </c>
      <c r="K1688" s="10" t="inlineStr">
        <is>
          <t>On time</t>
        </is>
      </c>
      <c r="L1688" s="6" t="n">
        <v>0</v>
      </c>
      <c r="M1688" s="10" t="n"/>
      <c r="N1688" s="6" t="n">
        <v>38</v>
      </c>
      <c r="O1688" s="6" t="n">
        <v>3876</v>
      </c>
      <c r="P1688" s="6" t="n">
        <v>1</v>
      </c>
      <c r="Q1688" s="6">
        <f>IF(OR(K1688="On time",K1688="Late",K1688="Very late"),1,0)</f>
        <v/>
      </c>
    </row>
    <row r="1689">
      <c r="A1689" s="10" t="inlineStr">
        <is>
          <t>DN319936</t>
        </is>
      </c>
      <c r="B1689" s="10" t="inlineStr">
        <is>
          <t>SO63963</t>
        </is>
      </c>
      <c r="C1689" s="10" t="inlineStr">
        <is>
          <t>C11910</t>
        </is>
      </c>
      <c r="D1689" s="10">
        <f>INDEX(Customers!$B:$B,MATCH(C1689,Customers!$A:$A,0))</f>
        <v/>
      </c>
      <c r="E1689" s="10">
        <f>INDEX(Customers!$D:$D,MATCH(C1689,Customers!$A:$A,0))</f>
        <v/>
      </c>
      <c r="F1689" s="10" t="inlineStr">
        <is>
          <t>Carrier A</t>
        </is>
      </c>
      <c r="G1689" s="5" t="n">
        <v>46293</v>
      </c>
      <c r="H1689" s="5" t="n">
        <v>46294</v>
      </c>
      <c r="I1689" s="5" t="n">
        <v>46294</v>
      </c>
      <c r="J1689" s="10" t="inlineStr">
        <is>
          <t>09:20</t>
        </is>
      </c>
      <c r="K1689" s="10" t="inlineStr">
        <is>
          <t>On time</t>
        </is>
      </c>
      <c r="L1689" s="6" t="n">
        <v>0</v>
      </c>
      <c r="M1689" s="10" t="n"/>
      <c r="N1689" s="6" t="n">
        <v>36</v>
      </c>
      <c r="O1689" s="6" t="n">
        <v>3312</v>
      </c>
      <c r="P1689" s="6" t="n">
        <v>1</v>
      </c>
      <c r="Q1689" s="6">
        <f>IF(OR(K1689="On time",K1689="Late",K1689="Very late"),1,0)</f>
        <v/>
      </c>
    </row>
    <row r="1690">
      <c r="A1690" s="10" t="inlineStr">
        <is>
          <t>DN319937</t>
        </is>
      </c>
      <c r="B1690" s="10" t="inlineStr">
        <is>
          <t>SO63964</t>
        </is>
      </c>
      <c r="C1690" s="10" t="inlineStr">
        <is>
          <t>C11950</t>
        </is>
      </c>
      <c r="D1690" s="10">
        <f>INDEX(Customers!$B:$B,MATCH(C1690,Customers!$A:$A,0))</f>
        <v/>
      </c>
      <c r="E1690" s="10">
        <f>INDEX(Customers!$D:$D,MATCH(C1690,Customers!$A:$A,0))</f>
        <v/>
      </c>
      <c r="F1690" s="10" t="inlineStr">
        <is>
          <t>Carrier A</t>
        </is>
      </c>
      <c r="G1690" s="5" t="n">
        <v>46293</v>
      </c>
      <c r="H1690" s="5" t="n">
        <v>46294</v>
      </c>
      <c r="I1690" s="5" t="n">
        <v>46294</v>
      </c>
      <c r="J1690" s="10" t="inlineStr">
        <is>
          <t>14:00</t>
        </is>
      </c>
      <c r="K1690" s="10" t="inlineStr">
        <is>
          <t>On time</t>
        </is>
      </c>
      <c r="L1690" s="6" t="n">
        <v>0</v>
      </c>
      <c r="M1690" s="10" t="n"/>
      <c r="N1690" s="6" t="n">
        <v>32</v>
      </c>
      <c r="O1690" s="6" t="n">
        <v>1984</v>
      </c>
      <c r="P1690" s="6" t="n">
        <v>1</v>
      </c>
      <c r="Q1690" s="6">
        <f>IF(OR(K1690="On time",K1690="Late",K1690="Very late"),1,0)</f>
        <v/>
      </c>
    </row>
    <row r="1691">
      <c r="A1691" s="10" t="inlineStr">
        <is>
          <t>DN319938</t>
        </is>
      </c>
      <c r="B1691" s="10" t="inlineStr">
        <is>
          <t>SO63965</t>
        </is>
      </c>
      <c r="C1691" s="10" t="inlineStr">
        <is>
          <t>C11971</t>
        </is>
      </c>
      <c r="D1691" s="10">
        <f>INDEX(Customers!$B:$B,MATCH(C1691,Customers!$A:$A,0))</f>
        <v/>
      </c>
      <c r="E1691" s="10">
        <f>INDEX(Customers!$D:$D,MATCH(C1691,Customers!$A:$A,0))</f>
        <v/>
      </c>
      <c r="F1691" s="10" t="inlineStr">
        <is>
          <t>Own trucks</t>
        </is>
      </c>
      <c r="G1691" s="5" t="n">
        <v>46293</v>
      </c>
      <c r="H1691" s="5" t="n">
        <v>46294</v>
      </c>
      <c r="I1691" s="5" t="n">
        <v>46294</v>
      </c>
      <c r="J1691" s="10" t="inlineStr">
        <is>
          <t>09:00</t>
        </is>
      </c>
      <c r="K1691" s="10" t="inlineStr">
        <is>
          <t>On time</t>
        </is>
      </c>
      <c r="L1691" s="6" t="n">
        <v>0</v>
      </c>
      <c r="M1691" s="10" t="n"/>
      <c r="N1691" s="6" t="n">
        <v>38</v>
      </c>
      <c r="O1691" s="6" t="n">
        <v>5320</v>
      </c>
      <c r="P1691" s="6" t="n">
        <v>1</v>
      </c>
      <c r="Q1691" s="6">
        <f>IF(OR(K1691="On time",K1691="Late",K1691="Very late"),1,0)</f>
        <v/>
      </c>
    </row>
    <row r="1692">
      <c r="A1692" s="10" t="inlineStr">
        <is>
          <t>DN319939</t>
        </is>
      </c>
      <c r="B1692" s="10" t="inlineStr">
        <is>
          <t>SO63966</t>
        </is>
      </c>
      <c r="C1692" s="10" t="inlineStr">
        <is>
          <t>C11982</t>
        </is>
      </c>
      <c r="D1692" s="10">
        <f>INDEX(Customers!$B:$B,MATCH(C1692,Customers!$A:$A,0))</f>
        <v/>
      </c>
      <c r="E1692" s="10">
        <f>INDEX(Customers!$D:$D,MATCH(C1692,Customers!$A:$A,0))</f>
        <v/>
      </c>
      <c r="F1692" s="10" t="inlineStr">
        <is>
          <t>Own trucks</t>
        </is>
      </c>
      <c r="G1692" s="5" t="n">
        <v>46293</v>
      </c>
      <c r="H1692" s="5" t="n">
        <v>46294</v>
      </c>
      <c r="I1692" s="5" t="n">
        <v>46294</v>
      </c>
      <c r="J1692" s="10" t="inlineStr">
        <is>
          <t>08:00</t>
        </is>
      </c>
      <c r="K1692" s="10" t="inlineStr">
        <is>
          <t>On time</t>
        </is>
      </c>
      <c r="L1692" s="6" t="n">
        <v>0</v>
      </c>
      <c r="M1692" s="10" t="n"/>
      <c r="N1692" s="6" t="n">
        <v>32</v>
      </c>
      <c r="O1692" s="6" t="n">
        <v>3296</v>
      </c>
      <c r="P1692" s="6" t="n">
        <v>1</v>
      </c>
      <c r="Q1692" s="6">
        <f>IF(OR(K1692="On time",K1692="Late",K1692="Very late"),1,0)</f>
        <v/>
      </c>
    </row>
    <row r="1693">
      <c r="A1693" s="10" t="inlineStr">
        <is>
          <t>DN319940</t>
        </is>
      </c>
      <c r="B1693" s="10" t="inlineStr">
        <is>
          <t>SO63967</t>
        </is>
      </c>
      <c r="C1693" s="10" t="inlineStr">
        <is>
          <t>C12037</t>
        </is>
      </c>
      <c r="D1693" s="10">
        <f>INDEX(Customers!$B:$B,MATCH(C1693,Customers!$A:$A,0))</f>
        <v/>
      </c>
      <c r="E1693" s="10">
        <f>INDEX(Customers!$D:$D,MATCH(C1693,Customers!$A:$A,0))</f>
        <v/>
      </c>
      <c r="F1693" s="10" t="inlineStr">
        <is>
          <t>Own trucks</t>
        </is>
      </c>
      <c r="G1693" s="5" t="n">
        <v>46293</v>
      </c>
      <c r="H1693" s="5" t="n">
        <v>46294</v>
      </c>
      <c r="I1693" s="5" t="n">
        <v>46294</v>
      </c>
      <c r="J1693" s="10" t="inlineStr">
        <is>
          <t>12:10</t>
        </is>
      </c>
      <c r="K1693" s="10" t="inlineStr">
        <is>
          <t>On time</t>
        </is>
      </c>
      <c r="L1693" s="6" t="n">
        <v>0</v>
      </c>
      <c r="M1693" s="10" t="n"/>
      <c r="N1693" s="6" t="n">
        <v>34</v>
      </c>
      <c r="O1693" s="6" t="n">
        <v>4046</v>
      </c>
      <c r="P1693" s="6" t="n">
        <v>1</v>
      </c>
      <c r="Q1693" s="6">
        <f>IF(OR(K1693="On time",K1693="Late",K1693="Very late"),1,0)</f>
        <v/>
      </c>
    </row>
    <row r="1694">
      <c r="A1694" s="10" t="inlineStr">
        <is>
          <t>DN319941</t>
        </is>
      </c>
      <c r="B1694" s="10" t="inlineStr">
        <is>
          <t>SO63968</t>
        </is>
      </c>
      <c r="C1694" s="10" t="inlineStr">
        <is>
          <t>C12103</t>
        </is>
      </c>
      <c r="D1694" s="10">
        <f>INDEX(Customers!$B:$B,MATCH(C1694,Customers!$A:$A,0))</f>
        <v/>
      </c>
      <c r="E1694" s="10">
        <f>INDEX(Customers!$D:$D,MATCH(C1694,Customers!$A:$A,0))</f>
        <v/>
      </c>
      <c r="F1694" s="10" t="inlineStr">
        <is>
          <t>Own trucks</t>
        </is>
      </c>
      <c r="G1694" s="5" t="n">
        <v>46293</v>
      </c>
      <c r="H1694" s="5" t="n">
        <v>46294</v>
      </c>
      <c r="I1694" s="5" t="n">
        <v>46294</v>
      </c>
      <c r="J1694" s="10" t="inlineStr">
        <is>
          <t>14:30</t>
        </is>
      </c>
      <c r="K1694" s="10" t="inlineStr">
        <is>
          <t>On time</t>
        </is>
      </c>
      <c r="L1694" s="6" t="n">
        <v>0</v>
      </c>
      <c r="M1694" s="10" t="n"/>
      <c r="N1694" s="6" t="n">
        <v>25</v>
      </c>
      <c r="O1694" s="6" t="n">
        <v>2425</v>
      </c>
      <c r="P1694" s="6" t="n">
        <v>1</v>
      </c>
      <c r="Q1694" s="6">
        <f>IF(OR(K1694="On time",K1694="Late",K1694="Very late"),1,0)</f>
        <v/>
      </c>
    </row>
    <row r="1695">
      <c r="A1695" s="10" t="inlineStr">
        <is>
          <t>DN319942</t>
        </is>
      </c>
      <c r="B1695" s="10" t="inlineStr">
        <is>
          <t>SO63969</t>
        </is>
      </c>
      <c r="C1695" s="10" t="inlineStr">
        <is>
          <t>C12183</t>
        </is>
      </c>
      <c r="D1695" s="10">
        <f>INDEX(Customers!$B:$B,MATCH(C1695,Customers!$A:$A,0))</f>
        <v/>
      </c>
      <c r="E1695" s="10">
        <f>INDEX(Customers!$D:$D,MATCH(C1695,Customers!$A:$A,0))</f>
        <v/>
      </c>
      <c r="F1695" s="10" t="inlineStr">
        <is>
          <t>Carrier B</t>
        </is>
      </c>
      <c r="G1695" s="5" t="n">
        <v>46293</v>
      </c>
      <c r="H1695" s="5" t="n">
        <v>46294</v>
      </c>
      <c r="I1695" s="5" t="n">
        <v>46294</v>
      </c>
      <c r="J1695" s="10" t="inlineStr">
        <is>
          <t>09:00</t>
        </is>
      </c>
      <c r="K1695" s="10" t="inlineStr">
        <is>
          <t>On time</t>
        </is>
      </c>
      <c r="L1695" s="6" t="n">
        <v>0</v>
      </c>
      <c r="M1695" s="10" t="n"/>
      <c r="N1695" s="6" t="n">
        <v>22</v>
      </c>
      <c r="O1695" s="6" t="n">
        <v>2794</v>
      </c>
      <c r="P1695" s="6" t="n">
        <v>1</v>
      </c>
      <c r="Q1695" s="6">
        <f>IF(OR(K1695="On time",K1695="Late",K1695="Very late"),1,0)</f>
        <v/>
      </c>
    </row>
    <row r="1696">
      <c r="A1696" s="10" t="inlineStr">
        <is>
          <t>DN319943</t>
        </is>
      </c>
      <c r="B1696" s="10" t="inlineStr">
        <is>
          <t>SO63970</t>
        </is>
      </c>
      <c r="C1696" s="10" t="inlineStr">
        <is>
          <t>C12213</t>
        </is>
      </c>
      <c r="D1696" s="10">
        <f>INDEX(Customers!$B:$B,MATCH(C1696,Customers!$A:$A,0))</f>
        <v/>
      </c>
      <c r="E1696" s="10">
        <f>INDEX(Customers!$D:$D,MATCH(C1696,Customers!$A:$A,0))</f>
        <v/>
      </c>
      <c r="F1696" s="10" t="inlineStr">
        <is>
          <t>Carrier B</t>
        </is>
      </c>
      <c r="G1696" s="5" t="n">
        <v>46293</v>
      </c>
      <c r="H1696" s="5" t="n">
        <v>46294</v>
      </c>
      <c r="I1696" s="5" t="n">
        <v>46294</v>
      </c>
      <c r="J1696" s="10" t="inlineStr">
        <is>
          <t>12:50</t>
        </is>
      </c>
      <c r="K1696" s="10" t="inlineStr">
        <is>
          <t>On time</t>
        </is>
      </c>
      <c r="L1696" s="6" t="n">
        <v>0</v>
      </c>
      <c r="M1696" s="10" t="n"/>
      <c r="N1696" s="6" t="n">
        <v>8</v>
      </c>
      <c r="O1696" s="6" t="n">
        <v>528</v>
      </c>
      <c r="P1696" s="6" t="n">
        <v>1</v>
      </c>
      <c r="Q1696" s="6">
        <f>IF(OR(K1696="On time",K1696="Late",K1696="Very late"),1,0)</f>
        <v/>
      </c>
    </row>
    <row r="1697">
      <c r="A1697" s="10" t="inlineStr">
        <is>
          <t>DN319944</t>
        </is>
      </c>
      <c r="B1697" s="10" t="inlineStr">
        <is>
          <t>SO63972</t>
        </is>
      </c>
      <c r="C1697" s="10" t="inlineStr">
        <is>
          <t>C12239</t>
        </is>
      </c>
      <c r="D1697" s="10">
        <f>INDEX(Customers!$B:$B,MATCH(C1697,Customers!$A:$A,0))</f>
        <v/>
      </c>
      <c r="E1697" s="10">
        <f>INDEX(Customers!$D:$D,MATCH(C1697,Customers!$A:$A,0))</f>
        <v/>
      </c>
      <c r="F1697" s="10" t="inlineStr">
        <is>
          <t>Carrier B</t>
        </is>
      </c>
      <c r="G1697" s="5" t="n">
        <v>46293</v>
      </c>
      <c r="H1697" s="5" t="n">
        <v>46294</v>
      </c>
      <c r="I1697" s="5" t="n">
        <v>46294</v>
      </c>
      <c r="J1697" s="10" t="inlineStr">
        <is>
          <t>14:20</t>
        </is>
      </c>
      <c r="K1697" s="10" t="inlineStr">
        <is>
          <t>On time</t>
        </is>
      </c>
      <c r="L1697" s="6" t="n">
        <v>0</v>
      </c>
      <c r="M1697" s="10" t="n"/>
      <c r="N1697" s="6" t="n">
        <v>4</v>
      </c>
      <c r="O1697" s="6" t="n">
        <v>228</v>
      </c>
      <c r="P1697" s="6" t="n">
        <v>1</v>
      </c>
      <c r="Q1697" s="6">
        <f>IF(OR(K1697="On time",K1697="Late",K1697="Very late"),1,0)</f>
        <v/>
      </c>
    </row>
    <row r="1698">
      <c r="A1698" s="10" t="inlineStr">
        <is>
          <t>DN319945</t>
        </is>
      </c>
      <c r="B1698" s="10" t="inlineStr">
        <is>
          <t>SO63973</t>
        </is>
      </c>
      <c r="C1698" s="10" t="inlineStr">
        <is>
          <t>C12262</t>
        </is>
      </c>
      <c r="D1698" s="10">
        <f>INDEX(Customers!$B:$B,MATCH(C1698,Customers!$A:$A,0))</f>
        <v/>
      </c>
      <c r="E1698" s="10">
        <f>INDEX(Customers!$D:$D,MATCH(C1698,Customers!$A:$A,0))</f>
        <v/>
      </c>
      <c r="F1698" s="10" t="inlineStr">
        <is>
          <t>Carrier B</t>
        </is>
      </c>
      <c r="G1698" s="5" t="n">
        <v>46293</v>
      </c>
      <c r="H1698" s="5" t="n">
        <v>46294</v>
      </c>
      <c r="I1698" s="5" t="n">
        <v>46294</v>
      </c>
      <c r="J1698" s="10" t="inlineStr">
        <is>
          <t>15:30</t>
        </is>
      </c>
      <c r="K1698" s="10" t="inlineStr">
        <is>
          <t>On time</t>
        </is>
      </c>
      <c r="L1698" s="6" t="n">
        <v>0</v>
      </c>
      <c r="M1698" s="10" t="n"/>
      <c r="N1698" s="6" t="n">
        <v>18</v>
      </c>
      <c r="O1698" s="6" t="n">
        <v>2250</v>
      </c>
      <c r="P1698" s="6" t="n">
        <v>1</v>
      </c>
      <c r="Q1698" s="6">
        <f>IF(OR(K1698="On time",K1698="Late",K1698="Very late"),1,0)</f>
        <v/>
      </c>
    </row>
    <row r="1699">
      <c r="A1699" s="10" t="inlineStr">
        <is>
          <t>DN319946</t>
        </is>
      </c>
      <c r="B1699" s="10" t="inlineStr">
        <is>
          <t>SO63974</t>
        </is>
      </c>
      <c r="C1699" s="10" t="inlineStr">
        <is>
          <t>C12305</t>
        </is>
      </c>
      <c r="D1699" s="10">
        <f>INDEX(Customers!$B:$B,MATCH(C1699,Customers!$A:$A,0))</f>
        <v/>
      </c>
      <c r="E1699" s="10">
        <f>INDEX(Customers!$D:$D,MATCH(C1699,Customers!$A:$A,0))</f>
        <v/>
      </c>
      <c r="F1699" s="10" t="inlineStr">
        <is>
          <t>Carrier B</t>
        </is>
      </c>
      <c r="G1699" s="5" t="n">
        <v>46293</v>
      </c>
      <c r="H1699" s="5" t="n">
        <v>46294</v>
      </c>
      <c r="I1699" s="5" t="n">
        <v>46294</v>
      </c>
      <c r="J1699" s="10" t="inlineStr">
        <is>
          <t>11:10</t>
        </is>
      </c>
      <c r="K1699" s="10" t="inlineStr">
        <is>
          <t>On time</t>
        </is>
      </c>
      <c r="L1699" s="6" t="n">
        <v>0</v>
      </c>
      <c r="M1699" s="10" t="n"/>
      <c r="N1699" s="6" t="n">
        <v>40</v>
      </c>
      <c r="O1699" s="6" t="n">
        <v>2880</v>
      </c>
      <c r="P1699" s="6" t="n">
        <v>1</v>
      </c>
      <c r="Q1699" s="6">
        <f>IF(OR(K1699="On time",K1699="Late",K1699="Very late"),1,0)</f>
        <v/>
      </c>
    </row>
    <row r="1700">
      <c r="A1700" s="10" t="inlineStr">
        <is>
          <t>DN319947</t>
        </is>
      </c>
      <c r="B1700" s="10" t="inlineStr">
        <is>
          <t>SO63975</t>
        </is>
      </c>
      <c r="C1700" s="10" t="inlineStr">
        <is>
          <t>C12365</t>
        </is>
      </c>
      <c r="D1700" s="10">
        <f>INDEX(Customers!$B:$B,MATCH(C1700,Customers!$A:$A,0))</f>
        <v/>
      </c>
      <c r="E1700" s="10">
        <f>INDEX(Customers!$D:$D,MATCH(C1700,Customers!$A:$A,0))</f>
        <v/>
      </c>
      <c r="F1700" s="10" t="inlineStr">
        <is>
          <t>Carrier B</t>
        </is>
      </c>
      <c r="G1700" s="5" t="n">
        <v>46293</v>
      </c>
      <c r="H1700" s="5" t="n">
        <v>46294</v>
      </c>
      <c r="I1700" s="5" t="n">
        <v>46294</v>
      </c>
      <c r="J1700" s="10" t="inlineStr">
        <is>
          <t>09:40</t>
        </is>
      </c>
      <c r="K1700" s="10" t="inlineStr">
        <is>
          <t>On time</t>
        </is>
      </c>
      <c r="L1700" s="6" t="n">
        <v>0</v>
      </c>
      <c r="M1700" s="10" t="n"/>
      <c r="N1700" s="6" t="n">
        <v>6</v>
      </c>
      <c r="O1700" s="6" t="n">
        <v>630</v>
      </c>
      <c r="P1700" s="6" t="n">
        <v>1</v>
      </c>
      <c r="Q1700" s="6">
        <f>IF(OR(K1700="On time",K1700="Late",K1700="Very late"),1,0)</f>
        <v/>
      </c>
    </row>
    <row r="1701">
      <c r="A1701" s="10" t="inlineStr">
        <is>
          <t>DN319948</t>
        </is>
      </c>
      <c r="B1701" s="10" t="inlineStr">
        <is>
          <t>SO63977</t>
        </is>
      </c>
      <c r="C1701" s="10" t="inlineStr">
        <is>
          <t>C12371</t>
        </is>
      </c>
      <c r="D1701" s="10">
        <f>INDEX(Customers!$B:$B,MATCH(C1701,Customers!$A:$A,0))</f>
        <v/>
      </c>
      <c r="E1701" s="10">
        <f>INDEX(Customers!$D:$D,MATCH(C1701,Customers!$A:$A,0))</f>
        <v/>
      </c>
      <c r="F1701" s="10" t="inlineStr">
        <is>
          <t>Carrier A</t>
        </is>
      </c>
      <c r="G1701" s="5" t="n">
        <v>46293</v>
      </c>
      <c r="H1701" s="5" t="n">
        <v>46294</v>
      </c>
      <c r="I1701" s="5" t="n">
        <v>46294</v>
      </c>
      <c r="J1701" s="10" t="inlineStr">
        <is>
          <t>10:10</t>
        </is>
      </c>
      <c r="K1701" s="10" t="inlineStr">
        <is>
          <t>On time</t>
        </is>
      </c>
      <c r="L1701" s="6" t="n">
        <v>0</v>
      </c>
      <c r="M1701" s="10" t="n"/>
      <c r="N1701" s="6" t="n">
        <v>25</v>
      </c>
      <c r="O1701" s="6" t="n">
        <v>1425</v>
      </c>
      <c r="P1701" s="6" t="n">
        <v>1</v>
      </c>
      <c r="Q1701" s="6">
        <f>IF(OR(K1701="On time",K1701="Late",K1701="Very late"),1,0)</f>
        <v/>
      </c>
    </row>
    <row r="1702">
      <c r="A1702" s="10" t="inlineStr">
        <is>
          <t>DN319949</t>
        </is>
      </c>
      <c r="B1702" s="10" t="inlineStr">
        <is>
          <t>SO63979</t>
        </is>
      </c>
      <c r="C1702" s="10" t="inlineStr">
        <is>
          <t>C12420</t>
        </is>
      </c>
      <c r="D1702" s="10">
        <f>INDEX(Customers!$B:$B,MATCH(C1702,Customers!$A:$A,0))</f>
        <v/>
      </c>
      <c r="E1702" s="10">
        <f>INDEX(Customers!$D:$D,MATCH(C1702,Customers!$A:$A,0))</f>
        <v/>
      </c>
      <c r="F1702" s="10" t="inlineStr">
        <is>
          <t>Carrier A</t>
        </is>
      </c>
      <c r="G1702" s="5" t="n">
        <v>46293</v>
      </c>
      <c r="H1702" s="5" t="n">
        <v>46294</v>
      </c>
      <c r="I1702" s="5" t="n">
        <v>46294</v>
      </c>
      <c r="J1702" s="10" t="inlineStr">
        <is>
          <t>09:50</t>
        </is>
      </c>
      <c r="K1702" s="10" t="inlineStr">
        <is>
          <t>On time</t>
        </is>
      </c>
      <c r="L1702" s="6" t="n">
        <v>0</v>
      </c>
      <c r="M1702" s="10" t="n"/>
      <c r="N1702" s="6" t="n">
        <v>40</v>
      </c>
      <c r="O1702" s="6" t="n">
        <v>2760</v>
      </c>
      <c r="P1702" s="6" t="n">
        <v>1</v>
      </c>
      <c r="Q1702" s="6">
        <f>IF(OR(K1702="On time",K1702="Late",K1702="Very late"),1,0)</f>
        <v/>
      </c>
    </row>
    <row r="1703">
      <c r="A1703" s="10" t="inlineStr">
        <is>
          <t>DN319950</t>
        </is>
      </c>
      <c r="B1703" s="10" t="inlineStr">
        <is>
          <t>SO63980</t>
        </is>
      </c>
      <c r="C1703" s="10" t="inlineStr">
        <is>
          <t>C12490</t>
        </is>
      </c>
      <c r="D1703" s="10">
        <f>INDEX(Customers!$B:$B,MATCH(C1703,Customers!$A:$A,0))</f>
        <v/>
      </c>
      <c r="E1703" s="10">
        <f>INDEX(Customers!$D:$D,MATCH(C1703,Customers!$A:$A,0))</f>
        <v/>
      </c>
      <c r="F1703" s="10" t="inlineStr">
        <is>
          <t>Carrier A</t>
        </is>
      </c>
      <c r="G1703" s="5" t="n">
        <v>46293</v>
      </c>
      <c r="H1703" s="5" t="n">
        <v>46294</v>
      </c>
      <c r="I1703" s="5" t="n">
        <v>46294</v>
      </c>
      <c r="J1703" s="10" t="inlineStr">
        <is>
          <t>10:20</t>
        </is>
      </c>
      <c r="K1703" s="10" t="inlineStr">
        <is>
          <t>On time</t>
        </is>
      </c>
      <c r="L1703" s="6" t="n">
        <v>0</v>
      </c>
      <c r="M1703" s="10" t="n"/>
      <c r="N1703" s="6" t="n">
        <v>23</v>
      </c>
      <c r="O1703" s="6" t="n">
        <v>1771</v>
      </c>
      <c r="P1703" s="6" t="n">
        <v>1</v>
      </c>
      <c r="Q1703" s="6">
        <f>IF(OR(K1703="On time",K1703="Late",K1703="Very late"),1,0)</f>
        <v/>
      </c>
    </row>
    <row r="1704">
      <c r="A1704" s="10" t="inlineStr">
        <is>
          <t>DN319951</t>
        </is>
      </c>
      <c r="B1704" s="10" t="inlineStr">
        <is>
          <t>SO63981</t>
        </is>
      </c>
      <c r="C1704" s="10" t="inlineStr">
        <is>
          <t>C12543</t>
        </is>
      </c>
      <c r="D1704" s="10">
        <f>INDEX(Customers!$B:$B,MATCH(C1704,Customers!$A:$A,0))</f>
        <v/>
      </c>
      <c r="E1704" s="10">
        <f>INDEX(Customers!$D:$D,MATCH(C1704,Customers!$A:$A,0))</f>
        <v/>
      </c>
      <c r="F1704" s="10" t="inlineStr">
        <is>
          <t>Carrier B</t>
        </is>
      </c>
      <c r="G1704" s="5" t="n">
        <v>46290</v>
      </c>
      <c r="H1704" s="5" t="n">
        <v>46294</v>
      </c>
      <c r="I1704" s="5" t="n">
        <v>46294</v>
      </c>
      <c r="J1704" s="10" t="inlineStr">
        <is>
          <t>13:40</t>
        </is>
      </c>
      <c r="K1704" s="10" t="inlineStr">
        <is>
          <t>On time</t>
        </is>
      </c>
      <c r="L1704" s="6" t="n">
        <v>0</v>
      </c>
      <c r="M1704" s="10" t="n"/>
      <c r="N1704" s="6" t="n">
        <v>22</v>
      </c>
      <c r="O1704" s="6" t="n">
        <v>1606</v>
      </c>
      <c r="P1704" s="6" t="n">
        <v>1</v>
      </c>
      <c r="Q1704" s="6">
        <f>IF(OR(K1704="On time",K1704="Late",K1704="Very late"),1,0)</f>
        <v/>
      </c>
    </row>
    <row r="1705">
      <c r="A1705" s="10" t="inlineStr">
        <is>
          <t>DN319952</t>
        </is>
      </c>
      <c r="B1705" s="10" t="inlineStr">
        <is>
          <t>SO63982</t>
        </is>
      </c>
      <c r="C1705" s="10" t="inlineStr">
        <is>
          <t>C12617</t>
        </is>
      </c>
      <c r="D1705" s="10">
        <f>INDEX(Customers!$B:$B,MATCH(C1705,Customers!$A:$A,0))</f>
        <v/>
      </c>
      <c r="E1705" s="10">
        <f>INDEX(Customers!$D:$D,MATCH(C1705,Customers!$A:$A,0))</f>
        <v/>
      </c>
      <c r="F1705" s="10" t="inlineStr">
        <is>
          <t>Carrier B</t>
        </is>
      </c>
      <c r="G1705" s="5" t="n">
        <v>46290</v>
      </c>
      <c r="H1705" s="5" t="n">
        <v>46294</v>
      </c>
      <c r="I1705" s="5" t="n">
        <v>46294</v>
      </c>
      <c r="J1705" s="10" t="inlineStr">
        <is>
          <t>09:30</t>
        </is>
      </c>
      <c r="K1705" s="10" t="inlineStr">
        <is>
          <t>On time</t>
        </is>
      </c>
      <c r="L1705" s="6" t="n">
        <v>0</v>
      </c>
      <c r="M1705" s="10" t="n"/>
      <c r="N1705" s="6" t="n">
        <v>33</v>
      </c>
      <c r="O1705" s="6" t="n">
        <v>4455</v>
      </c>
      <c r="P1705" s="6" t="n">
        <v>1</v>
      </c>
      <c r="Q1705" s="6">
        <f>IF(OR(K1705="On time",K1705="Late",K1705="Very late"),1,0)</f>
        <v/>
      </c>
    </row>
    <row r="1706">
      <c r="A1706" s="10" t="inlineStr">
        <is>
          <t>DN319953</t>
        </is>
      </c>
      <c r="B1706" s="10" t="inlineStr">
        <is>
          <t>SO63983</t>
        </is>
      </c>
      <c r="C1706" s="10" t="inlineStr">
        <is>
          <t>C12639</t>
        </is>
      </c>
      <c r="D1706" s="10">
        <f>INDEX(Customers!$B:$B,MATCH(C1706,Customers!$A:$A,0))</f>
        <v/>
      </c>
      <c r="E1706" s="10">
        <f>INDEX(Customers!$D:$D,MATCH(C1706,Customers!$A:$A,0))</f>
        <v/>
      </c>
      <c r="F1706" s="10" t="inlineStr">
        <is>
          <t>Carrier B</t>
        </is>
      </c>
      <c r="G1706" s="5" t="n">
        <v>46290</v>
      </c>
      <c r="H1706" s="5" t="n">
        <v>46294</v>
      </c>
      <c r="I1706" s="5" t="n">
        <v>46294</v>
      </c>
      <c r="J1706" s="10" t="inlineStr">
        <is>
          <t>09:50</t>
        </is>
      </c>
      <c r="K1706" s="10" t="inlineStr">
        <is>
          <t>On time</t>
        </is>
      </c>
      <c r="L1706" s="6" t="n">
        <v>0</v>
      </c>
      <c r="M1706" s="10" t="n"/>
      <c r="N1706" s="6" t="n">
        <v>9</v>
      </c>
      <c r="O1706" s="6" t="n">
        <v>765</v>
      </c>
      <c r="P1706" s="6" t="n">
        <v>1</v>
      </c>
      <c r="Q1706" s="6">
        <f>IF(OR(K1706="On time",K1706="Late",K1706="Very late"),1,0)</f>
        <v/>
      </c>
    </row>
    <row r="1707">
      <c r="A1707" s="10" t="inlineStr">
        <is>
          <t>DN319954</t>
        </is>
      </c>
      <c r="B1707" s="10" t="inlineStr">
        <is>
          <t>SO63984</t>
        </is>
      </c>
      <c r="C1707" s="10" t="inlineStr">
        <is>
          <t>C12675</t>
        </is>
      </c>
      <c r="D1707" s="10">
        <f>INDEX(Customers!$B:$B,MATCH(C1707,Customers!$A:$A,0))</f>
        <v/>
      </c>
      <c r="E1707" s="10">
        <f>INDEX(Customers!$D:$D,MATCH(C1707,Customers!$A:$A,0))</f>
        <v/>
      </c>
      <c r="F1707" s="10" t="inlineStr">
        <is>
          <t>Carrier B</t>
        </is>
      </c>
      <c r="G1707" s="5" t="n">
        <v>46290</v>
      </c>
      <c r="H1707" s="5" t="n">
        <v>46294</v>
      </c>
      <c r="I1707" s="5" t="n">
        <v>46294</v>
      </c>
      <c r="J1707" s="10" t="inlineStr">
        <is>
          <t>15:50</t>
        </is>
      </c>
      <c r="K1707" s="10" t="inlineStr">
        <is>
          <t>On time</t>
        </is>
      </c>
      <c r="L1707" s="6" t="n">
        <v>0</v>
      </c>
      <c r="M1707" s="10" t="n"/>
      <c r="N1707" s="6" t="n">
        <v>10</v>
      </c>
      <c r="O1707" s="6" t="n">
        <v>920</v>
      </c>
      <c r="P1707" s="6" t="n">
        <v>1</v>
      </c>
      <c r="Q1707" s="6">
        <f>IF(OR(K1707="On time",K1707="Late",K1707="Very late"),1,0)</f>
        <v/>
      </c>
    </row>
    <row r="1708">
      <c r="A1708" s="10" t="inlineStr">
        <is>
          <t>DN319955</t>
        </is>
      </c>
      <c r="B1708" s="10" t="inlineStr">
        <is>
          <t>SO63986</t>
        </is>
      </c>
      <c r="C1708" s="10" t="inlineStr">
        <is>
          <t>C10268</t>
        </is>
      </c>
      <c r="D1708" s="10">
        <f>INDEX(Customers!$B:$B,MATCH(C1708,Customers!$A:$A,0))</f>
        <v/>
      </c>
      <c r="E1708" s="10">
        <f>INDEX(Customers!$D:$D,MATCH(C1708,Customers!$A:$A,0))</f>
        <v/>
      </c>
      <c r="F1708" s="10" t="inlineStr">
        <is>
          <t>Own trucks</t>
        </is>
      </c>
      <c r="G1708" s="5" t="n">
        <v>46294</v>
      </c>
      <c r="H1708" s="5" t="n">
        <v>46295</v>
      </c>
      <c r="I1708" s="5" t="n">
        <v>46295</v>
      </c>
      <c r="J1708" s="10" t="inlineStr">
        <is>
          <t>14:30</t>
        </is>
      </c>
      <c r="K1708" s="10" t="inlineStr">
        <is>
          <t>On time</t>
        </is>
      </c>
      <c r="L1708" s="6" t="n">
        <v>0</v>
      </c>
      <c r="M1708" s="10" t="n"/>
      <c r="N1708" s="6" t="n">
        <v>32</v>
      </c>
      <c r="O1708" s="6" t="n">
        <v>2560</v>
      </c>
      <c r="P1708" s="6" t="n">
        <v>1</v>
      </c>
      <c r="Q1708" s="6">
        <f>IF(OR(K1708="On time",K1708="Late",K1708="Very late"),1,0)</f>
        <v/>
      </c>
    </row>
    <row r="1709">
      <c r="A1709" s="10" t="inlineStr">
        <is>
          <t>DN319956</t>
        </is>
      </c>
      <c r="B1709" s="10" t="inlineStr">
        <is>
          <t>SO63987</t>
        </is>
      </c>
      <c r="C1709" s="10" t="inlineStr">
        <is>
          <t>C10322</t>
        </is>
      </c>
      <c r="D1709" s="10">
        <f>INDEX(Customers!$B:$B,MATCH(C1709,Customers!$A:$A,0))</f>
        <v/>
      </c>
      <c r="E1709" s="10">
        <f>INDEX(Customers!$D:$D,MATCH(C1709,Customers!$A:$A,0))</f>
        <v/>
      </c>
      <c r="F1709" s="10" t="inlineStr">
        <is>
          <t>Same-day courier</t>
        </is>
      </c>
      <c r="G1709" s="5" t="n">
        <v>46294</v>
      </c>
      <c r="H1709" s="5" t="n">
        <v>46295</v>
      </c>
      <c r="I1709" s="5" t="n">
        <v>46295</v>
      </c>
      <c r="J1709" s="10" t="inlineStr">
        <is>
          <t>15:40</t>
        </is>
      </c>
      <c r="K1709" s="10" t="inlineStr">
        <is>
          <t>On time</t>
        </is>
      </c>
      <c r="L1709" s="6" t="n">
        <v>0</v>
      </c>
      <c r="M1709" s="10" t="n"/>
      <c r="N1709" s="6" t="n">
        <v>19</v>
      </c>
      <c r="O1709" s="6" t="n">
        <v>1406</v>
      </c>
      <c r="P1709" s="6" t="n">
        <v>1</v>
      </c>
      <c r="Q1709" s="6">
        <f>IF(OR(K1709="On time",K1709="Late",K1709="Very late"),1,0)</f>
        <v/>
      </c>
    </row>
    <row r="1710">
      <c r="A1710" s="10" t="inlineStr">
        <is>
          <t>DN319957</t>
        </is>
      </c>
      <c r="B1710" s="10" t="inlineStr">
        <is>
          <t>SO63988</t>
        </is>
      </c>
      <c r="C1710" s="10" t="inlineStr">
        <is>
          <t>C10343</t>
        </is>
      </c>
      <c r="D1710" s="10">
        <f>INDEX(Customers!$B:$B,MATCH(C1710,Customers!$A:$A,0))</f>
        <v/>
      </c>
      <c r="E1710" s="10">
        <f>INDEX(Customers!$D:$D,MATCH(C1710,Customers!$A:$A,0))</f>
        <v/>
      </c>
      <c r="F1710" s="10" t="inlineStr">
        <is>
          <t>Own trucks</t>
        </is>
      </c>
      <c r="G1710" s="5" t="n">
        <v>46294</v>
      </c>
      <c r="H1710" s="5" t="n">
        <v>46295</v>
      </c>
      <c r="I1710" s="5" t="n">
        <v>46295</v>
      </c>
      <c r="J1710" s="10" t="inlineStr">
        <is>
          <t>10:30</t>
        </is>
      </c>
      <c r="K1710" s="10" t="inlineStr">
        <is>
          <t>On time</t>
        </is>
      </c>
      <c r="L1710" s="6" t="n">
        <v>0</v>
      </c>
      <c r="M1710" s="10" t="n"/>
      <c r="N1710" s="6" t="n">
        <v>8</v>
      </c>
      <c r="O1710" s="6" t="n">
        <v>1056</v>
      </c>
      <c r="P1710" s="6" t="n">
        <v>1</v>
      </c>
      <c r="Q1710" s="6">
        <f>IF(OR(K1710="On time",K1710="Late",K1710="Very late"),1,0)</f>
        <v/>
      </c>
    </row>
    <row r="1711">
      <c r="A1711" s="10" t="inlineStr">
        <is>
          <t>DN319958</t>
        </is>
      </c>
      <c r="B1711" s="10" t="inlineStr">
        <is>
          <t>SO63989</t>
        </is>
      </c>
      <c r="C1711" s="10" t="inlineStr">
        <is>
          <t>C10413</t>
        </is>
      </c>
      <c r="D1711" s="10">
        <f>INDEX(Customers!$B:$B,MATCH(C1711,Customers!$A:$A,0))</f>
        <v/>
      </c>
      <c r="E1711" s="10">
        <f>INDEX(Customers!$D:$D,MATCH(C1711,Customers!$A:$A,0))</f>
        <v/>
      </c>
      <c r="F1711" s="10" t="inlineStr">
        <is>
          <t>Own trucks</t>
        </is>
      </c>
      <c r="G1711" s="5" t="n">
        <v>46294</v>
      </c>
      <c r="H1711" s="5" t="n">
        <v>46295</v>
      </c>
      <c r="I1711" s="5" t="n">
        <v>46295</v>
      </c>
      <c r="J1711" s="10" t="inlineStr">
        <is>
          <t>09:20</t>
        </is>
      </c>
      <c r="K1711" s="10" t="inlineStr">
        <is>
          <t>On time</t>
        </is>
      </c>
      <c r="L1711" s="6" t="n">
        <v>0</v>
      </c>
      <c r="M1711" s="10" t="n"/>
      <c r="N1711" s="6" t="n">
        <v>32</v>
      </c>
      <c r="O1711" s="6" t="n">
        <v>2080</v>
      </c>
      <c r="P1711" s="6" t="n">
        <v>1</v>
      </c>
      <c r="Q1711" s="6">
        <f>IF(OR(K1711="On time",K1711="Late",K1711="Very late"),1,0)</f>
        <v/>
      </c>
    </row>
    <row r="1712">
      <c r="A1712" s="10" t="inlineStr">
        <is>
          <t>DN319959</t>
        </is>
      </c>
      <c r="B1712" s="10" t="inlineStr">
        <is>
          <t>SO63990</t>
        </is>
      </c>
      <c r="C1712" s="10" t="inlineStr">
        <is>
          <t>C10446</t>
        </is>
      </c>
      <c r="D1712" s="10">
        <f>INDEX(Customers!$B:$B,MATCH(C1712,Customers!$A:$A,0))</f>
        <v/>
      </c>
      <c r="E1712" s="10">
        <f>INDEX(Customers!$D:$D,MATCH(C1712,Customers!$A:$A,0))</f>
        <v/>
      </c>
      <c r="F1712" s="10" t="inlineStr">
        <is>
          <t>Own trucks</t>
        </is>
      </c>
      <c r="G1712" s="5" t="n">
        <v>46294</v>
      </c>
      <c r="H1712" s="5" t="n">
        <v>46295</v>
      </c>
      <c r="I1712" s="5" t="n">
        <v>46295</v>
      </c>
      <c r="J1712" s="10" t="inlineStr">
        <is>
          <t>15:20</t>
        </is>
      </c>
      <c r="K1712" s="10" t="inlineStr">
        <is>
          <t>On time</t>
        </is>
      </c>
      <c r="L1712" s="6" t="n">
        <v>0</v>
      </c>
      <c r="M1712" s="10" t="n"/>
      <c r="N1712" s="6" t="n">
        <v>22</v>
      </c>
      <c r="O1712" s="6" t="n">
        <v>2090</v>
      </c>
      <c r="P1712" s="6" t="n">
        <v>1</v>
      </c>
      <c r="Q1712" s="6">
        <f>IF(OR(K1712="On time",K1712="Late",K1712="Very late"),1,0)</f>
        <v/>
      </c>
    </row>
    <row r="1713">
      <c r="A1713" s="10" t="inlineStr">
        <is>
          <t>DN319960</t>
        </is>
      </c>
      <c r="B1713" s="10" t="inlineStr">
        <is>
          <t>SO63991</t>
        </is>
      </c>
      <c r="C1713" s="10" t="inlineStr">
        <is>
          <t>C10515</t>
        </is>
      </c>
      <c r="D1713" s="10">
        <f>INDEX(Customers!$B:$B,MATCH(C1713,Customers!$A:$A,0))</f>
        <v/>
      </c>
      <c r="E1713" s="10">
        <f>INDEX(Customers!$D:$D,MATCH(C1713,Customers!$A:$A,0))</f>
        <v/>
      </c>
      <c r="F1713" s="10" t="inlineStr">
        <is>
          <t>Same-day courier</t>
        </is>
      </c>
      <c r="G1713" s="5" t="n">
        <v>46294</v>
      </c>
      <c r="H1713" s="5" t="n">
        <v>46295</v>
      </c>
      <c r="I1713" s="5" t="n">
        <v>46295</v>
      </c>
      <c r="J1713" s="10" t="inlineStr">
        <is>
          <t>12:20</t>
        </is>
      </c>
      <c r="K1713" s="10" t="inlineStr">
        <is>
          <t>On time</t>
        </is>
      </c>
      <c r="L1713" s="6" t="n">
        <v>0</v>
      </c>
      <c r="M1713" s="10" t="n"/>
      <c r="N1713" s="6" t="n">
        <v>38</v>
      </c>
      <c r="O1713" s="6" t="n">
        <v>3230</v>
      </c>
      <c r="P1713" s="6" t="n">
        <v>1</v>
      </c>
      <c r="Q1713" s="6">
        <f>IF(OR(K1713="On time",K1713="Late",K1713="Very late"),1,0)</f>
        <v/>
      </c>
    </row>
    <row r="1714">
      <c r="A1714" s="10" t="inlineStr">
        <is>
          <t>DN319961</t>
        </is>
      </c>
      <c r="B1714" s="10" t="inlineStr">
        <is>
          <t>SO63992</t>
        </is>
      </c>
      <c r="C1714" s="10" t="inlineStr">
        <is>
          <t>C10522</t>
        </is>
      </c>
      <c r="D1714" s="10">
        <f>INDEX(Customers!$B:$B,MATCH(C1714,Customers!$A:$A,0))</f>
        <v/>
      </c>
      <c r="E1714" s="10">
        <f>INDEX(Customers!$D:$D,MATCH(C1714,Customers!$A:$A,0))</f>
        <v/>
      </c>
      <c r="F1714" s="10" t="inlineStr">
        <is>
          <t>Own trucks</t>
        </is>
      </c>
      <c r="G1714" s="5" t="n">
        <v>46294</v>
      </c>
      <c r="H1714" s="5" t="n">
        <v>46295</v>
      </c>
      <c r="I1714" s="5" t="n">
        <v>46295</v>
      </c>
      <c r="J1714" s="10" t="inlineStr">
        <is>
          <t>16:20</t>
        </is>
      </c>
      <c r="K1714" s="10" t="inlineStr">
        <is>
          <t>On time</t>
        </is>
      </c>
      <c r="L1714" s="6" t="n">
        <v>0</v>
      </c>
      <c r="M1714" s="10" t="n"/>
      <c r="N1714" s="6" t="n">
        <v>34</v>
      </c>
      <c r="O1714" s="6" t="n">
        <v>2380</v>
      </c>
      <c r="P1714" s="6" t="n">
        <v>1</v>
      </c>
      <c r="Q1714" s="6">
        <f>IF(OR(K1714="On time",K1714="Late",K1714="Very late"),1,0)</f>
        <v/>
      </c>
    </row>
    <row r="1715">
      <c r="A1715" s="10" t="inlineStr">
        <is>
          <t>DN319962</t>
        </is>
      </c>
      <c r="B1715" s="10" t="inlineStr">
        <is>
          <t>SO63993</t>
        </is>
      </c>
      <c r="C1715" s="10" t="inlineStr">
        <is>
          <t>C10536</t>
        </is>
      </c>
      <c r="D1715" s="10">
        <f>INDEX(Customers!$B:$B,MATCH(C1715,Customers!$A:$A,0))</f>
        <v/>
      </c>
      <c r="E1715" s="10">
        <f>INDEX(Customers!$D:$D,MATCH(C1715,Customers!$A:$A,0))</f>
        <v/>
      </c>
      <c r="F1715" s="10" t="inlineStr">
        <is>
          <t>Own trucks</t>
        </is>
      </c>
      <c r="G1715" s="5" t="n">
        <v>46294</v>
      </c>
      <c r="H1715" s="5" t="n">
        <v>46295</v>
      </c>
      <c r="I1715" s="5" t="n">
        <v>46295</v>
      </c>
      <c r="J1715" s="10" t="inlineStr">
        <is>
          <t>09:00</t>
        </is>
      </c>
      <c r="K1715" s="10" t="inlineStr">
        <is>
          <t>On time</t>
        </is>
      </c>
      <c r="L1715" s="6" t="n">
        <v>0</v>
      </c>
      <c r="M1715" s="10" t="n"/>
      <c r="N1715" s="6" t="n">
        <v>15</v>
      </c>
      <c r="O1715" s="6" t="n">
        <v>1725</v>
      </c>
      <c r="P1715" s="6" t="n">
        <v>1</v>
      </c>
      <c r="Q1715" s="6">
        <f>IF(OR(K1715="On time",K1715="Late",K1715="Very late"),1,0)</f>
        <v/>
      </c>
    </row>
    <row r="1716">
      <c r="A1716" s="10" t="inlineStr">
        <is>
          <t>DN319963</t>
        </is>
      </c>
      <c r="B1716" s="10" t="inlineStr">
        <is>
          <t>SO63995</t>
        </is>
      </c>
      <c r="C1716" s="10" t="inlineStr">
        <is>
          <t>C10551</t>
        </is>
      </c>
      <c r="D1716" s="10">
        <f>INDEX(Customers!$B:$B,MATCH(C1716,Customers!$A:$A,0))</f>
        <v/>
      </c>
      <c r="E1716" s="10">
        <f>INDEX(Customers!$D:$D,MATCH(C1716,Customers!$A:$A,0))</f>
        <v/>
      </c>
      <c r="F1716" s="10" t="inlineStr">
        <is>
          <t>Own trucks</t>
        </is>
      </c>
      <c r="G1716" s="5" t="n">
        <v>46294</v>
      </c>
      <c r="H1716" s="5" t="n">
        <v>46295</v>
      </c>
      <c r="I1716" s="5" t="n">
        <v>46295</v>
      </c>
      <c r="J1716" s="10" t="inlineStr">
        <is>
          <t>12:50</t>
        </is>
      </c>
      <c r="K1716" s="10" t="inlineStr">
        <is>
          <t>On time</t>
        </is>
      </c>
      <c r="L1716" s="6" t="n">
        <v>0</v>
      </c>
      <c r="M1716" s="10" t="n"/>
      <c r="N1716" s="6" t="n">
        <v>33</v>
      </c>
      <c r="O1716" s="6" t="n">
        <v>3366</v>
      </c>
      <c r="P1716" s="6" t="n">
        <v>1</v>
      </c>
      <c r="Q1716" s="6">
        <f>IF(OR(K1716="On time",K1716="Late",K1716="Very late"),1,0)</f>
        <v/>
      </c>
    </row>
    <row r="1717">
      <c r="A1717" s="10" t="inlineStr">
        <is>
          <t>DN319964</t>
        </is>
      </c>
      <c r="B1717" s="10" t="inlineStr">
        <is>
          <t>SO63996</t>
        </is>
      </c>
      <c r="C1717" s="10" t="inlineStr">
        <is>
          <t>C10589</t>
        </is>
      </c>
      <c r="D1717" s="10">
        <f>INDEX(Customers!$B:$B,MATCH(C1717,Customers!$A:$A,0))</f>
        <v/>
      </c>
      <c r="E1717" s="10">
        <f>INDEX(Customers!$D:$D,MATCH(C1717,Customers!$A:$A,0))</f>
        <v/>
      </c>
      <c r="F1717" s="10" t="inlineStr">
        <is>
          <t>Own trucks</t>
        </is>
      </c>
      <c r="G1717" s="5" t="n">
        <v>46294</v>
      </c>
      <c r="H1717" s="5" t="n">
        <v>46295</v>
      </c>
      <c r="I1717" s="5" t="n">
        <v>46295</v>
      </c>
      <c r="J1717" s="10" t="inlineStr">
        <is>
          <t>15:30</t>
        </is>
      </c>
      <c r="K1717" s="10" t="inlineStr">
        <is>
          <t>On time</t>
        </is>
      </c>
      <c r="L1717" s="6" t="n">
        <v>0</v>
      </c>
      <c r="M1717" s="10" t="n"/>
      <c r="N1717" s="6" t="n">
        <v>20</v>
      </c>
      <c r="O1717" s="6" t="n">
        <v>1340</v>
      </c>
      <c r="P1717" s="6" t="n">
        <v>1</v>
      </c>
      <c r="Q1717" s="6">
        <f>IF(OR(K1717="On time",K1717="Late",K1717="Very late"),1,0)</f>
        <v/>
      </c>
    </row>
    <row r="1718">
      <c r="A1718" s="10" t="inlineStr">
        <is>
          <t>DN319965</t>
        </is>
      </c>
      <c r="B1718" s="10" t="inlineStr">
        <is>
          <t>SO63997</t>
        </is>
      </c>
      <c r="C1718" s="10" t="inlineStr">
        <is>
          <t>C10622</t>
        </is>
      </c>
      <c r="D1718" s="10">
        <f>INDEX(Customers!$B:$B,MATCH(C1718,Customers!$A:$A,0))</f>
        <v/>
      </c>
      <c r="E1718" s="10">
        <f>INDEX(Customers!$D:$D,MATCH(C1718,Customers!$A:$A,0))</f>
        <v/>
      </c>
      <c r="F1718" s="10" t="inlineStr">
        <is>
          <t>Own trucks</t>
        </is>
      </c>
      <c r="G1718" s="5" t="n">
        <v>46294</v>
      </c>
      <c r="H1718" s="5" t="n">
        <v>46295</v>
      </c>
      <c r="I1718" s="5" t="n">
        <v>46295</v>
      </c>
      <c r="J1718" s="10" t="inlineStr">
        <is>
          <t>09:20</t>
        </is>
      </c>
      <c r="K1718" s="10" t="inlineStr">
        <is>
          <t>On time</t>
        </is>
      </c>
      <c r="L1718" s="6" t="n">
        <v>0</v>
      </c>
      <c r="M1718" s="10" t="n"/>
      <c r="N1718" s="6" t="n">
        <v>8</v>
      </c>
      <c r="O1718" s="6" t="n">
        <v>896</v>
      </c>
      <c r="P1718" s="6" t="n">
        <v>1</v>
      </c>
      <c r="Q1718" s="6">
        <f>IF(OR(K1718="On time",K1718="Late",K1718="Very late"),1,0)</f>
        <v/>
      </c>
    </row>
    <row r="1719">
      <c r="A1719" s="10" t="inlineStr">
        <is>
          <t>DN319966</t>
        </is>
      </c>
      <c r="B1719" s="10" t="inlineStr">
        <is>
          <t>SO63998</t>
        </is>
      </c>
      <c r="C1719" s="10" t="inlineStr">
        <is>
          <t>C10676</t>
        </is>
      </c>
      <c r="D1719" s="10">
        <f>INDEX(Customers!$B:$B,MATCH(C1719,Customers!$A:$A,0))</f>
        <v/>
      </c>
      <c r="E1719" s="10">
        <f>INDEX(Customers!$D:$D,MATCH(C1719,Customers!$A:$A,0))</f>
        <v/>
      </c>
      <c r="F1719" s="10" t="inlineStr">
        <is>
          <t>Own trucks</t>
        </is>
      </c>
      <c r="G1719" s="5" t="n">
        <v>46294</v>
      </c>
      <c r="H1719" s="5" t="n">
        <v>46295</v>
      </c>
      <c r="I1719" s="5" t="n">
        <v>46295</v>
      </c>
      <c r="J1719" s="10" t="inlineStr">
        <is>
          <t>11:30</t>
        </is>
      </c>
      <c r="K1719" s="10" t="inlineStr">
        <is>
          <t>On time</t>
        </is>
      </c>
      <c r="L1719" s="6" t="n">
        <v>0</v>
      </c>
      <c r="M1719" s="10" t="n"/>
      <c r="N1719" s="6" t="n">
        <v>28</v>
      </c>
      <c r="O1719" s="6" t="n">
        <v>2772</v>
      </c>
      <c r="P1719" s="6" t="n">
        <v>1</v>
      </c>
      <c r="Q1719" s="6">
        <f>IF(OR(K1719="On time",K1719="Late",K1719="Very late"),1,0)</f>
        <v/>
      </c>
    </row>
    <row r="1720">
      <c r="A1720" s="10" t="inlineStr">
        <is>
          <t>DN319967</t>
        </is>
      </c>
      <c r="B1720" s="10" t="inlineStr">
        <is>
          <t>SO63999</t>
        </is>
      </c>
      <c r="C1720" s="10" t="inlineStr">
        <is>
          <t>C10684</t>
        </is>
      </c>
      <c r="D1720" s="10">
        <f>INDEX(Customers!$B:$B,MATCH(C1720,Customers!$A:$A,0))</f>
        <v/>
      </c>
      <c r="E1720" s="10">
        <f>INDEX(Customers!$D:$D,MATCH(C1720,Customers!$A:$A,0))</f>
        <v/>
      </c>
      <c r="F1720" s="10" t="inlineStr">
        <is>
          <t>Own trucks</t>
        </is>
      </c>
      <c r="G1720" s="5" t="n">
        <v>46294</v>
      </c>
      <c r="H1720" s="5" t="n">
        <v>46295</v>
      </c>
      <c r="I1720" s="5" t="n">
        <v>46295</v>
      </c>
      <c r="J1720" s="10" t="inlineStr">
        <is>
          <t>12:10</t>
        </is>
      </c>
      <c r="K1720" s="10" t="inlineStr">
        <is>
          <t>On time</t>
        </is>
      </c>
      <c r="L1720" s="6" t="n">
        <v>0</v>
      </c>
      <c r="M1720" s="10" t="n"/>
      <c r="N1720" s="6" t="n">
        <v>13</v>
      </c>
      <c r="O1720" s="6" t="n">
        <v>1690</v>
      </c>
      <c r="P1720" s="6" t="n">
        <v>1</v>
      </c>
      <c r="Q1720" s="6">
        <f>IF(OR(K1720="On time",K1720="Late",K1720="Very late"),1,0)</f>
        <v/>
      </c>
    </row>
    <row r="1721">
      <c r="A1721" s="10" t="inlineStr">
        <is>
          <t>DN319968</t>
        </is>
      </c>
      <c r="B1721" s="10" t="inlineStr">
        <is>
          <t>SO64000</t>
        </is>
      </c>
      <c r="C1721" s="10" t="inlineStr">
        <is>
          <t>C10689</t>
        </is>
      </c>
      <c r="D1721" s="10">
        <f>INDEX(Customers!$B:$B,MATCH(C1721,Customers!$A:$A,0))</f>
        <v/>
      </c>
      <c r="E1721" s="10">
        <f>INDEX(Customers!$D:$D,MATCH(C1721,Customers!$A:$A,0))</f>
        <v/>
      </c>
      <c r="F1721" s="10" t="inlineStr">
        <is>
          <t>Own trucks</t>
        </is>
      </c>
      <c r="G1721" s="5" t="n">
        <v>46294</v>
      </c>
      <c r="H1721" s="5" t="n">
        <v>46295</v>
      </c>
      <c r="I1721" s="5" t="n">
        <v>46295</v>
      </c>
      <c r="J1721" s="10" t="inlineStr">
        <is>
          <t>16:50</t>
        </is>
      </c>
      <c r="K1721" s="10" t="inlineStr">
        <is>
          <t>On time</t>
        </is>
      </c>
      <c r="L1721" s="6" t="n">
        <v>0</v>
      </c>
      <c r="M1721" s="10" t="n"/>
      <c r="N1721" s="6" t="n">
        <v>30</v>
      </c>
      <c r="O1721" s="6" t="n">
        <v>3960</v>
      </c>
      <c r="P1721" s="6" t="n">
        <v>1</v>
      </c>
      <c r="Q1721" s="6">
        <f>IF(OR(K1721="On time",K1721="Late",K1721="Very late"),1,0)</f>
        <v/>
      </c>
    </row>
    <row r="1722">
      <c r="A1722" s="10" t="inlineStr">
        <is>
          <t>DN319969</t>
        </is>
      </c>
      <c r="B1722" s="10" t="inlineStr">
        <is>
          <t>SO64001</t>
        </is>
      </c>
      <c r="C1722" s="10" t="inlineStr">
        <is>
          <t>C10796</t>
        </is>
      </c>
      <c r="D1722" s="10">
        <f>INDEX(Customers!$B:$B,MATCH(C1722,Customers!$A:$A,0))</f>
        <v/>
      </c>
      <c r="E1722" s="10">
        <f>INDEX(Customers!$D:$D,MATCH(C1722,Customers!$A:$A,0))</f>
        <v/>
      </c>
      <c r="F1722" s="10" t="inlineStr">
        <is>
          <t>Own trucks</t>
        </is>
      </c>
      <c r="G1722" s="5" t="n">
        <v>46294</v>
      </c>
      <c r="H1722" s="5" t="n">
        <v>46295</v>
      </c>
      <c r="I1722" s="5" t="n">
        <v>46295</v>
      </c>
      <c r="J1722" s="10" t="inlineStr">
        <is>
          <t>11:30</t>
        </is>
      </c>
      <c r="K1722" s="10" t="inlineStr">
        <is>
          <t>On time</t>
        </is>
      </c>
      <c r="L1722" s="6" t="n">
        <v>0</v>
      </c>
      <c r="M1722" s="10" t="n"/>
      <c r="N1722" s="6" t="n">
        <v>29</v>
      </c>
      <c r="O1722" s="6" t="n">
        <v>2146</v>
      </c>
      <c r="P1722" s="6" t="n">
        <v>1</v>
      </c>
      <c r="Q1722" s="6">
        <f>IF(OR(K1722="On time",K1722="Late",K1722="Very late"),1,0)</f>
        <v/>
      </c>
    </row>
    <row r="1723">
      <c r="A1723" s="10" t="inlineStr">
        <is>
          <t>DN319970</t>
        </is>
      </c>
      <c r="B1723" s="10" t="inlineStr">
        <is>
          <t>SO64002</t>
        </is>
      </c>
      <c r="C1723" s="10" t="inlineStr">
        <is>
          <t>C10915</t>
        </is>
      </c>
      <c r="D1723" s="10">
        <f>INDEX(Customers!$B:$B,MATCH(C1723,Customers!$A:$A,0))</f>
        <v/>
      </c>
      <c r="E1723" s="10">
        <f>INDEX(Customers!$D:$D,MATCH(C1723,Customers!$A:$A,0))</f>
        <v/>
      </c>
      <c r="F1723" s="10" t="inlineStr">
        <is>
          <t>Own trucks</t>
        </is>
      </c>
      <c r="G1723" s="5" t="n">
        <v>46294</v>
      </c>
      <c r="H1723" s="5" t="n">
        <v>46295</v>
      </c>
      <c r="I1723" s="5" t="n">
        <v>46295</v>
      </c>
      <c r="J1723" s="10" t="inlineStr">
        <is>
          <t>07:10</t>
        </is>
      </c>
      <c r="K1723" s="10" t="inlineStr">
        <is>
          <t>On time</t>
        </is>
      </c>
      <c r="L1723" s="6" t="n">
        <v>0</v>
      </c>
      <c r="M1723" s="10" t="n"/>
      <c r="N1723" s="6" t="n">
        <v>5</v>
      </c>
      <c r="O1723" s="6" t="n">
        <v>490</v>
      </c>
      <c r="P1723" s="6" t="n">
        <v>1</v>
      </c>
      <c r="Q1723" s="6">
        <f>IF(OR(K1723="On time",K1723="Late",K1723="Very late"),1,0)</f>
        <v/>
      </c>
    </row>
    <row r="1724">
      <c r="A1724" s="10" t="inlineStr">
        <is>
          <t>DN319971</t>
        </is>
      </c>
      <c r="B1724" s="10" t="inlineStr">
        <is>
          <t>SO64003</t>
        </is>
      </c>
      <c r="C1724" s="10" t="inlineStr">
        <is>
          <t>C10982</t>
        </is>
      </c>
      <c r="D1724" s="10">
        <f>INDEX(Customers!$B:$B,MATCH(C1724,Customers!$A:$A,0))</f>
        <v/>
      </c>
      <c r="E1724" s="10">
        <f>INDEX(Customers!$D:$D,MATCH(C1724,Customers!$A:$A,0))</f>
        <v/>
      </c>
      <c r="F1724" s="10" t="inlineStr">
        <is>
          <t>Own trucks</t>
        </is>
      </c>
      <c r="G1724" s="5" t="n">
        <v>46294</v>
      </c>
      <c r="H1724" s="5" t="n">
        <v>46295</v>
      </c>
      <c r="I1724" s="5" t="n">
        <v>46295</v>
      </c>
      <c r="J1724" s="10" t="inlineStr">
        <is>
          <t>12:30</t>
        </is>
      </c>
      <c r="K1724" s="10" t="inlineStr">
        <is>
          <t>On time</t>
        </is>
      </c>
      <c r="L1724" s="6" t="n">
        <v>0</v>
      </c>
      <c r="M1724" s="10" t="n"/>
      <c r="N1724" s="6" t="n">
        <v>29</v>
      </c>
      <c r="O1724" s="6" t="n">
        <v>3915</v>
      </c>
      <c r="P1724" s="6" t="n">
        <v>1</v>
      </c>
      <c r="Q1724" s="6">
        <f>IF(OR(K1724="On time",K1724="Late",K1724="Very late"),1,0)</f>
        <v/>
      </c>
    </row>
    <row r="1725">
      <c r="A1725" s="10" t="inlineStr">
        <is>
          <t>DN319972</t>
        </is>
      </c>
      <c r="B1725" s="10" t="inlineStr">
        <is>
          <t>SO64004</t>
        </is>
      </c>
      <c r="C1725" s="10" t="inlineStr">
        <is>
          <t>C11107</t>
        </is>
      </c>
      <c r="D1725" s="10">
        <f>INDEX(Customers!$B:$B,MATCH(C1725,Customers!$A:$A,0))</f>
        <v/>
      </c>
      <c r="E1725" s="10">
        <f>INDEX(Customers!$D:$D,MATCH(C1725,Customers!$A:$A,0))</f>
        <v/>
      </c>
      <c r="F1725" s="10" t="inlineStr">
        <is>
          <t>Own trucks</t>
        </is>
      </c>
      <c r="G1725" s="5" t="n">
        <v>46294</v>
      </c>
      <c r="H1725" s="5" t="n">
        <v>46295</v>
      </c>
      <c r="I1725" s="5" t="n">
        <v>46295</v>
      </c>
      <c r="J1725" s="10" t="inlineStr">
        <is>
          <t>11:40</t>
        </is>
      </c>
      <c r="K1725" s="10" t="inlineStr">
        <is>
          <t>On time</t>
        </is>
      </c>
      <c r="L1725" s="6" t="n">
        <v>0</v>
      </c>
      <c r="M1725" s="10" t="n"/>
      <c r="N1725" s="6" t="n">
        <v>25</v>
      </c>
      <c r="O1725" s="6" t="n">
        <v>1950</v>
      </c>
      <c r="P1725" s="6" t="n">
        <v>1</v>
      </c>
      <c r="Q1725" s="6">
        <f>IF(OR(K1725="On time",K1725="Late",K1725="Very late"),1,0)</f>
        <v/>
      </c>
    </row>
    <row r="1726">
      <c r="A1726" s="10" t="inlineStr">
        <is>
          <t>DN319973</t>
        </is>
      </c>
      <c r="B1726" s="10" t="inlineStr">
        <is>
          <t>SO64005</t>
        </is>
      </c>
      <c r="C1726" s="10" t="inlineStr">
        <is>
          <t>C11186</t>
        </is>
      </c>
      <c r="D1726" s="10">
        <f>INDEX(Customers!$B:$B,MATCH(C1726,Customers!$A:$A,0))</f>
        <v/>
      </c>
      <c r="E1726" s="10">
        <f>INDEX(Customers!$D:$D,MATCH(C1726,Customers!$A:$A,0))</f>
        <v/>
      </c>
      <c r="F1726" s="10" t="inlineStr">
        <is>
          <t>Own trucks</t>
        </is>
      </c>
      <c r="G1726" s="5" t="n">
        <v>46294</v>
      </c>
      <c r="H1726" s="5" t="n">
        <v>46295</v>
      </c>
      <c r="I1726" s="5" t="n">
        <v>46295</v>
      </c>
      <c r="J1726" s="10" t="inlineStr">
        <is>
          <t>12:40</t>
        </is>
      </c>
      <c r="K1726" s="10" t="inlineStr">
        <is>
          <t>On time</t>
        </is>
      </c>
      <c r="L1726" s="6" t="n">
        <v>0</v>
      </c>
      <c r="M1726" s="10" t="n"/>
      <c r="N1726" s="6" t="n">
        <v>10</v>
      </c>
      <c r="O1726" s="6" t="n">
        <v>1350</v>
      </c>
      <c r="P1726" s="6" t="n">
        <v>1</v>
      </c>
      <c r="Q1726" s="6">
        <f>IF(OR(K1726="On time",K1726="Late",K1726="Very late"),1,0)</f>
        <v/>
      </c>
    </row>
    <row r="1727">
      <c r="A1727" s="10" t="inlineStr">
        <is>
          <t>DN319974</t>
        </is>
      </c>
      <c r="B1727" s="10" t="inlineStr">
        <is>
          <t>SO64006</t>
        </is>
      </c>
      <c r="C1727" s="10" t="inlineStr">
        <is>
          <t>C11247</t>
        </is>
      </c>
      <c r="D1727" s="10">
        <f>INDEX(Customers!$B:$B,MATCH(C1727,Customers!$A:$A,0))</f>
        <v/>
      </c>
      <c r="E1727" s="10">
        <f>INDEX(Customers!$D:$D,MATCH(C1727,Customers!$A:$A,0))</f>
        <v/>
      </c>
      <c r="F1727" s="10" t="inlineStr">
        <is>
          <t>Own trucks</t>
        </is>
      </c>
      <c r="G1727" s="5" t="n">
        <v>46294</v>
      </c>
      <c r="H1727" s="5" t="n">
        <v>46295</v>
      </c>
      <c r="I1727" s="5" t="n">
        <v>46295</v>
      </c>
      <c r="J1727" s="10" t="inlineStr">
        <is>
          <t>12:00</t>
        </is>
      </c>
      <c r="K1727" s="10" t="inlineStr">
        <is>
          <t>On time</t>
        </is>
      </c>
      <c r="L1727" s="6" t="n">
        <v>0</v>
      </c>
      <c r="M1727" s="10" t="n"/>
      <c r="N1727" s="6" t="n">
        <v>20</v>
      </c>
      <c r="O1727" s="6" t="n">
        <v>2080</v>
      </c>
      <c r="P1727" s="6" t="n">
        <v>1</v>
      </c>
      <c r="Q1727" s="6">
        <f>IF(OR(K1727="On time",K1727="Late",K1727="Very late"),1,0)</f>
        <v/>
      </c>
    </row>
    <row r="1728">
      <c r="A1728" s="10" t="inlineStr">
        <is>
          <t>DN319975</t>
        </is>
      </c>
      <c r="B1728" s="10" t="inlineStr">
        <is>
          <t>SO64007</t>
        </is>
      </c>
      <c r="C1728" s="10" t="inlineStr">
        <is>
          <t>C11264</t>
        </is>
      </c>
      <c r="D1728" s="10">
        <f>INDEX(Customers!$B:$B,MATCH(C1728,Customers!$A:$A,0))</f>
        <v/>
      </c>
      <c r="E1728" s="10">
        <f>INDEX(Customers!$D:$D,MATCH(C1728,Customers!$A:$A,0))</f>
        <v/>
      </c>
      <c r="F1728" s="10" t="inlineStr">
        <is>
          <t>Own trucks</t>
        </is>
      </c>
      <c r="G1728" s="5" t="n">
        <v>46294</v>
      </c>
      <c r="H1728" s="5" t="n">
        <v>46295</v>
      </c>
      <c r="I1728" s="5" t="n">
        <v>46295</v>
      </c>
      <c r="J1728" s="10" t="inlineStr">
        <is>
          <t>16:30</t>
        </is>
      </c>
      <c r="K1728" s="10" t="inlineStr">
        <is>
          <t>On time</t>
        </is>
      </c>
      <c r="L1728" s="6" t="n">
        <v>0</v>
      </c>
      <c r="M1728" s="10" t="n"/>
      <c r="N1728" s="6" t="n">
        <v>31</v>
      </c>
      <c r="O1728" s="6" t="n">
        <v>2573</v>
      </c>
      <c r="P1728" s="6" t="n">
        <v>1</v>
      </c>
      <c r="Q1728" s="6">
        <f>IF(OR(K1728="On time",K1728="Late",K1728="Very late"),1,0)</f>
        <v/>
      </c>
    </row>
    <row r="1729">
      <c r="A1729" s="10" t="inlineStr">
        <is>
          <t>DN319976</t>
        </is>
      </c>
      <c r="B1729" s="10" t="inlineStr">
        <is>
          <t>SO64008</t>
        </is>
      </c>
      <c r="C1729" s="10" t="inlineStr">
        <is>
          <t>C11314</t>
        </is>
      </c>
      <c r="D1729" s="10">
        <f>INDEX(Customers!$B:$B,MATCH(C1729,Customers!$A:$A,0))</f>
        <v/>
      </c>
      <c r="E1729" s="10">
        <f>INDEX(Customers!$D:$D,MATCH(C1729,Customers!$A:$A,0))</f>
        <v/>
      </c>
      <c r="F1729" s="10" t="inlineStr">
        <is>
          <t>Own trucks</t>
        </is>
      </c>
      <c r="G1729" s="5" t="n">
        <v>46294</v>
      </c>
      <c r="H1729" s="5" t="n">
        <v>46295</v>
      </c>
      <c r="I1729" s="5" t="n">
        <v>46295</v>
      </c>
      <c r="J1729" s="10" t="inlineStr">
        <is>
          <t>08:50</t>
        </is>
      </c>
      <c r="K1729" s="10" t="inlineStr">
        <is>
          <t>On time</t>
        </is>
      </c>
      <c r="L1729" s="6" t="n">
        <v>0</v>
      </c>
      <c r="M1729" s="10" t="n"/>
      <c r="N1729" s="6" t="n">
        <v>6</v>
      </c>
      <c r="O1729" s="6" t="n">
        <v>792</v>
      </c>
      <c r="P1729" s="6" t="n">
        <v>1</v>
      </c>
      <c r="Q1729" s="6">
        <f>IF(OR(K1729="On time",K1729="Late",K1729="Very late"),1,0)</f>
        <v/>
      </c>
    </row>
    <row r="1730">
      <c r="A1730" s="10" t="inlineStr">
        <is>
          <t>DN319977</t>
        </is>
      </c>
      <c r="B1730" s="10" t="inlineStr">
        <is>
          <t>SO64009</t>
        </is>
      </c>
      <c r="C1730" s="10" t="inlineStr">
        <is>
          <t>C11400</t>
        </is>
      </c>
      <c r="D1730" s="10">
        <f>INDEX(Customers!$B:$B,MATCH(C1730,Customers!$A:$A,0))</f>
        <v/>
      </c>
      <c r="E1730" s="10">
        <f>INDEX(Customers!$D:$D,MATCH(C1730,Customers!$A:$A,0))</f>
        <v/>
      </c>
      <c r="F1730" s="10" t="inlineStr">
        <is>
          <t>Own trucks</t>
        </is>
      </c>
      <c r="G1730" s="5" t="n">
        <v>46294</v>
      </c>
      <c r="H1730" s="5" t="n">
        <v>46295</v>
      </c>
      <c r="I1730" s="5" t="n">
        <v>46295</v>
      </c>
      <c r="J1730" s="10" t="inlineStr">
        <is>
          <t>11:40</t>
        </is>
      </c>
      <c r="K1730" s="10" t="inlineStr">
        <is>
          <t>On time</t>
        </is>
      </c>
      <c r="L1730" s="6" t="n">
        <v>0</v>
      </c>
      <c r="M1730" s="10" t="n"/>
      <c r="N1730" s="6" t="n">
        <v>28</v>
      </c>
      <c r="O1730" s="6" t="n">
        <v>3304</v>
      </c>
      <c r="P1730" s="6" t="n">
        <v>1</v>
      </c>
      <c r="Q1730" s="6">
        <f>IF(OR(K1730="On time",K1730="Late",K1730="Very late"),1,0)</f>
        <v/>
      </c>
    </row>
    <row r="1731">
      <c r="A1731" s="10" t="inlineStr">
        <is>
          <t>DN319978</t>
        </is>
      </c>
      <c r="B1731" s="10" t="inlineStr">
        <is>
          <t>SO64010</t>
        </is>
      </c>
      <c r="C1731" s="10" t="inlineStr">
        <is>
          <t>C11463</t>
        </is>
      </c>
      <c r="D1731" s="10">
        <f>INDEX(Customers!$B:$B,MATCH(C1731,Customers!$A:$A,0))</f>
        <v/>
      </c>
      <c r="E1731" s="10">
        <f>INDEX(Customers!$D:$D,MATCH(C1731,Customers!$A:$A,0))</f>
        <v/>
      </c>
      <c r="F1731" s="10" t="inlineStr">
        <is>
          <t>Own trucks</t>
        </is>
      </c>
      <c r="G1731" s="5" t="n">
        <v>46294</v>
      </c>
      <c r="H1731" s="5" t="n">
        <v>46295</v>
      </c>
      <c r="I1731" s="5" t="n">
        <v>46295</v>
      </c>
      <c r="J1731" s="10" t="inlineStr">
        <is>
          <t>08:40</t>
        </is>
      </c>
      <c r="K1731" s="10" t="inlineStr">
        <is>
          <t>On time</t>
        </is>
      </c>
      <c r="L1731" s="6" t="n">
        <v>0</v>
      </c>
      <c r="M1731" s="10" t="n"/>
      <c r="N1731" s="6" t="n">
        <v>28</v>
      </c>
      <c r="O1731" s="6" t="n">
        <v>1876</v>
      </c>
      <c r="P1731" s="6" t="n">
        <v>1</v>
      </c>
      <c r="Q1731" s="6">
        <f>IF(OR(K1731="On time",K1731="Late",K1731="Very late"),1,0)</f>
        <v/>
      </c>
    </row>
    <row r="1732">
      <c r="A1732" s="10" t="inlineStr">
        <is>
          <t>DN319979</t>
        </is>
      </c>
      <c r="B1732" s="10" t="inlineStr">
        <is>
          <t>SO64012</t>
        </is>
      </c>
      <c r="C1732" s="10" t="inlineStr">
        <is>
          <t>C11518</t>
        </is>
      </c>
      <c r="D1732" s="10">
        <f>INDEX(Customers!$B:$B,MATCH(C1732,Customers!$A:$A,0))</f>
        <v/>
      </c>
      <c r="E1732" s="10">
        <f>INDEX(Customers!$D:$D,MATCH(C1732,Customers!$A:$A,0))</f>
        <v/>
      </c>
      <c r="F1732" s="10" t="inlineStr">
        <is>
          <t>Own trucks</t>
        </is>
      </c>
      <c r="G1732" s="5" t="n">
        <v>46294</v>
      </c>
      <c r="H1732" s="5" t="n">
        <v>46295</v>
      </c>
      <c r="I1732" s="5" t="n">
        <v>46295</v>
      </c>
      <c r="J1732" s="10" t="inlineStr">
        <is>
          <t>15:40</t>
        </is>
      </c>
      <c r="K1732" s="10" t="inlineStr">
        <is>
          <t>On time</t>
        </is>
      </c>
      <c r="L1732" s="6" t="n">
        <v>0</v>
      </c>
      <c r="M1732" s="10" t="n"/>
      <c r="N1732" s="6" t="n">
        <v>19</v>
      </c>
      <c r="O1732" s="6" t="n">
        <v>1767</v>
      </c>
      <c r="P1732" s="6" t="n">
        <v>1</v>
      </c>
      <c r="Q1732" s="6">
        <f>IF(OR(K1732="On time",K1732="Late",K1732="Very late"),1,0)</f>
        <v/>
      </c>
    </row>
    <row r="1733">
      <c r="A1733" s="10" t="inlineStr">
        <is>
          <t>DN319980</t>
        </is>
      </c>
      <c r="B1733" s="10" t="inlineStr">
        <is>
          <t>SO64013</t>
        </is>
      </c>
      <c r="C1733" s="10" t="inlineStr">
        <is>
          <t>C11579</t>
        </is>
      </c>
      <c r="D1733" s="10">
        <f>INDEX(Customers!$B:$B,MATCH(C1733,Customers!$A:$A,0))</f>
        <v/>
      </c>
      <c r="E1733" s="10">
        <f>INDEX(Customers!$D:$D,MATCH(C1733,Customers!$A:$A,0))</f>
        <v/>
      </c>
      <c r="F1733" s="10" t="inlineStr">
        <is>
          <t>Own trucks</t>
        </is>
      </c>
      <c r="G1733" s="5" t="n">
        <v>46294</v>
      </c>
      <c r="H1733" s="5" t="n">
        <v>46295</v>
      </c>
      <c r="I1733" s="5" t="n">
        <v>46295</v>
      </c>
      <c r="J1733" s="10" t="inlineStr">
        <is>
          <t>10:10</t>
        </is>
      </c>
      <c r="K1733" s="10" t="inlineStr">
        <is>
          <t>On time</t>
        </is>
      </c>
      <c r="L1733" s="6" t="n">
        <v>0</v>
      </c>
      <c r="M1733" s="10" t="n"/>
      <c r="N1733" s="6" t="n">
        <v>6</v>
      </c>
      <c r="O1733" s="6" t="n">
        <v>540</v>
      </c>
      <c r="P1733" s="6" t="n">
        <v>0</v>
      </c>
      <c r="Q1733" s="6">
        <f>IF(OR(K1733="On time",K1733="Late",K1733="Very late"),1,0)</f>
        <v/>
      </c>
    </row>
    <row r="1734">
      <c r="A1734" s="10" t="inlineStr">
        <is>
          <t>DN319981</t>
        </is>
      </c>
      <c r="B1734" s="10" t="inlineStr">
        <is>
          <t>SO64014</t>
        </is>
      </c>
      <c r="C1734" s="10" t="inlineStr">
        <is>
          <t>C11616</t>
        </is>
      </c>
      <c r="D1734" s="10">
        <f>INDEX(Customers!$B:$B,MATCH(C1734,Customers!$A:$A,0))</f>
        <v/>
      </c>
      <c r="E1734" s="10">
        <f>INDEX(Customers!$D:$D,MATCH(C1734,Customers!$A:$A,0))</f>
        <v/>
      </c>
      <c r="F1734" s="10" t="inlineStr">
        <is>
          <t>Own trucks</t>
        </is>
      </c>
      <c r="G1734" s="5" t="n">
        <v>46294</v>
      </c>
      <c r="H1734" s="5" t="n">
        <v>46295</v>
      </c>
      <c r="I1734" s="5" t="n">
        <v>46295</v>
      </c>
      <c r="J1734" s="10" t="inlineStr">
        <is>
          <t>11:30</t>
        </is>
      </c>
      <c r="K1734" s="10" t="inlineStr">
        <is>
          <t>On time</t>
        </is>
      </c>
      <c r="L1734" s="6" t="n">
        <v>0</v>
      </c>
      <c r="M1734" s="10" t="n"/>
      <c r="N1734" s="6" t="n">
        <v>11</v>
      </c>
      <c r="O1734" s="6" t="n">
        <v>1199</v>
      </c>
      <c r="P1734" s="6" t="n">
        <v>1</v>
      </c>
      <c r="Q1734" s="6">
        <f>IF(OR(K1734="On time",K1734="Late",K1734="Very late"),1,0)</f>
        <v/>
      </c>
    </row>
    <row r="1735">
      <c r="A1735" s="10" t="inlineStr">
        <is>
          <t>DN319982</t>
        </is>
      </c>
      <c r="B1735" s="10" t="inlineStr">
        <is>
          <t>SO64016</t>
        </is>
      </c>
      <c r="C1735" s="10" t="inlineStr">
        <is>
          <t>C11666</t>
        </is>
      </c>
      <c r="D1735" s="10">
        <f>INDEX(Customers!$B:$B,MATCH(C1735,Customers!$A:$A,0))</f>
        <v/>
      </c>
      <c r="E1735" s="10">
        <f>INDEX(Customers!$D:$D,MATCH(C1735,Customers!$A:$A,0))</f>
        <v/>
      </c>
      <c r="F1735" s="10" t="inlineStr">
        <is>
          <t>Own trucks</t>
        </is>
      </c>
      <c r="G1735" s="5" t="n">
        <v>46294</v>
      </c>
      <c r="H1735" s="5" t="n">
        <v>46295</v>
      </c>
      <c r="I1735" s="5" t="n">
        <v>46295</v>
      </c>
      <c r="J1735" s="10" t="inlineStr">
        <is>
          <t>08:40</t>
        </is>
      </c>
      <c r="K1735" s="10" t="inlineStr">
        <is>
          <t>On time</t>
        </is>
      </c>
      <c r="L1735" s="6" t="n">
        <v>0</v>
      </c>
      <c r="M1735" s="10" t="n"/>
      <c r="N1735" s="6" t="n">
        <v>40</v>
      </c>
      <c r="O1735" s="6" t="n">
        <v>2920</v>
      </c>
      <c r="P1735" s="6" t="n">
        <v>1</v>
      </c>
      <c r="Q1735" s="6">
        <f>IF(OR(K1735="On time",K1735="Late",K1735="Very late"),1,0)</f>
        <v/>
      </c>
    </row>
    <row r="1736">
      <c r="A1736" s="10" t="inlineStr">
        <is>
          <t>DN319983</t>
        </is>
      </c>
      <c r="B1736" s="10" t="inlineStr">
        <is>
          <t>SO64017</t>
        </is>
      </c>
      <c r="C1736" s="10" t="inlineStr">
        <is>
          <t>C11718</t>
        </is>
      </c>
      <c r="D1736" s="10">
        <f>INDEX(Customers!$B:$B,MATCH(C1736,Customers!$A:$A,0))</f>
        <v/>
      </c>
      <c r="E1736" s="10">
        <f>INDEX(Customers!$D:$D,MATCH(C1736,Customers!$A:$A,0))</f>
        <v/>
      </c>
      <c r="F1736" s="10" t="inlineStr">
        <is>
          <t>Own trucks</t>
        </is>
      </c>
      <c r="G1736" s="5" t="n">
        <v>46294</v>
      </c>
      <c r="H1736" s="5" t="n">
        <v>46295</v>
      </c>
      <c r="I1736" s="5" t="n">
        <v>46295</v>
      </c>
      <c r="J1736" s="10" t="inlineStr">
        <is>
          <t>14:40</t>
        </is>
      </c>
      <c r="K1736" s="10" t="inlineStr">
        <is>
          <t>On time</t>
        </is>
      </c>
      <c r="L1736" s="6" t="n">
        <v>0</v>
      </c>
      <c r="M1736" s="10" t="n"/>
      <c r="N1736" s="6" t="n">
        <v>30</v>
      </c>
      <c r="O1736" s="6" t="n">
        <v>3150</v>
      </c>
      <c r="P1736" s="6" t="n">
        <v>1</v>
      </c>
      <c r="Q1736" s="6">
        <f>IF(OR(K1736="On time",K1736="Late",K1736="Very late"),1,0)</f>
        <v/>
      </c>
    </row>
    <row r="1737">
      <c r="A1737" s="10" t="inlineStr">
        <is>
          <t>DN319984</t>
        </is>
      </c>
      <c r="B1737" s="10" t="inlineStr">
        <is>
          <t>SO64018</t>
        </is>
      </c>
      <c r="C1737" s="10" t="inlineStr">
        <is>
          <t>C11790</t>
        </is>
      </c>
      <c r="D1737" s="10">
        <f>INDEX(Customers!$B:$B,MATCH(C1737,Customers!$A:$A,0))</f>
        <v/>
      </c>
      <c r="E1737" s="10">
        <f>INDEX(Customers!$D:$D,MATCH(C1737,Customers!$A:$A,0))</f>
        <v/>
      </c>
      <c r="F1737" s="10" t="inlineStr">
        <is>
          <t>Carrier A</t>
        </is>
      </c>
      <c r="G1737" s="5" t="n">
        <v>46294</v>
      </c>
      <c r="H1737" s="5" t="n">
        <v>46295</v>
      </c>
      <c r="I1737" s="5" t="n">
        <v>46296</v>
      </c>
      <c r="J1737" s="10" t="inlineStr">
        <is>
          <t>15:20</t>
        </is>
      </c>
      <c r="K1737" s="10" t="inlineStr">
        <is>
          <t>Late</t>
        </is>
      </c>
      <c r="L1737" s="6" t="n">
        <v>1</v>
      </c>
      <c r="M1737" s="10" t="inlineStr">
        <is>
          <t>Wrong address</t>
        </is>
      </c>
      <c r="N1737" s="6" t="n">
        <v>27</v>
      </c>
      <c r="O1737" s="6" t="n">
        <v>1620</v>
      </c>
      <c r="P1737" s="6" t="n">
        <v>1</v>
      </c>
      <c r="Q1737" s="6">
        <f>IF(OR(K1737="On time",K1737="Late",K1737="Very late"),1,0)</f>
        <v/>
      </c>
    </row>
    <row r="1738">
      <c r="A1738" s="10" t="inlineStr">
        <is>
          <t>DN319985</t>
        </is>
      </c>
      <c r="B1738" s="10" t="inlineStr">
        <is>
          <t>SO64019</t>
        </is>
      </c>
      <c r="C1738" s="10" t="inlineStr">
        <is>
          <t>C11798</t>
        </is>
      </c>
      <c r="D1738" s="10">
        <f>INDEX(Customers!$B:$B,MATCH(C1738,Customers!$A:$A,0))</f>
        <v/>
      </c>
      <c r="E1738" s="10">
        <f>INDEX(Customers!$D:$D,MATCH(C1738,Customers!$A:$A,0))</f>
        <v/>
      </c>
      <c r="F1738" s="10" t="inlineStr">
        <is>
          <t>Carrier A</t>
        </is>
      </c>
      <c r="G1738" s="5" t="n">
        <v>46294</v>
      </c>
      <c r="H1738" s="5" t="n">
        <v>46295</v>
      </c>
      <c r="I1738" s="5" t="n">
        <v>46295</v>
      </c>
      <c r="J1738" s="10" t="inlineStr">
        <is>
          <t>15:00</t>
        </is>
      </c>
      <c r="K1738" s="10" t="inlineStr">
        <is>
          <t>On time</t>
        </is>
      </c>
      <c r="L1738" s="6" t="n">
        <v>0</v>
      </c>
      <c r="M1738" s="10" t="n"/>
      <c r="N1738" s="6" t="n">
        <v>35</v>
      </c>
      <c r="O1738" s="6" t="n">
        <v>4375</v>
      </c>
      <c r="P1738" s="6" t="n">
        <v>1</v>
      </c>
      <c r="Q1738" s="6">
        <f>IF(OR(K1738="On time",K1738="Late",K1738="Very late"),1,0)</f>
        <v/>
      </c>
    </row>
    <row r="1739">
      <c r="A1739" s="10" t="inlineStr">
        <is>
          <t>DN319986</t>
        </is>
      </c>
      <c r="B1739" s="10" t="inlineStr">
        <is>
          <t>SO64021</t>
        </is>
      </c>
      <c r="C1739" s="10" t="inlineStr">
        <is>
          <t>C11866</t>
        </is>
      </c>
      <c r="D1739" s="10">
        <f>INDEX(Customers!$B:$B,MATCH(C1739,Customers!$A:$A,0))</f>
        <v/>
      </c>
      <c r="E1739" s="10">
        <f>INDEX(Customers!$D:$D,MATCH(C1739,Customers!$A:$A,0))</f>
        <v/>
      </c>
      <c r="F1739" s="10" t="inlineStr">
        <is>
          <t>Carrier A</t>
        </is>
      </c>
      <c r="G1739" s="5" t="n">
        <v>46294</v>
      </c>
      <c r="H1739" s="5" t="n">
        <v>46295</v>
      </c>
      <c r="I1739" s="5" t="n">
        <v>46295</v>
      </c>
      <c r="J1739" s="10" t="inlineStr">
        <is>
          <t>12:00</t>
        </is>
      </c>
      <c r="K1739" s="10" t="inlineStr">
        <is>
          <t>On time</t>
        </is>
      </c>
      <c r="L1739" s="6" t="n">
        <v>0</v>
      </c>
      <c r="M1739" s="10" t="n"/>
      <c r="N1739" s="6" t="n">
        <v>9</v>
      </c>
      <c r="O1739" s="6" t="n">
        <v>1062</v>
      </c>
      <c r="P1739" s="6" t="n">
        <v>1</v>
      </c>
      <c r="Q1739" s="6">
        <f>IF(OR(K1739="On time",K1739="Late",K1739="Very late"),1,0)</f>
        <v/>
      </c>
    </row>
    <row r="1740">
      <c r="A1740" s="10" t="inlineStr">
        <is>
          <t>DN319987</t>
        </is>
      </c>
      <c r="B1740" s="10" t="inlineStr">
        <is>
          <t>SO64023</t>
        </is>
      </c>
      <c r="C1740" s="10" t="inlineStr">
        <is>
          <t>C11950</t>
        </is>
      </c>
      <c r="D1740" s="10">
        <f>INDEX(Customers!$B:$B,MATCH(C1740,Customers!$A:$A,0))</f>
        <v/>
      </c>
      <c r="E1740" s="10">
        <f>INDEX(Customers!$D:$D,MATCH(C1740,Customers!$A:$A,0))</f>
        <v/>
      </c>
      <c r="F1740" s="10" t="inlineStr">
        <is>
          <t>Carrier A</t>
        </is>
      </c>
      <c r="G1740" s="5" t="n">
        <v>46294</v>
      </c>
      <c r="H1740" s="5" t="n">
        <v>46295</v>
      </c>
      <c r="I1740" s="5" t="n">
        <v>46295</v>
      </c>
      <c r="J1740" s="10" t="inlineStr">
        <is>
          <t>15:00</t>
        </is>
      </c>
      <c r="K1740" s="10" t="inlineStr">
        <is>
          <t>On time</t>
        </is>
      </c>
      <c r="L1740" s="6" t="n">
        <v>0</v>
      </c>
      <c r="M1740" s="10" t="n"/>
      <c r="N1740" s="6" t="n">
        <v>32</v>
      </c>
      <c r="O1740" s="6" t="n">
        <v>3904</v>
      </c>
      <c r="P1740" s="6" t="n">
        <v>1</v>
      </c>
      <c r="Q1740" s="6">
        <f>IF(OR(K1740="On time",K1740="Late",K1740="Very late"),1,0)</f>
        <v/>
      </c>
    </row>
    <row r="1741">
      <c r="A1741" s="10" t="inlineStr">
        <is>
          <t>DN319988</t>
        </is>
      </c>
      <c r="B1741" s="10" t="inlineStr">
        <is>
          <t>SO64024</t>
        </is>
      </c>
      <c r="C1741" s="10" t="inlineStr">
        <is>
          <t>C11971</t>
        </is>
      </c>
      <c r="D1741" s="10">
        <f>INDEX(Customers!$B:$B,MATCH(C1741,Customers!$A:$A,0))</f>
        <v/>
      </c>
      <c r="E1741" s="10">
        <f>INDEX(Customers!$D:$D,MATCH(C1741,Customers!$A:$A,0))</f>
        <v/>
      </c>
      <c r="F1741" s="10" t="inlineStr">
        <is>
          <t>Own trucks</t>
        </is>
      </c>
      <c r="G1741" s="5" t="n">
        <v>46294</v>
      </c>
      <c r="H1741" s="5" t="n">
        <v>46295</v>
      </c>
      <c r="I1741" s="5" t="n">
        <v>46295</v>
      </c>
      <c r="J1741" s="10" t="inlineStr">
        <is>
          <t>09:50</t>
        </is>
      </c>
      <c r="K1741" s="10" t="inlineStr">
        <is>
          <t>On time</t>
        </is>
      </c>
      <c r="L1741" s="6" t="n">
        <v>0</v>
      </c>
      <c r="M1741" s="10" t="n"/>
      <c r="N1741" s="6" t="n">
        <v>10</v>
      </c>
      <c r="O1741" s="6" t="n">
        <v>730</v>
      </c>
      <c r="P1741" s="6" t="n">
        <v>1</v>
      </c>
      <c r="Q1741" s="6">
        <f>IF(OR(K1741="On time",K1741="Late",K1741="Very late"),1,0)</f>
        <v/>
      </c>
    </row>
    <row r="1742">
      <c r="A1742" s="10" t="inlineStr">
        <is>
          <t>DN319989</t>
        </is>
      </c>
      <c r="B1742" s="10" t="inlineStr">
        <is>
          <t>SO64026</t>
        </is>
      </c>
      <c r="C1742" s="10" t="inlineStr">
        <is>
          <t>C11982</t>
        </is>
      </c>
      <c r="D1742" s="10">
        <f>INDEX(Customers!$B:$B,MATCH(C1742,Customers!$A:$A,0))</f>
        <v/>
      </c>
      <c r="E1742" s="10">
        <f>INDEX(Customers!$D:$D,MATCH(C1742,Customers!$A:$A,0))</f>
        <v/>
      </c>
      <c r="F1742" s="10" t="inlineStr">
        <is>
          <t>Own trucks</t>
        </is>
      </c>
      <c r="G1742" s="5" t="n">
        <v>46294</v>
      </c>
      <c r="H1742" s="5" t="n">
        <v>46295</v>
      </c>
      <c r="I1742" s="5" t="n">
        <v>46295</v>
      </c>
      <c r="J1742" s="10" t="inlineStr">
        <is>
          <t>14:40</t>
        </is>
      </c>
      <c r="K1742" s="10" t="inlineStr">
        <is>
          <t>On time</t>
        </is>
      </c>
      <c r="L1742" s="6" t="n">
        <v>0</v>
      </c>
      <c r="M1742" s="10" t="n"/>
      <c r="N1742" s="6" t="n">
        <v>32</v>
      </c>
      <c r="O1742" s="6" t="n">
        <v>2912</v>
      </c>
      <c r="P1742" s="6" t="n">
        <v>1</v>
      </c>
      <c r="Q1742" s="6">
        <f>IF(OR(K1742="On time",K1742="Late",K1742="Very late"),1,0)</f>
        <v/>
      </c>
    </row>
    <row r="1743">
      <c r="A1743" s="10" t="inlineStr">
        <is>
          <t>DN319990</t>
        </is>
      </c>
      <c r="B1743" s="10" t="inlineStr">
        <is>
          <t>SO64027</t>
        </is>
      </c>
      <c r="C1743" s="10" t="inlineStr">
        <is>
          <t>C12037</t>
        </is>
      </c>
      <c r="D1743" s="10">
        <f>INDEX(Customers!$B:$B,MATCH(C1743,Customers!$A:$A,0))</f>
        <v/>
      </c>
      <c r="E1743" s="10">
        <f>INDEX(Customers!$D:$D,MATCH(C1743,Customers!$A:$A,0))</f>
        <v/>
      </c>
      <c r="F1743" s="10" t="inlineStr">
        <is>
          <t>Own trucks</t>
        </is>
      </c>
      <c r="G1743" s="5" t="n">
        <v>46294</v>
      </c>
      <c r="H1743" s="5" t="n">
        <v>46295</v>
      </c>
      <c r="I1743" s="5" t="n">
        <v>46295</v>
      </c>
      <c r="J1743" s="10" t="inlineStr">
        <is>
          <t>08:50</t>
        </is>
      </c>
      <c r="K1743" s="10" t="inlineStr">
        <is>
          <t>On time</t>
        </is>
      </c>
      <c r="L1743" s="6" t="n">
        <v>0</v>
      </c>
      <c r="M1743" s="10" t="n"/>
      <c r="N1743" s="6" t="n">
        <v>28</v>
      </c>
      <c r="O1743" s="6" t="n">
        <v>1708</v>
      </c>
      <c r="P1743" s="6" t="n">
        <v>1</v>
      </c>
      <c r="Q1743" s="6">
        <f>IF(OR(K1743="On time",K1743="Late",K1743="Very late"),1,0)</f>
        <v/>
      </c>
    </row>
    <row r="1744">
      <c r="A1744" s="10" t="inlineStr">
        <is>
          <t>DN319991</t>
        </is>
      </c>
      <c r="B1744" s="10" t="inlineStr">
        <is>
          <t>SO64028</t>
        </is>
      </c>
      <c r="C1744" s="10" t="inlineStr">
        <is>
          <t>C12103</t>
        </is>
      </c>
      <c r="D1744" s="10">
        <f>INDEX(Customers!$B:$B,MATCH(C1744,Customers!$A:$A,0))</f>
        <v/>
      </c>
      <c r="E1744" s="10">
        <f>INDEX(Customers!$D:$D,MATCH(C1744,Customers!$A:$A,0))</f>
        <v/>
      </c>
      <c r="F1744" s="10" t="inlineStr">
        <is>
          <t>Own trucks</t>
        </is>
      </c>
      <c r="G1744" s="5" t="n">
        <v>46294</v>
      </c>
      <c r="H1744" s="5" t="n">
        <v>46295</v>
      </c>
      <c r="I1744" s="5" t="n">
        <v>46295</v>
      </c>
      <c r="J1744" s="10" t="inlineStr">
        <is>
          <t>15:10</t>
        </is>
      </c>
      <c r="K1744" s="10" t="inlineStr">
        <is>
          <t>On time</t>
        </is>
      </c>
      <c r="L1744" s="6" t="n">
        <v>0</v>
      </c>
      <c r="M1744" s="10" t="n"/>
      <c r="N1744" s="6" t="n">
        <v>7</v>
      </c>
      <c r="O1744" s="6" t="n">
        <v>469</v>
      </c>
      <c r="P1744" s="6" t="n">
        <v>1</v>
      </c>
      <c r="Q1744" s="6">
        <f>IF(OR(K1744="On time",K1744="Late",K1744="Very late"),1,0)</f>
        <v/>
      </c>
    </row>
    <row r="1745">
      <c r="A1745" s="10" t="inlineStr">
        <is>
          <t>DN319992</t>
        </is>
      </c>
      <c r="B1745" s="10" t="inlineStr">
        <is>
          <t>SO64029</t>
        </is>
      </c>
      <c r="C1745" s="10" t="inlineStr">
        <is>
          <t>C12117</t>
        </is>
      </c>
      <c r="D1745" s="10">
        <f>INDEX(Customers!$B:$B,MATCH(C1745,Customers!$A:$A,0))</f>
        <v/>
      </c>
      <c r="E1745" s="10">
        <f>INDEX(Customers!$D:$D,MATCH(C1745,Customers!$A:$A,0))</f>
        <v/>
      </c>
      <c r="F1745" s="10" t="inlineStr">
        <is>
          <t>Own trucks</t>
        </is>
      </c>
      <c r="G1745" s="5" t="n">
        <v>46294</v>
      </c>
      <c r="H1745" s="5" t="n">
        <v>46295</v>
      </c>
      <c r="I1745" s="5" t="n">
        <v>46295</v>
      </c>
      <c r="J1745" s="10" t="inlineStr">
        <is>
          <t>13:40</t>
        </is>
      </c>
      <c r="K1745" s="10" t="inlineStr">
        <is>
          <t>On time</t>
        </is>
      </c>
      <c r="L1745" s="6" t="n">
        <v>0</v>
      </c>
      <c r="M1745" s="10" t="n"/>
      <c r="N1745" s="6" t="n">
        <v>30</v>
      </c>
      <c r="O1745" s="6" t="n">
        <v>3630</v>
      </c>
      <c r="P1745" s="6" t="n">
        <v>1</v>
      </c>
      <c r="Q1745" s="6">
        <f>IF(OR(K1745="On time",K1745="Late",K1745="Very late"),1,0)</f>
        <v/>
      </c>
    </row>
    <row r="1746">
      <c r="A1746" s="10" t="inlineStr">
        <is>
          <t>DN319993</t>
        </is>
      </c>
      <c r="B1746" s="10" t="inlineStr">
        <is>
          <t>SO64030</t>
        </is>
      </c>
      <c r="C1746" s="10" t="inlineStr">
        <is>
          <t>C12239</t>
        </is>
      </c>
      <c r="D1746" s="10">
        <f>INDEX(Customers!$B:$B,MATCH(C1746,Customers!$A:$A,0))</f>
        <v/>
      </c>
      <c r="E1746" s="10">
        <f>INDEX(Customers!$D:$D,MATCH(C1746,Customers!$A:$A,0))</f>
        <v/>
      </c>
      <c r="F1746" s="10" t="inlineStr">
        <is>
          <t>Carrier B</t>
        </is>
      </c>
      <c r="G1746" s="5" t="n">
        <v>46294</v>
      </c>
      <c r="H1746" s="5" t="n">
        <v>46295</v>
      </c>
      <c r="I1746" s="5" t="n">
        <v>46295</v>
      </c>
      <c r="J1746" s="10" t="inlineStr">
        <is>
          <t>09:10</t>
        </is>
      </c>
      <c r="K1746" s="10" t="inlineStr">
        <is>
          <t>On time</t>
        </is>
      </c>
      <c r="L1746" s="6" t="n">
        <v>0</v>
      </c>
      <c r="M1746" s="10" t="n"/>
      <c r="N1746" s="6" t="n">
        <v>9</v>
      </c>
      <c r="O1746" s="6" t="n">
        <v>621</v>
      </c>
      <c r="P1746" s="6" t="n">
        <v>1</v>
      </c>
      <c r="Q1746" s="6">
        <f>IF(OR(K1746="On time",K1746="Late",K1746="Very late"),1,0)</f>
        <v/>
      </c>
    </row>
    <row r="1747">
      <c r="A1747" s="10" t="inlineStr">
        <is>
          <t>DN319994</t>
        </is>
      </c>
      <c r="B1747" s="10" t="inlineStr">
        <is>
          <t>SO64031</t>
        </is>
      </c>
      <c r="C1747" s="10" t="inlineStr">
        <is>
          <t>C12262</t>
        </is>
      </c>
      <c r="D1747" s="10">
        <f>INDEX(Customers!$B:$B,MATCH(C1747,Customers!$A:$A,0))</f>
        <v/>
      </c>
      <c r="E1747" s="10">
        <f>INDEX(Customers!$D:$D,MATCH(C1747,Customers!$A:$A,0))</f>
        <v/>
      </c>
      <c r="F1747" s="10" t="inlineStr">
        <is>
          <t>Carrier B</t>
        </is>
      </c>
      <c r="G1747" s="5" t="n">
        <v>46294</v>
      </c>
      <c r="H1747" s="5" t="n">
        <v>46295</v>
      </c>
      <c r="I1747" s="5" t="n">
        <v>46295</v>
      </c>
      <c r="J1747" s="10" t="inlineStr">
        <is>
          <t>10:50</t>
        </is>
      </c>
      <c r="K1747" s="10" t="inlineStr">
        <is>
          <t>On time</t>
        </is>
      </c>
      <c r="L1747" s="6" t="n">
        <v>0</v>
      </c>
      <c r="M1747" s="10" t="n"/>
      <c r="N1747" s="6" t="n">
        <v>11</v>
      </c>
      <c r="O1747" s="6" t="n">
        <v>1353</v>
      </c>
      <c r="P1747" s="6" t="n">
        <v>1</v>
      </c>
      <c r="Q1747" s="6">
        <f>IF(OR(K1747="On time",K1747="Late",K1747="Very late"),1,0)</f>
        <v/>
      </c>
    </row>
    <row r="1748">
      <c r="A1748" s="10" t="inlineStr">
        <is>
          <t>DN319995</t>
        </is>
      </c>
      <c r="B1748" s="10" t="inlineStr">
        <is>
          <t>SO64032</t>
        </is>
      </c>
      <c r="C1748" s="10" t="inlineStr">
        <is>
          <t>C12305</t>
        </is>
      </c>
      <c r="D1748" s="10">
        <f>INDEX(Customers!$B:$B,MATCH(C1748,Customers!$A:$A,0))</f>
        <v/>
      </c>
      <c r="E1748" s="10">
        <f>INDEX(Customers!$D:$D,MATCH(C1748,Customers!$A:$A,0))</f>
        <v/>
      </c>
      <c r="F1748" s="10" t="inlineStr">
        <is>
          <t>Carrier B</t>
        </is>
      </c>
      <c r="G1748" s="5" t="n">
        <v>46294</v>
      </c>
      <c r="H1748" s="5" t="n">
        <v>46295</v>
      </c>
      <c r="I1748" s="5" t="n">
        <v>46295</v>
      </c>
      <c r="J1748" s="10" t="inlineStr">
        <is>
          <t>08:10</t>
        </is>
      </c>
      <c r="K1748" s="10" t="inlineStr">
        <is>
          <t>On time</t>
        </is>
      </c>
      <c r="L1748" s="6" t="n">
        <v>0</v>
      </c>
      <c r="M1748" s="10" t="n"/>
      <c r="N1748" s="6" t="n">
        <v>31</v>
      </c>
      <c r="O1748" s="6" t="n">
        <v>3131</v>
      </c>
      <c r="P1748" s="6" t="n">
        <v>1</v>
      </c>
      <c r="Q1748" s="6">
        <f>IF(OR(K1748="On time",K1748="Late",K1748="Very late"),1,0)</f>
        <v/>
      </c>
    </row>
    <row r="1749">
      <c r="A1749" s="10" t="inlineStr">
        <is>
          <t>DN319996</t>
        </is>
      </c>
      <c r="B1749" s="10" t="inlineStr">
        <is>
          <t>SO64033</t>
        </is>
      </c>
      <c r="C1749" s="10" t="inlineStr">
        <is>
          <t>C12365</t>
        </is>
      </c>
      <c r="D1749" s="10">
        <f>INDEX(Customers!$B:$B,MATCH(C1749,Customers!$A:$A,0))</f>
        <v/>
      </c>
      <c r="E1749" s="10">
        <f>INDEX(Customers!$D:$D,MATCH(C1749,Customers!$A:$A,0))</f>
        <v/>
      </c>
      <c r="F1749" s="10" t="inlineStr">
        <is>
          <t>Carrier B</t>
        </is>
      </c>
      <c r="G1749" s="5" t="n">
        <v>46294</v>
      </c>
      <c r="H1749" s="5" t="n">
        <v>46295</v>
      </c>
      <c r="I1749" s="5" t="n">
        <v>46295</v>
      </c>
      <c r="J1749" s="10" t="inlineStr">
        <is>
          <t>11:30</t>
        </is>
      </c>
      <c r="K1749" s="10" t="inlineStr">
        <is>
          <t>On time</t>
        </is>
      </c>
      <c r="L1749" s="6" t="n">
        <v>0</v>
      </c>
      <c r="M1749" s="10" t="n"/>
      <c r="N1749" s="6" t="n">
        <v>17</v>
      </c>
      <c r="O1749" s="6" t="n">
        <v>1173</v>
      </c>
      <c r="P1749" s="6" t="n">
        <v>1</v>
      </c>
      <c r="Q1749" s="6">
        <f>IF(OR(K1749="On time",K1749="Late",K1749="Very late"),1,0)</f>
        <v/>
      </c>
    </row>
    <row r="1750">
      <c r="A1750" s="10" t="inlineStr">
        <is>
          <t>DN319998</t>
        </is>
      </c>
      <c r="B1750" s="10" t="inlineStr">
        <is>
          <t>SO64034</t>
        </is>
      </c>
      <c r="C1750" s="10" t="inlineStr">
        <is>
          <t>C12371</t>
        </is>
      </c>
      <c r="D1750" s="10">
        <f>INDEX(Customers!$B:$B,MATCH(C1750,Customers!$A:$A,0))</f>
        <v/>
      </c>
      <c r="E1750" s="10">
        <f>INDEX(Customers!$D:$D,MATCH(C1750,Customers!$A:$A,0))</f>
        <v/>
      </c>
      <c r="F1750" s="10" t="inlineStr">
        <is>
          <t>Carrier A</t>
        </is>
      </c>
      <c r="G1750" s="5" t="n">
        <v>46294</v>
      </c>
      <c r="H1750" s="5" t="n">
        <v>46295</v>
      </c>
      <c r="I1750" s="5" t="n">
        <v>46295</v>
      </c>
      <c r="J1750" s="10" t="inlineStr">
        <is>
          <t>09:40</t>
        </is>
      </c>
      <c r="K1750" s="10" t="inlineStr">
        <is>
          <t>On time</t>
        </is>
      </c>
      <c r="L1750" s="6" t="n">
        <v>0</v>
      </c>
      <c r="M1750" s="10" t="n"/>
      <c r="N1750" s="6" t="n">
        <v>18</v>
      </c>
      <c r="O1750" s="6" t="n">
        <v>1872</v>
      </c>
      <c r="P1750" s="6" t="n">
        <v>1</v>
      </c>
      <c r="Q1750" s="6">
        <f>IF(OR(K1750="On time",K1750="Late",K1750="Very late"),1,0)</f>
        <v/>
      </c>
    </row>
    <row r="1751">
      <c r="A1751" s="10" t="inlineStr">
        <is>
          <t>DN319999</t>
        </is>
      </c>
      <c r="B1751" s="10" t="inlineStr">
        <is>
          <t>SO64035</t>
        </is>
      </c>
      <c r="C1751" s="10" t="inlineStr">
        <is>
          <t>C12389</t>
        </is>
      </c>
      <c r="D1751" s="10">
        <f>INDEX(Customers!$B:$B,MATCH(C1751,Customers!$A:$A,0))</f>
        <v/>
      </c>
      <c r="E1751" s="10">
        <f>INDEX(Customers!$D:$D,MATCH(C1751,Customers!$A:$A,0))</f>
        <v/>
      </c>
      <c r="F1751" s="10" t="inlineStr">
        <is>
          <t>Carrier A</t>
        </is>
      </c>
      <c r="G1751" s="5" t="n">
        <v>46294</v>
      </c>
      <c r="H1751" s="5" t="n">
        <v>46295</v>
      </c>
      <c r="I1751" s="5" t="n">
        <v>46296</v>
      </c>
      <c r="J1751" s="10" t="inlineStr">
        <is>
          <t>09:40</t>
        </is>
      </c>
      <c r="K1751" s="10" t="inlineStr">
        <is>
          <t>Late</t>
        </is>
      </c>
      <c r="L1751" s="6" t="n">
        <v>1</v>
      </c>
      <c r="M1751" s="10" t="inlineStr">
        <is>
          <t>Carrier delay</t>
        </is>
      </c>
      <c r="N1751" s="6" t="n">
        <v>12</v>
      </c>
      <c r="O1751" s="6" t="n">
        <v>1248</v>
      </c>
      <c r="P1751" s="6" t="n">
        <v>1</v>
      </c>
      <c r="Q1751" s="6">
        <f>IF(OR(K1751="On time",K1751="Late",K1751="Very late"),1,0)</f>
        <v/>
      </c>
    </row>
    <row r="1752">
      <c r="A1752" s="10" t="inlineStr">
        <is>
          <t>DN320000</t>
        </is>
      </c>
      <c r="B1752" s="10" t="inlineStr">
        <is>
          <t>SO64036</t>
        </is>
      </c>
      <c r="C1752" s="10" t="inlineStr">
        <is>
          <t>C12420</t>
        </is>
      </c>
      <c r="D1752" s="10">
        <f>INDEX(Customers!$B:$B,MATCH(C1752,Customers!$A:$A,0))</f>
        <v/>
      </c>
      <c r="E1752" s="10">
        <f>INDEX(Customers!$D:$D,MATCH(C1752,Customers!$A:$A,0))</f>
        <v/>
      </c>
      <c r="F1752" s="10" t="inlineStr">
        <is>
          <t>Carrier A</t>
        </is>
      </c>
      <c r="G1752" s="5" t="n">
        <v>46294</v>
      </c>
      <c r="H1752" s="5" t="n">
        <v>46295</v>
      </c>
      <c r="I1752" s="5" t="n">
        <v>46295</v>
      </c>
      <c r="J1752" s="10" t="inlineStr">
        <is>
          <t>08:10</t>
        </is>
      </c>
      <c r="K1752" s="10" t="inlineStr">
        <is>
          <t>On time</t>
        </is>
      </c>
      <c r="L1752" s="6" t="n">
        <v>0</v>
      </c>
      <c r="M1752" s="10" t="n"/>
      <c r="N1752" s="6" t="n">
        <v>4</v>
      </c>
      <c r="O1752" s="6" t="n">
        <v>492</v>
      </c>
      <c r="P1752" s="6" t="n">
        <v>1</v>
      </c>
      <c r="Q1752" s="6">
        <f>IF(OR(K1752="On time",K1752="Late",K1752="Very late"),1,0)</f>
        <v/>
      </c>
    </row>
    <row r="1753">
      <c r="A1753" s="10" t="inlineStr">
        <is>
          <t>DN320001</t>
        </is>
      </c>
      <c r="B1753" s="10" t="inlineStr">
        <is>
          <t>SO64037</t>
        </is>
      </c>
      <c r="C1753" s="10" t="inlineStr">
        <is>
          <t>C12490</t>
        </is>
      </c>
      <c r="D1753" s="10">
        <f>INDEX(Customers!$B:$B,MATCH(C1753,Customers!$A:$A,0))</f>
        <v/>
      </c>
      <c r="E1753" s="10">
        <f>INDEX(Customers!$D:$D,MATCH(C1753,Customers!$A:$A,0))</f>
        <v/>
      </c>
      <c r="F1753" s="10" t="inlineStr">
        <is>
          <t>Carrier A</t>
        </is>
      </c>
      <c r="G1753" s="5" t="n">
        <v>46294</v>
      </c>
      <c r="H1753" s="5" t="n">
        <v>46295</v>
      </c>
      <c r="I1753" s="5" t="n">
        <v>46295</v>
      </c>
      <c r="J1753" s="10" t="inlineStr">
        <is>
          <t>10:40</t>
        </is>
      </c>
      <c r="K1753" s="10" t="inlineStr">
        <is>
          <t>On time</t>
        </is>
      </c>
      <c r="L1753" s="6" t="n">
        <v>0</v>
      </c>
      <c r="M1753" s="10" t="n"/>
      <c r="N1753" s="6" t="n">
        <v>23</v>
      </c>
      <c r="O1753" s="6" t="n">
        <v>2093</v>
      </c>
      <c r="P1753" s="6" t="n">
        <v>1</v>
      </c>
      <c r="Q1753" s="6">
        <f>IF(OR(K1753="On time",K1753="Late",K1753="Very late"),1,0)</f>
        <v/>
      </c>
    </row>
    <row r="1754">
      <c r="A1754" s="10" t="inlineStr">
        <is>
          <t>DN320002</t>
        </is>
      </c>
      <c r="B1754" s="10" t="inlineStr">
        <is>
          <t>SO64038</t>
        </is>
      </c>
      <c r="C1754" s="10" t="inlineStr">
        <is>
          <t>C12527</t>
        </is>
      </c>
      <c r="D1754" s="10">
        <f>INDEX(Customers!$B:$B,MATCH(C1754,Customers!$A:$A,0))</f>
        <v/>
      </c>
      <c r="E1754" s="10">
        <f>INDEX(Customers!$D:$D,MATCH(C1754,Customers!$A:$A,0))</f>
        <v/>
      </c>
      <c r="F1754" s="10" t="inlineStr">
        <is>
          <t>Carrier A</t>
        </is>
      </c>
      <c r="G1754" s="5" t="n">
        <v>46294</v>
      </c>
      <c r="H1754" s="5" t="n">
        <v>46295</v>
      </c>
      <c r="I1754" s="5" t="n">
        <v>46296</v>
      </c>
      <c r="J1754" s="10" t="inlineStr">
        <is>
          <t>11:30</t>
        </is>
      </c>
      <c r="K1754" s="10" t="inlineStr">
        <is>
          <t>Late</t>
        </is>
      </c>
      <c r="L1754" s="6" t="n">
        <v>1</v>
      </c>
      <c r="M1754" s="10" t="inlineStr">
        <is>
          <t>Carrier delay</t>
        </is>
      </c>
      <c r="N1754" s="6" t="n">
        <v>30</v>
      </c>
      <c r="O1754" s="6" t="n">
        <v>3090</v>
      </c>
      <c r="P1754" s="6" t="n">
        <v>1</v>
      </c>
      <c r="Q1754" s="6">
        <f>IF(OR(K1754="On time",K1754="Late",K1754="Very late"),1,0)</f>
        <v/>
      </c>
    </row>
    <row r="1755">
      <c r="A1755" s="10" t="inlineStr">
        <is>
          <t>DN320003</t>
        </is>
      </c>
      <c r="B1755" s="10" t="inlineStr">
        <is>
          <t>SO64039</t>
        </is>
      </c>
      <c r="C1755" s="10" t="inlineStr">
        <is>
          <t>C12543</t>
        </is>
      </c>
      <c r="D1755" s="10">
        <f>INDEX(Customers!$B:$B,MATCH(C1755,Customers!$A:$A,0))</f>
        <v/>
      </c>
      <c r="E1755" s="10">
        <f>INDEX(Customers!$D:$D,MATCH(C1755,Customers!$A:$A,0))</f>
        <v/>
      </c>
      <c r="F1755" s="10" t="inlineStr">
        <is>
          <t>Carrier B</t>
        </is>
      </c>
      <c r="G1755" s="5" t="n">
        <v>46293</v>
      </c>
      <c r="H1755" s="5" t="n">
        <v>46295</v>
      </c>
      <c r="I1755" s="5" t="n">
        <v>46295</v>
      </c>
      <c r="J1755" s="10" t="inlineStr">
        <is>
          <t>12:50</t>
        </is>
      </c>
      <c r="K1755" s="10" t="inlineStr">
        <is>
          <t>On time</t>
        </is>
      </c>
      <c r="L1755" s="6" t="n">
        <v>0</v>
      </c>
      <c r="M1755" s="10" t="n"/>
      <c r="N1755" s="6" t="n">
        <v>29</v>
      </c>
      <c r="O1755" s="6" t="n">
        <v>2030</v>
      </c>
      <c r="P1755" s="6" t="n">
        <v>1</v>
      </c>
      <c r="Q1755" s="6">
        <f>IF(OR(K1755="On time",K1755="Late",K1755="Very late"),1,0)</f>
        <v/>
      </c>
    </row>
    <row r="1756">
      <c r="A1756" s="10" t="inlineStr">
        <is>
          <t>DN320004</t>
        </is>
      </c>
      <c r="B1756" s="10" t="inlineStr">
        <is>
          <t>SO64040</t>
        </is>
      </c>
      <c r="C1756" s="10" t="inlineStr">
        <is>
          <t>C12617</t>
        </is>
      </c>
      <c r="D1756" s="10">
        <f>INDEX(Customers!$B:$B,MATCH(C1756,Customers!$A:$A,0))</f>
        <v/>
      </c>
      <c r="E1756" s="10">
        <f>INDEX(Customers!$D:$D,MATCH(C1756,Customers!$A:$A,0))</f>
        <v/>
      </c>
      <c r="F1756" s="10" t="inlineStr">
        <is>
          <t>Carrier B</t>
        </is>
      </c>
      <c r="G1756" s="5" t="n">
        <v>46293</v>
      </c>
      <c r="H1756" s="5" t="n">
        <v>46295</v>
      </c>
      <c r="I1756" s="5" t="n">
        <v>46295</v>
      </c>
      <c r="J1756" s="10" t="inlineStr">
        <is>
          <t>10:00</t>
        </is>
      </c>
      <c r="K1756" s="10" t="inlineStr">
        <is>
          <t>On time</t>
        </is>
      </c>
      <c r="L1756" s="6" t="n">
        <v>0</v>
      </c>
      <c r="M1756" s="10" t="n"/>
      <c r="N1756" s="6" t="n">
        <v>16</v>
      </c>
      <c r="O1756" s="6" t="n">
        <v>1696</v>
      </c>
      <c r="P1756" s="6" t="n">
        <v>1</v>
      </c>
      <c r="Q1756" s="6">
        <f>IF(OR(K1756="On time",K1756="Late",K1756="Very late"),1,0)</f>
        <v/>
      </c>
    </row>
    <row r="1757">
      <c r="A1757" s="10" t="inlineStr">
        <is>
          <t>DN320005</t>
        </is>
      </c>
      <c r="B1757" s="10" t="inlineStr">
        <is>
          <t>SO64041</t>
        </is>
      </c>
      <c r="C1757" s="10" t="inlineStr">
        <is>
          <t>C12631</t>
        </is>
      </c>
      <c r="D1757" s="10">
        <f>INDEX(Customers!$B:$B,MATCH(C1757,Customers!$A:$A,0))</f>
        <v/>
      </c>
      <c r="E1757" s="10">
        <f>INDEX(Customers!$D:$D,MATCH(C1757,Customers!$A:$A,0))</f>
        <v/>
      </c>
      <c r="F1757" s="10" t="inlineStr">
        <is>
          <t>Carrier B</t>
        </is>
      </c>
      <c r="G1757" s="5" t="n">
        <v>46293</v>
      </c>
      <c r="H1757" s="5" t="n">
        <v>46295</v>
      </c>
      <c r="I1757" s="5" t="n">
        <v>46295</v>
      </c>
      <c r="J1757" s="10" t="inlineStr">
        <is>
          <t>07:10</t>
        </is>
      </c>
      <c r="K1757" s="10" t="inlineStr">
        <is>
          <t>On time</t>
        </is>
      </c>
      <c r="L1757" s="6" t="n">
        <v>0</v>
      </c>
      <c r="M1757" s="10" t="n"/>
      <c r="N1757" s="6" t="n">
        <v>32</v>
      </c>
      <c r="O1757" s="6" t="n">
        <v>4256</v>
      </c>
      <c r="P1757" s="6" t="n">
        <v>1</v>
      </c>
      <c r="Q1757" s="6">
        <f>IF(OR(K1757="On time",K1757="Late",K1757="Very late"),1,0)</f>
        <v/>
      </c>
    </row>
    <row r="1758">
      <c r="A1758" s="10" t="inlineStr">
        <is>
          <t>DN320006</t>
        </is>
      </c>
      <c r="B1758" s="10" t="inlineStr">
        <is>
          <t>SO64043</t>
        </is>
      </c>
      <c r="C1758" s="10" t="inlineStr">
        <is>
          <t>C12639</t>
        </is>
      </c>
      <c r="D1758" s="10">
        <f>INDEX(Customers!$B:$B,MATCH(C1758,Customers!$A:$A,0))</f>
        <v/>
      </c>
      <c r="E1758" s="10">
        <f>INDEX(Customers!$D:$D,MATCH(C1758,Customers!$A:$A,0))</f>
        <v/>
      </c>
      <c r="F1758" s="10" t="inlineStr">
        <is>
          <t>Carrier B</t>
        </is>
      </c>
      <c r="G1758" s="5" t="n">
        <v>46293</v>
      </c>
      <c r="H1758" s="5" t="n">
        <v>46295</v>
      </c>
      <c r="I1758" s="5" t="n">
        <v>46295</v>
      </c>
      <c r="J1758" s="10" t="inlineStr">
        <is>
          <t>10:50</t>
        </is>
      </c>
      <c r="K1758" s="10" t="inlineStr">
        <is>
          <t>On time</t>
        </is>
      </c>
      <c r="L1758" s="6" t="n">
        <v>0</v>
      </c>
      <c r="M1758" s="10" t="n"/>
      <c r="N1758" s="6" t="n">
        <v>6</v>
      </c>
      <c r="O1758" s="6" t="n">
        <v>612</v>
      </c>
      <c r="P1758" s="6" t="n">
        <v>1</v>
      </c>
      <c r="Q1758" s="6">
        <f>IF(OR(K1758="On time",K1758="Late",K1758="Very late"),1,0)</f>
        <v/>
      </c>
    </row>
    <row r="1759">
      <c r="A1759" s="10" t="inlineStr">
        <is>
          <t>DN320007</t>
        </is>
      </c>
      <c r="B1759" s="10" t="inlineStr">
        <is>
          <t>SO64045</t>
        </is>
      </c>
      <c r="C1759" s="10" t="inlineStr">
        <is>
          <t>C12675</t>
        </is>
      </c>
      <c r="D1759" s="10">
        <f>INDEX(Customers!$B:$B,MATCH(C1759,Customers!$A:$A,0))</f>
        <v/>
      </c>
      <c r="E1759" s="10">
        <f>INDEX(Customers!$D:$D,MATCH(C1759,Customers!$A:$A,0))</f>
        <v/>
      </c>
      <c r="F1759" s="10" t="inlineStr">
        <is>
          <t>Carrier B</t>
        </is>
      </c>
      <c r="G1759" s="5" t="n">
        <v>46293</v>
      </c>
      <c r="H1759" s="5" t="n">
        <v>46295</v>
      </c>
      <c r="I1759" s="5" t="n">
        <v>46295</v>
      </c>
      <c r="J1759" s="10" t="inlineStr">
        <is>
          <t>09:20</t>
        </is>
      </c>
      <c r="K1759" s="10" t="inlineStr">
        <is>
          <t>On time</t>
        </is>
      </c>
      <c r="L1759" s="6" t="n">
        <v>0</v>
      </c>
      <c r="M1759" s="10" t="n"/>
      <c r="N1759" s="6" t="n">
        <v>10</v>
      </c>
      <c r="O1759" s="6" t="n">
        <v>1040</v>
      </c>
      <c r="P1759" s="6" t="n">
        <v>1</v>
      </c>
      <c r="Q1759" s="6">
        <f>IF(OR(K1759="On time",K1759="Late",K1759="Very late"),1,0)</f>
        <v/>
      </c>
    </row>
    <row r="1760">
      <c r="A1760" s="10" t="inlineStr">
        <is>
          <t>DN320008</t>
        </is>
      </c>
      <c r="B1760" s="10" t="inlineStr">
        <is>
          <t>SO64046</t>
        </is>
      </c>
      <c r="C1760" s="10" t="inlineStr">
        <is>
          <t>C10268</t>
        </is>
      </c>
      <c r="D1760" s="10">
        <f>INDEX(Customers!$B:$B,MATCH(C1760,Customers!$A:$A,0))</f>
        <v/>
      </c>
      <c r="E1760" s="10">
        <f>INDEX(Customers!$D:$D,MATCH(C1760,Customers!$A:$A,0))</f>
        <v/>
      </c>
      <c r="F1760" s="10" t="inlineStr">
        <is>
          <t>Own trucks</t>
        </is>
      </c>
      <c r="G1760" s="5" t="n">
        <v>46295</v>
      </c>
      <c r="H1760" s="5" t="n">
        <v>46296</v>
      </c>
      <c r="I1760" s="5" t="n">
        <v>46296</v>
      </c>
      <c r="J1760" s="10" t="inlineStr">
        <is>
          <t>15:20</t>
        </is>
      </c>
      <c r="K1760" s="10" t="inlineStr">
        <is>
          <t>On time</t>
        </is>
      </c>
      <c r="L1760" s="6" t="n">
        <v>0</v>
      </c>
      <c r="M1760" s="10" t="n"/>
      <c r="N1760" s="6" t="n">
        <v>22</v>
      </c>
      <c r="O1760" s="6" t="n">
        <v>1826</v>
      </c>
      <c r="P1760" s="6" t="n">
        <v>1</v>
      </c>
      <c r="Q1760" s="6">
        <f>IF(OR(K1760="On time",K1760="Late",K1760="Very late"),1,0)</f>
        <v/>
      </c>
    </row>
    <row r="1761">
      <c r="A1761" s="10" t="inlineStr">
        <is>
          <t>DN320009</t>
        </is>
      </c>
      <c r="B1761" s="10" t="inlineStr">
        <is>
          <t>SO64047</t>
        </is>
      </c>
      <c r="C1761" s="10" t="inlineStr">
        <is>
          <t>C10322</t>
        </is>
      </c>
      <c r="D1761" s="10">
        <f>INDEX(Customers!$B:$B,MATCH(C1761,Customers!$A:$A,0))</f>
        <v/>
      </c>
      <c r="E1761" s="10">
        <f>INDEX(Customers!$D:$D,MATCH(C1761,Customers!$A:$A,0))</f>
        <v/>
      </c>
      <c r="F1761" s="10" t="inlineStr">
        <is>
          <t>Own trucks</t>
        </is>
      </c>
      <c r="G1761" s="5" t="n">
        <v>46295</v>
      </c>
      <c r="H1761" s="5" t="n">
        <v>46296</v>
      </c>
      <c r="I1761" s="5" t="n">
        <v>46296</v>
      </c>
      <c r="J1761" s="10" t="inlineStr">
        <is>
          <t>14:20</t>
        </is>
      </c>
      <c r="K1761" s="10" t="inlineStr">
        <is>
          <t>On time</t>
        </is>
      </c>
      <c r="L1761" s="6" t="n">
        <v>0</v>
      </c>
      <c r="M1761" s="10" t="n"/>
      <c r="N1761" s="6" t="n">
        <v>12</v>
      </c>
      <c r="O1761" s="6" t="n">
        <v>864</v>
      </c>
      <c r="P1761" s="6" t="n">
        <v>1</v>
      </c>
      <c r="Q1761" s="6">
        <f>IF(OR(K1761="On time",K1761="Late",K1761="Very late"),1,0)</f>
        <v/>
      </c>
    </row>
    <row r="1762">
      <c r="A1762" s="10" t="inlineStr">
        <is>
          <t>DN320010</t>
        </is>
      </c>
      <c r="B1762" s="10" t="inlineStr">
        <is>
          <t>SO64048</t>
        </is>
      </c>
      <c r="C1762" s="10" t="inlineStr">
        <is>
          <t>C10343</t>
        </is>
      </c>
      <c r="D1762" s="10">
        <f>INDEX(Customers!$B:$B,MATCH(C1762,Customers!$A:$A,0))</f>
        <v/>
      </c>
      <c r="E1762" s="10">
        <f>INDEX(Customers!$D:$D,MATCH(C1762,Customers!$A:$A,0))</f>
        <v/>
      </c>
      <c r="F1762" s="10" t="inlineStr">
        <is>
          <t>Own trucks</t>
        </is>
      </c>
      <c r="G1762" s="5" t="n">
        <v>46295</v>
      </c>
      <c r="H1762" s="5" t="n">
        <v>46296</v>
      </c>
      <c r="I1762" s="5" t="n">
        <v>46296</v>
      </c>
      <c r="J1762" s="10" t="inlineStr">
        <is>
          <t>07:20</t>
        </is>
      </c>
      <c r="K1762" s="10" t="inlineStr">
        <is>
          <t>On time</t>
        </is>
      </c>
      <c r="L1762" s="6" t="n">
        <v>0</v>
      </c>
      <c r="M1762" s="10" t="n"/>
      <c r="N1762" s="6" t="n">
        <v>30</v>
      </c>
      <c r="O1762" s="6" t="n">
        <v>2820</v>
      </c>
      <c r="P1762" s="6" t="n">
        <v>1</v>
      </c>
      <c r="Q1762" s="6">
        <f>IF(OR(K1762="On time",K1762="Late",K1762="Very late"),1,0)</f>
        <v/>
      </c>
    </row>
    <row r="1763">
      <c r="A1763" s="10" t="inlineStr">
        <is>
          <t>DN320011</t>
        </is>
      </c>
      <c r="B1763" s="10" t="inlineStr">
        <is>
          <t>SO64049</t>
        </is>
      </c>
      <c r="C1763" s="10" t="inlineStr">
        <is>
          <t>C10413</t>
        </is>
      </c>
      <c r="D1763" s="10">
        <f>INDEX(Customers!$B:$B,MATCH(C1763,Customers!$A:$A,0))</f>
        <v/>
      </c>
      <c r="E1763" s="10">
        <f>INDEX(Customers!$D:$D,MATCH(C1763,Customers!$A:$A,0))</f>
        <v/>
      </c>
      <c r="F1763" s="10" t="inlineStr">
        <is>
          <t>Own trucks</t>
        </is>
      </c>
      <c r="G1763" s="5" t="n">
        <v>46295</v>
      </c>
      <c r="H1763" s="5" t="n">
        <v>46296</v>
      </c>
      <c r="I1763" s="5" t="n">
        <v>46296</v>
      </c>
      <c r="J1763" s="10" t="inlineStr">
        <is>
          <t>13:20</t>
        </is>
      </c>
      <c r="K1763" s="10" t="inlineStr">
        <is>
          <t>On time</t>
        </is>
      </c>
      <c r="L1763" s="6" t="n">
        <v>0</v>
      </c>
      <c r="M1763" s="10" t="n"/>
      <c r="N1763" s="6" t="n">
        <v>20</v>
      </c>
      <c r="O1763" s="6" t="n">
        <v>1420</v>
      </c>
      <c r="P1763" s="6" t="n">
        <v>1</v>
      </c>
      <c r="Q1763" s="6">
        <f>IF(OR(K1763="On time",K1763="Late",K1763="Very late"),1,0)</f>
        <v/>
      </c>
    </row>
    <row r="1764">
      <c r="A1764" s="10" t="inlineStr">
        <is>
          <t>DN320012</t>
        </is>
      </c>
      <c r="B1764" s="10" t="inlineStr">
        <is>
          <t>SO64050</t>
        </is>
      </c>
      <c r="C1764" s="10" t="inlineStr">
        <is>
          <t>C10446</t>
        </is>
      </c>
      <c r="D1764" s="10">
        <f>INDEX(Customers!$B:$B,MATCH(C1764,Customers!$A:$A,0))</f>
        <v/>
      </c>
      <c r="E1764" s="10">
        <f>INDEX(Customers!$D:$D,MATCH(C1764,Customers!$A:$A,0))</f>
        <v/>
      </c>
      <c r="F1764" s="10" t="inlineStr">
        <is>
          <t>Own trucks</t>
        </is>
      </c>
      <c r="G1764" s="5" t="n">
        <v>46295</v>
      </c>
      <c r="H1764" s="5" t="n">
        <v>46296</v>
      </c>
      <c r="I1764" s="5" t="n">
        <v>46296</v>
      </c>
      <c r="J1764" s="10" t="inlineStr">
        <is>
          <t>09:40</t>
        </is>
      </c>
      <c r="K1764" s="10" t="inlineStr">
        <is>
          <t>On time</t>
        </is>
      </c>
      <c r="L1764" s="6" t="n">
        <v>0</v>
      </c>
      <c r="M1764" s="10" t="n"/>
      <c r="N1764" s="6" t="n">
        <v>9</v>
      </c>
      <c r="O1764" s="6" t="n">
        <v>684</v>
      </c>
      <c r="P1764" s="6" t="n">
        <v>1</v>
      </c>
      <c r="Q1764" s="6">
        <f>IF(OR(K1764="On time",K1764="Late",K1764="Very late"),1,0)</f>
        <v/>
      </c>
    </row>
    <row r="1765">
      <c r="A1765" s="10" t="inlineStr">
        <is>
          <t>DN320013</t>
        </is>
      </c>
      <c r="B1765" s="10" t="inlineStr">
        <is>
          <t>SO64051</t>
        </is>
      </c>
      <c r="C1765" s="10" t="inlineStr">
        <is>
          <t>C10515</t>
        </is>
      </c>
      <c r="D1765" s="10">
        <f>INDEX(Customers!$B:$B,MATCH(C1765,Customers!$A:$A,0))</f>
        <v/>
      </c>
      <c r="E1765" s="10">
        <f>INDEX(Customers!$D:$D,MATCH(C1765,Customers!$A:$A,0))</f>
        <v/>
      </c>
      <c r="F1765" s="10" t="inlineStr">
        <is>
          <t>Own trucks</t>
        </is>
      </c>
      <c r="G1765" s="5" t="n">
        <v>46295</v>
      </c>
      <c r="H1765" s="5" t="n">
        <v>46296</v>
      </c>
      <c r="I1765" s="5" t="n">
        <v>46296</v>
      </c>
      <c r="J1765" s="10" t="inlineStr">
        <is>
          <t>12:50</t>
        </is>
      </c>
      <c r="K1765" s="10" t="inlineStr">
        <is>
          <t>On time</t>
        </is>
      </c>
      <c r="L1765" s="6" t="n">
        <v>0</v>
      </c>
      <c r="M1765" s="10" t="n"/>
      <c r="N1765" s="6" t="n">
        <v>5</v>
      </c>
      <c r="O1765" s="6" t="n">
        <v>595</v>
      </c>
      <c r="P1765" s="6" t="n">
        <v>1</v>
      </c>
      <c r="Q1765" s="6">
        <f>IF(OR(K1765="On time",K1765="Late",K1765="Very late"),1,0)</f>
        <v/>
      </c>
    </row>
    <row r="1766">
      <c r="A1766" s="10" t="inlineStr">
        <is>
          <t>DN320014</t>
        </is>
      </c>
      <c r="B1766" s="10" t="inlineStr">
        <is>
          <t>SO64052</t>
        </is>
      </c>
      <c r="C1766" s="10" t="inlineStr">
        <is>
          <t>C10522</t>
        </is>
      </c>
      <c r="D1766" s="10">
        <f>INDEX(Customers!$B:$B,MATCH(C1766,Customers!$A:$A,0))</f>
        <v/>
      </c>
      <c r="E1766" s="10">
        <f>INDEX(Customers!$D:$D,MATCH(C1766,Customers!$A:$A,0))</f>
        <v/>
      </c>
      <c r="F1766" s="10" t="inlineStr">
        <is>
          <t>Own trucks</t>
        </is>
      </c>
      <c r="G1766" s="5" t="n">
        <v>46295</v>
      </c>
      <c r="H1766" s="5" t="n">
        <v>46296</v>
      </c>
      <c r="I1766" s="5" t="n">
        <v>46296</v>
      </c>
      <c r="J1766" s="10" t="inlineStr">
        <is>
          <t>10:40</t>
        </is>
      </c>
      <c r="K1766" s="10" t="inlineStr">
        <is>
          <t>On time</t>
        </is>
      </c>
      <c r="L1766" s="6" t="n">
        <v>0</v>
      </c>
      <c r="M1766" s="10" t="n"/>
      <c r="N1766" s="6" t="n">
        <v>9</v>
      </c>
      <c r="O1766" s="6" t="n">
        <v>1215</v>
      </c>
      <c r="P1766" s="6" t="n">
        <v>1</v>
      </c>
      <c r="Q1766" s="6">
        <f>IF(OR(K1766="On time",K1766="Late",K1766="Very late"),1,0)</f>
        <v/>
      </c>
    </row>
    <row r="1767">
      <c r="A1767" s="10" t="inlineStr">
        <is>
          <t>DN320015</t>
        </is>
      </c>
      <c r="B1767" s="10" t="inlineStr">
        <is>
          <t>SO64053</t>
        </is>
      </c>
      <c r="C1767" s="10" t="inlineStr">
        <is>
          <t>C10536</t>
        </is>
      </c>
      <c r="D1767" s="10">
        <f>INDEX(Customers!$B:$B,MATCH(C1767,Customers!$A:$A,0))</f>
        <v/>
      </c>
      <c r="E1767" s="10">
        <f>INDEX(Customers!$D:$D,MATCH(C1767,Customers!$A:$A,0))</f>
        <v/>
      </c>
      <c r="F1767" s="10" t="inlineStr">
        <is>
          <t>Own trucks</t>
        </is>
      </c>
      <c r="G1767" s="5" t="n">
        <v>46295</v>
      </c>
      <c r="H1767" s="5" t="n">
        <v>46296</v>
      </c>
      <c r="I1767" s="5" t="n">
        <v>46296</v>
      </c>
      <c r="J1767" s="10" t="inlineStr">
        <is>
          <t>14:10</t>
        </is>
      </c>
      <c r="K1767" s="10" t="inlineStr">
        <is>
          <t>On time</t>
        </is>
      </c>
      <c r="L1767" s="6" t="n">
        <v>0</v>
      </c>
      <c r="M1767" s="10" t="n"/>
      <c r="N1767" s="6" t="n">
        <v>8</v>
      </c>
      <c r="O1767" s="6" t="n">
        <v>1056</v>
      </c>
      <c r="P1767" s="6" t="n">
        <v>1</v>
      </c>
      <c r="Q1767" s="6">
        <f>IF(OR(K1767="On time",K1767="Late",K1767="Very late"),1,0)</f>
        <v/>
      </c>
    </row>
    <row r="1768">
      <c r="A1768" s="10" t="inlineStr">
        <is>
          <t>DN320016</t>
        </is>
      </c>
      <c r="B1768" s="10" t="inlineStr">
        <is>
          <t>SO64054</t>
        </is>
      </c>
      <c r="C1768" s="10" t="inlineStr">
        <is>
          <t>C10676</t>
        </is>
      </c>
      <c r="D1768" s="10">
        <f>INDEX(Customers!$B:$B,MATCH(C1768,Customers!$A:$A,0))</f>
        <v/>
      </c>
      <c r="E1768" s="10">
        <f>INDEX(Customers!$D:$D,MATCH(C1768,Customers!$A:$A,0))</f>
        <v/>
      </c>
      <c r="F1768" s="10" t="inlineStr">
        <is>
          <t>Own trucks</t>
        </is>
      </c>
      <c r="G1768" s="5" t="n">
        <v>46295</v>
      </c>
      <c r="H1768" s="5" t="n">
        <v>46296</v>
      </c>
      <c r="I1768" s="5" t="n">
        <v>46296</v>
      </c>
      <c r="J1768" s="10" t="inlineStr">
        <is>
          <t>14:50</t>
        </is>
      </c>
      <c r="K1768" s="10" t="inlineStr">
        <is>
          <t>On time</t>
        </is>
      </c>
      <c r="L1768" s="6" t="n">
        <v>0</v>
      </c>
      <c r="M1768" s="10" t="n"/>
      <c r="N1768" s="6" t="n">
        <v>26</v>
      </c>
      <c r="O1768" s="6" t="n">
        <v>1664</v>
      </c>
      <c r="P1768" s="6" t="n">
        <v>0</v>
      </c>
      <c r="Q1768" s="6">
        <f>IF(OR(K1768="On time",K1768="Late",K1768="Very late"),1,0)</f>
        <v/>
      </c>
    </row>
    <row r="1769">
      <c r="A1769" s="10" t="inlineStr">
        <is>
          <t>DN320018</t>
        </is>
      </c>
      <c r="B1769" s="10" t="inlineStr">
        <is>
          <t>SO64055</t>
        </is>
      </c>
      <c r="C1769" s="10" t="inlineStr">
        <is>
          <t>C10689</t>
        </is>
      </c>
      <c r="D1769" s="10">
        <f>INDEX(Customers!$B:$B,MATCH(C1769,Customers!$A:$A,0))</f>
        <v/>
      </c>
      <c r="E1769" s="10">
        <f>INDEX(Customers!$D:$D,MATCH(C1769,Customers!$A:$A,0))</f>
        <v/>
      </c>
      <c r="F1769" s="10" t="inlineStr">
        <is>
          <t>Own trucks</t>
        </is>
      </c>
      <c r="G1769" s="5" t="n">
        <v>46295</v>
      </c>
      <c r="H1769" s="5" t="n">
        <v>46296</v>
      </c>
      <c r="I1769" s="5" t="n">
        <v>46296</v>
      </c>
      <c r="J1769" s="10" t="inlineStr">
        <is>
          <t>08:30</t>
        </is>
      </c>
      <c r="K1769" s="10" t="inlineStr">
        <is>
          <t>On time</t>
        </is>
      </c>
      <c r="L1769" s="6" t="n">
        <v>0</v>
      </c>
      <c r="M1769" s="10" t="n"/>
      <c r="N1769" s="6" t="n">
        <v>27</v>
      </c>
      <c r="O1769" s="6" t="n">
        <v>2403</v>
      </c>
      <c r="P1769" s="6" t="n">
        <v>1</v>
      </c>
      <c r="Q1769" s="6">
        <f>IF(OR(K1769="On time",K1769="Late",K1769="Very late"),1,0)</f>
        <v/>
      </c>
    </row>
    <row r="1770">
      <c r="A1770" s="10" t="inlineStr">
        <is>
          <t>DN320019</t>
        </is>
      </c>
      <c r="B1770" s="10" t="inlineStr">
        <is>
          <t>SO64056</t>
        </is>
      </c>
      <c r="C1770" s="10" t="inlineStr">
        <is>
          <t>C10796</t>
        </is>
      </c>
      <c r="D1770" s="10">
        <f>INDEX(Customers!$B:$B,MATCH(C1770,Customers!$A:$A,0))</f>
        <v/>
      </c>
      <c r="E1770" s="10">
        <f>INDEX(Customers!$D:$D,MATCH(C1770,Customers!$A:$A,0))</f>
        <v/>
      </c>
      <c r="F1770" s="10" t="inlineStr">
        <is>
          <t>Own trucks</t>
        </is>
      </c>
      <c r="G1770" s="5" t="n">
        <v>46295</v>
      </c>
      <c r="H1770" s="5" t="n">
        <v>46296</v>
      </c>
      <c r="I1770" s="5" t="n">
        <v>46296</v>
      </c>
      <c r="J1770" s="10" t="inlineStr">
        <is>
          <t>12:30</t>
        </is>
      </c>
      <c r="K1770" s="10" t="inlineStr">
        <is>
          <t>On time</t>
        </is>
      </c>
      <c r="L1770" s="6" t="n">
        <v>0</v>
      </c>
      <c r="M1770" s="10" t="n"/>
      <c r="N1770" s="6" t="n">
        <v>10</v>
      </c>
      <c r="O1770" s="6" t="n">
        <v>1270</v>
      </c>
      <c r="P1770" s="6" t="n">
        <v>1</v>
      </c>
      <c r="Q1770" s="6">
        <f>IF(OR(K1770="On time",K1770="Late",K1770="Very late"),1,0)</f>
        <v/>
      </c>
    </row>
    <row r="1771">
      <c r="A1771" s="10" t="inlineStr">
        <is>
          <t>DN320020</t>
        </is>
      </c>
      <c r="B1771" s="10" t="inlineStr">
        <is>
          <t>SO64058</t>
        </is>
      </c>
      <c r="C1771" s="10" t="inlineStr">
        <is>
          <t>C10847</t>
        </is>
      </c>
      <c r="D1771" s="10">
        <f>INDEX(Customers!$B:$B,MATCH(C1771,Customers!$A:$A,0))</f>
        <v/>
      </c>
      <c r="E1771" s="10">
        <f>INDEX(Customers!$D:$D,MATCH(C1771,Customers!$A:$A,0))</f>
        <v/>
      </c>
      <c r="F1771" s="10" t="inlineStr">
        <is>
          <t>Own trucks</t>
        </is>
      </c>
      <c r="G1771" s="5" t="n">
        <v>46295</v>
      </c>
      <c r="H1771" s="5" t="n">
        <v>46296</v>
      </c>
      <c r="I1771" s="5" t="n">
        <v>46296</v>
      </c>
      <c r="J1771" s="10" t="inlineStr">
        <is>
          <t>14:30</t>
        </is>
      </c>
      <c r="K1771" s="10" t="inlineStr">
        <is>
          <t>On time</t>
        </is>
      </c>
      <c r="L1771" s="6" t="n">
        <v>0</v>
      </c>
      <c r="M1771" s="10" t="n"/>
      <c r="N1771" s="6" t="n">
        <v>9</v>
      </c>
      <c r="O1771" s="6" t="n">
        <v>522</v>
      </c>
      <c r="P1771" s="6" t="n">
        <v>1</v>
      </c>
      <c r="Q1771" s="6">
        <f>IF(OR(K1771="On time",K1771="Late",K1771="Very late"),1,0)</f>
        <v/>
      </c>
    </row>
    <row r="1772">
      <c r="A1772" s="10" t="inlineStr">
        <is>
          <t>DN320021</t>
        </is>
      </c>
      <c r="B1772" s="10" t="inlineStr">
        <is>
          <t>SO64059</t>
        </is>
      </c>
      <c r="C1772" s="10" t="inlineStr">
        <is>
          <t>C10915</t>
        </is>
      </c>
      <c r="D1772" s="10">
        <f>INDEX(Customers!$B:$B,MATCH(C1772,Customers!$A:$A,0))</f>
        <v/>
      </c>
      <c r="E1772" s="10">
        <f>INDEX(Customers!$D:$D,MATCH(C1772,Customers!$A:$A,0))</f>
        <v/>
      </c>
      <c r="F1772" s="10" t="inlineStr">
        <is>
          <t>Own trucks</t>
        </is>
      </c>
      <c r="G1772" s="5" t="n">
        <v>46295</v>
      </c>
      <c r="H1772" s="5" t="n">
        <v>46296</v>
      </c>
      <c r="I1772" s="5" t="n">
        <v>46296</v>
      </c>
      <c r="J1772" s="10" t="inlineStr">
        <is>
          <t>07:40</t>
        </is>
      </c>
      <c r="K1772" s="10" t="inlineStr">
        <is>
          <t>On time</t>
        </is>
      </c>
      <c r="L1772" s="6" t="n">
        <v>0</v>
      </c>
      <c r="M1772" s="10" t="n"/>
      <c r="N1772" s="6" t="n">
        <v>8</v>
      </c>
      <c r="O1772" s="6" t="n">
        <v>440</v>
      </c>
      <c r="P1772" s="6" t="n">
        <v>1</v>
      </c>
      <c r="Q1772" s="6">
        <f>IF(OR(K1772="On time",K1772="Late",K1772="Very late"),1,0)</f>
        <v/>
      </c>
    </row>
    <row r="1773">
      <c r="A1773" s="10" t="inlineStr">
        <is>
          <t>DN320022</t>
        </is>
      </c>
      <c r="B1773" s="10" t="inlineStr">
        <is>
          <t>SO64060</t>
        </is>
      </c>
      <c r="C1773" s="10" t="inlineStr">
        <is>
          <t>C10982</t>
        </is>
      </c>
      <c r="D1773" s="10">
        <f>INDEX(Customers!$B:$B,MATCH(C1773,Customers!$A:$A,0))</f>
        <v/>
      </c>
      <c r="E1773" s="10">
        <f>INDEX(Customers!$D:$D,MATCH(C1773,Customers!$A:$A,0))</f>
        <v/>
      </c>
      <c r="F1773" s="10" t="inlineStr">
        <is>
          <t>Own trucks</t>
        </is>
      </c>
      <c r="G1773" s="5" t="n">
        <v>46295</v>
      </c>
      <c r="H1773" s="5" t="n">
        <v>46296</v>
      </c>
      <c r="I1773" s="5" t="n">
        <v>46296</v>
      </c>
      <c r="J1773" s="10" t="inlineStr">
        <is>
          <t>14:20</t>
        </is>
      </c>
      <c r="K1773" s="10" t="inlineStr">
        <is>
          <t>On time</t>
        </is>
      </c>
      <c r="L1773" s="6" t="n">
        <v>0</v>
      </c>
      <c r="M1773" s="10" t="n"/>
      <c r="N1773" s="6" t="n">
        <v>7</v>
      </c>
      <c r="O1773" s="6" t="n">
        <v>560</v>
      </c>
      <c r="P1773" s="6" t="n">
        <v>1</v>
      </c>
      <c r="Q1773" s="6">
        <f>IF(OR(K1773="On time",K1773="Late",K1773="Very late"),1,0)</f>
        <v/>
      </c>
    </row>
    <row r="1774">
      <c r="A1774" s="10" t="inlineStr">
        <is>
          <t>DN320023</t>
        </is>
      </c>
      <c r="B1774" s="10" t="inlineStr">
        <is>
          <t>SO64061</t>
        </is>
      </c>
      <c r="C1774" s="10" t="inlineStr">
        <is>
          <t>C11107</t>
        </is>
      </c>
      <c r="D1774" s="10">
        <f>INDEX(Customers!$B:$B,MATCH(C1774,Customers!$A:$A,0))</f>
        <v/>
      </c>
      <c r="E1774" s="10">
        <f>INDEX(Customers!$D:$D,MATCH(C1774,Customers!$A:$A,0))</f>
        <v/>
      </c>
      <c r="F1774" s="10" t="inlineStr">
        <is>
          <t>Own trucks</t>
        </is>
      </c>
      <c r="G1774" s="5" t="n">
        <v>46295</v>
      </c>
      <c r="H1774" s="5" t="n">
        <v>46296</v>
      </c>
      <c r="I1774" s="5" t="n">
        <v>46296</v>
      </c>
      <c r="J1774" s="10" t="inlineStr">
        <is>
          <t>15:20</t>
        </is>
      </c>
      <c r="K1774" s="10" t="inlineStr">
        <is>
          <t>On time</t>
        </is>
      </c>
      <c r="L1774" s="6" t="n">
        <v>0</v>
      </c>
      <c r="M1774" s="10" t="n"/>
      <c r="N1774" s="6" t="n">
        <v>39</v>
      </c>
      <c r="O1774" s="6" t="n">
        <v>2652</v>
      </c>
      <c r="P1774" s="6" t="n">
        <v>1</v>
      </c>
      <c r="Q1774" s="6">
        <f>IF(OR(K1774="On time",K1774="Late",K1774="Very late"),1,0)</f>
        <v/>
      </c>
    </row>
    <row r="1775">
      <c r="A1775" s="10" t="inlineStr">
        <is>
          <t>DN320024</t>
        </is>
      </c>
      <c r="B1775" s="10" t="inlineStr">
        <is>
          <t>SO64062</t>
        </is>
      </c>
      <c r="C1775" s="10" t="inlineStr">
        <is>
          <t>C11247</t>
        </is>
      </c>
      <c r="D1775" s="10">
        <f>INDEX(Customers!$B:$B,MATCH(C1775,Customers!$A:$A,0))</f>
        <v/>
      </c>
      <c r="E1775" s="10">
        <f>INDEX(Customers!$D:$D,MATCH(C1775,Customers!$A:$A,0))</f>
        <v/>
      </c>
      <c r="F1775" s="10" t="inlineStr">
        <is>
          <t>Own trucks</t>
        </is>
      </c>
      <c r="G1775" s="5" t="n">
        <v>46295</v>
      </c>
      <c r="H1775" s="5" t="n">
        <v>46296</v>
      </c>
      <c r="I1775" s="5" t="n">
        <v>46296</v>
      </c>
      <c r="J1775" s="10" t="inlineStr">
        <is>
          <t>11:50</t>
        </is>
      </c>
      <c r="K1775" s="10" t="inlineStr">
        <is>
          <t>On time</t>
        </is>
      </c>
      <c r="L1775" s="6" t="n">
        <v>0</v>
      </c>
      <c r="M1775" s="10" t="n"/>
      <c r="N1775" s="6" t="n">
        <v>31</v>
      </c>
      <c r="O1775" s="6" t="n">
        <v>2573</v>
      </c>
      <c r="P1775" s="6" t="n">
        <v>0</v>
      </c>
      <c r="Q1775" s="6">
        <f>IF(OR(K1775="On time",K1775="Late",K1775="Very late"),1,0)</f>
        <v/>
      </c>
    </row>
    <row r="1776">
      <c r="A1776" s="10" t="inlineStr">
        <is>
          <t>DN320025</t>
        </is>
      </c>
      <c r="B1776" s="10" t="inlineStr">
        <is>
          <t>SO64063</t>
        </is>
      </c>
      <c r="C1776" s="10" t="inlineStr">
        <is>
          <t>C11264</t>
        </is>
      </c>
      <c r="D1776" s="10">
        <f>INDEX(Customers!$B:$B,MATCH(C1776,Customers!$A:$A,0))</f>
        <v/>
      </c>
      <c r="E1776" s="10">
        <f>INDEX(Customers!$D:$D,MATCH(C1776,Customers!$A:$A,0))</f>
        <v/>
      </c>
      <c r="F1776" s="10" t="inlineStr">
        <is>
          <t>Own trucks</t>
        </is>
      </c>
      <c r="G1776" s="5" t="n">
        <v>46295</v>
      </c>
      <c r="H1776" s="5" t="n">
        <v>46296</v>
      </c>
      <c r="I1776" s="5" t="n">
        <v>46296</v>
      </c>
      <c r="J1776" s="10" t="inlineStr">
        <is>
          <t>16:30</t>
        </is>
      </c>
      <c r="K1776" s="10" t="inlineStr">
        <is>
          <t>On time</t>
        </is>
      </c>
      <c r="L1776" s="6" t="n">
        <v>0</v>
      </c>
      <c r="M1776" s="10" t="n"/>
      <c r="N1776" s="6" t="n">
        <v>31</v>
      </c>
      <c r="O1776" s="6" t="n">
        <v>2790</v>
      </c>
      <c r="P1776" s="6" t="n">
        <v>1</v>
      </c>
      <c r="Q1776" s="6">
        <f>IF(OR(K1776="On time",K1776="Late",K1776="Very late"),1,0)</f>
        <v/>
      </c>
    </row>
    <row r="1777">
      <c r="A1777" s="10" t="inlineStr">
        <is>
          <t>DN320026</t>
        </is>
      </c>
      <c r="B1777" s="10" t="inlineStr">
        <is>
          <t>SO64064</t>
        </is>
      </c>
      <c r="C1777" s="10" t="inlineStr">
        <is>
          <t>C11314</t>
        </is>
      </c>
      <c r="D1777" s="10">
        <f>INDEX(Customers!$B:$B,MATCH(C1777,Customers!$A:$A,0))</f>
        <v/>
      </c>
      <c r="E1777" s="10">
        <f>INDEX(Customers!$D:$D,MATCH(C1777,Customers!$A:$A,0))</f>
        <v/>
      </c>
      <c r="F1777" s="10" t="inlineStr">
        <is>
          <t>Own trucks</t>
        </is>
      </c>
      <c r="G1777" s="5" t="n">
        <v>46295</v>
      </c>
      <c r="H1777" s="5" t="n">
        <v>46296</v>
      </c>
      <c r="I1777" s="5" t="n">
        <v>46296</v>
      </c>
      <c r="J1777" s="10" t="inlineStr">
        <is>
          <t>08:20</t>
        </is>
      </c>
      <c r="K1777" s="10" t="inlineStr">
        <is>
          <t>On time</t>
        </is>
      </c>
      <c r="L1777" s="6" t="n">
        <v>0</v>
      </c>
      <c r="M1777" s="10" t="n"/>
      <c r="N1777" s="6" t="n">
        <v>20</v>
      </c>
      <c r="O1777" s="6" t="n">
        <v>2680</v>
      </c>
      <c r="P1777" s="6" t="n">
        <v>1</v>
      </c>
      <c r="Q1777" s="6">
        <f>IF(OR(K1777="On time",K1777="Late",K1777="Very late"),1,0)</f>
        <v/>
      </c>
    </row>
    <row r="1778">
      <c r="A1778" s="10" t="inlineStr">
        <is>
          <t>DN320027</t>
        </is>
      </c>
      <c r="B1778" s="10" t="inlineStr">
        <is>
          <t>SO64065</t>
        </is>
      </c>
      <c r="C1778" s="10" t="inlineStr">
        <is>
          <t>C11400</t>
        </is>
      </c>
      <c r="D1778" s="10">
        <f>INDEX(Customers!$B:$B,MATCH(C1778,Customers!$A:$A,0))</f>
        <v/>
      </c>
      <c r="E1778" s="10">
        <f>INDEX(Customers!$D:$D,MATCH(C1778,Customers!$A:$A,0))</f>
        <v/>
      </c>
      <c r="F1778" s="10" t="inlineStr">
        <is>
          <t>Own trucks</t>
        </is>
      </c>
      <c r="G1778" s="5" t="n">
        <v>46295</v>
      </c>
      <c r="H1778" s="5" t="n">
        <v>46296</v>
      </c>
      <c r="I1778" s="5" t="n">
        <v>46296</v>
      </c>
      <c r="J1778" s="10" t="inlineStr">
        <is>
          <t>07:40</t>
        </is>
      </c>
      <c r="K1778" s="10" t="inlineStr">
        <is>
          <t>On time</t>
        </is>
      </c>
      <c r="L1778" s="6" t="n">
        <v>0</v>
      </c>
      <c r="M1778" s="10" t="n"/>
      <c r="N1778" s="6" t="n">
        <v>38</v>
      </c>
      <c r="O1778" s="6" t="n">
        <v>3040</v>
      </c>
      <c r="P1778" s="6" t="n">
        <v>1</v>
      </c>
      <c r="Q1778" s="6">
        <f>IF(OR(K1778="On time",K1778="Late",K1778="Very late"),1,0)</f>
        <v/>
      </c>
    </row>
    <row r="1779">
      <c r="A1779" s="10" t="inlineStr">
        <is>
          <t>DN320028</t>
        </is>
      </c>
      <c r="B1779" s="10" t="inlineStr">
        <is>
          <t>SO64066</t>
        </is>
      </c>
      <c r="C1779" s="10" t="inlineStr">
        <is>
          <t>C11518</t>
        </is>
      </c>
      <c r="D1779" s="10">
        <f>INDEX(Customers!$B:$B,MATCH(C1779,Customers!$A:$A,0))</f>
        <v/>
      </c>
      <c r="E1779" s="10">
        <f>INDEX(Customers!$D:$D,MATCH(C1779,Customers!$A:$A,0))</f>
        <v/>
      </c>
      <c r="F1779" s="10" t="inlineStr">
        <is>
          <t>Own trucks</t>
        </is>
      </c>
      <c r="G1779" s="5" t="n">
        <v>46295</v>
      </c>
      <c r="H1779" s="5" t="n">
        <v>46296</v>
      </c>
      <c r="I1779" s="5" t="n">
        <v>46296</v>
      </c>
      <c r="J1779" s="10" t="inlineStr">
        <is>
          <t>07:50</t>
        </is>
      </c>
      <c r="K1779" s="10" t="inlineStr">
        <is>
          <t>On time</t>
        </is>
      </c>
      <c r="L1779" s="6" t="n">
        <v>0</v>
      </c>
      <c r="M1779" s="10" t="n"/>
      <c r="N1779" s="6" t="n">
        <v>37</v>
      </c>
      <c r="O1779" s="6" t="n">
        <v>4292</v>
      </c>
      <c r="P1779" s="6" t="n">
        <v>1</v>
      </c>
      <c r="Q1779" s="6">
        <f>IF(OR(K1779="On time",K1779="Late",K1779="Very late"),1,0)</f>
        <v/>
      </c>
    </row>
    <row r="1780">
      <c r="A1780" s="10" t="inlineStr">
        <is>
          <t>DN320029</t>
        </is>
      </c>
      <c r="B1780" s="10" t="inlineStr">
        <is>
          <t>SO64068</t>
        </is>
      </c>
      <c r="C1780" s="10" t="inlineStr">
        <is>
          <t>C11579</t>
        </is>
      </c>
      <c r="D1780" s="10">
        <f>INDEX(Customers!$B:$B,MATCH(C1780,Customers!$A:$A,0))</f>
        <v/>
      </c>
      <c r="E1780" s="10">
        <f>INDEX(Customers!$D:$D,MATCH(C1780,Customers!$A:$A,0))</f>
        <v/>
      </c>
      <c r="F1780" s="10" t="inlineStr">
        <is>
          <t>Own trucks</t>
        </is>
      </c>
      <c r="G1780" s="5" t="n">
        <v>46295</v>
      </c>
      <c r="H1780" s="5" t="n">
        <v>46296</v>
      </c>
      <c r="I1780" s="5" t="n">
        <v>46296</v>
      </c>
      <c r="J1780" s="10" t="inlineStr">
        <is>
          <t>14:30</t>
        </is>
      </c>
      <c r="K1780" s="10" t="inlineStr">
        <is>
          <t>On time</t>
        </is>
      </c>
      <c r="L1780" s="6" t="n">
        <v>0</v>
      </c>
      <c r="M1780" s="10" t="n"/>
      <c r="N1780" s="6" t="n">
        <v>6</v>
      </c>
      <c r="O1780" s="6" t="n">
        <v>822</v>
      </c>
      <c r="P1780" s="6" t="n">
        <v>1</v>
      </c>
      <c r="Q1780" s="6">
        <f>IF(OR(K1780="On time",K1780="Late",K1780="Very late"),1,0)</f>
        <v/>
      </c>
    </row>
    <row r="1781">
      <c r="A1781" s="10" t="inlineStr">
        <is>
          <t>DN320030</t>
        </is>
      </c>
      <c r="B1781" s="10" t="inlineStr">
        <is>
          <t>SO64070</t>
        </is>
      </c>
      <c r="C1781" s="10" t="inlineStr">
        <is>
          <t>C11616</t>
        </is>
      </c>
      <c r="D1781" s="10">
        <f>INDEX(Customers!$B:$B,MATCH(C1781,Customers!$A:$A,0))</f>
        <v/>
      </c>
      <c r="E1781" s="10">
        <f>INDEX(Customers!$D:$D,MATCH(C1781,Customers!$A:$A,0))</f>
        <v/>
      </c>
      <c r="F1781" s="10" t="inlineStr">
        <is>
          <t>Own trucks</t>
        </is>
      </c>
      <c r="G1781" s="5" t="n">
        <v>46295</v>
      </c>
      <c r="H1781" s="5" t="n">
        <v>46296</v>
      </c>
      <c r="I1781" s="5" t="n">
        <v>46296</v>
      </c>
      <c r="J1781" s="10" t="inlineStr">
        <is>
          <t>07:40</t>
        </is>
      </c>
      <c r="K1781" s="10" t="inlineStr">
        <is>
          <t>On time</t>
        </is>
      </c>
      <c r="L1781" s="6" t="n">
        <v>0</v>
      </c>
      <c r="M1781" s="10" t="n"/>
      <c r="N1781" s="6" t="n">
        <v>14</v>
      </c>
      <c r="O1781" s="6" t="n">
        <v>1862</v>
      </c>
      <c r="P1781" s="6" t="n">
        <v>1</v>
      </c>
      <c r="Q1781" s="6">
        <f>IF(OR(K1781="On time",K1781="Late",K1781="Very late"),1,0)</f>
        <v/>
      </c>
    </row>
    <row r="1782">
      <c r="A1782" s="10" t="inlineStr">
        <is>
          <t>DN320031</t>
        </is>
      </c>
      <c r="B1782" s="10" t="inlineStr">
        <is>
          <t>SO64071</t>
        </is>
      </c>
      <c r="C1782" s="10" t="inlineStr">
        <is>
          <t>C11666</t>
        </is>
      </c>
      <c r="D1782" s="10">
        <f>INDEX(Customers!$B:$B,MATCH(C1782,Customers!$A:$A,0))</f>
        <v/>
      </c>
      <c r="E1782" s="10">
        <f>INDEX(Customers!$D:$D,MATCH(C1782,Customers!$A:$A,0))</f>
        <v/>
      </c>
      <c r="F1782" s="10" t="inlineStr">
        <is>
          <t>Own trucks</t>
        </is>
      </c>
      <c r="G1782" s="5" t="n">
        <v>46295</v>
      </c>
      <c r="H1782" s="5" t="n">
        <v>46296</v>
      </c>
      <c r="I1782" s="5" t="n">
        <v>46296</v>
      </c>
      <c r="J1782" s="10" t="inlineStr">
        <is>
          <t>10:00</t>
        </is>
      </c>
      <c r="K1782" s="10" t="inlineStr">
        <is>
          <t>On time</t>
        </is>
      </c>
      <c r="L1782" s="6" t="n">
        <v>0</v>
      </c>
      <c r="M1782" s="10" t="n"/>
      <c r="N1782" s="6" t="n">
        <v>26</v>
      </c>
      <c r="O1782" s="6" t="n">
        <v>2678</v>
      </c>
      <c r="P1782" s="6" t="n">
        <v>1</v>
      </c>
      <c r="Q1782" s="6">
        <f>IF(OR(K1782="On time",K1782="Late",K1782="Very late"),1,0)</f>
        <v/>
      </c>
    </row>
    <row r="1783">
      <c r="A1783" s="10" t="inlineStr">
        <is>
          <t>DN320032</t>
        </is>
      </c>
      <c r="B1783" s="10" t="inlineStr">
        <is>
          <t>SO64072</t>
        </is>
      </c>
      <c r="C1783" s="10" t="inlineStr">
        <is>
          <t>C11790</t>
        </is>
      </c>
      <c r="D1783" s="10">
        <f>INDEX(Customers!$B:$B,MATCH(C1783,Customers!$A:$A,0))</f>
        <v/>
      </c>
      <c r="E1783" s="10">
        <f>INDEX(Customers!$D:$D,MATCH(C1783,Customers!$A:$A,0))</f>
        <v/>
      </c>
      <c r="F1783" s="10" t="inlineStr">
        <is>
          <t>Carrier A</t>
        </is>
      </c>
      <c r="G1783" s="5" t="n">
        <v>46295</v>
      </c>
      <c r="H1783" s="5" t="n">
        <v>46296</v>
      </c>
      <c r="I1783" s="5" t="n">
        <v>46296</v>
      </c>
      <c r="J1783" s="10" t="inlineStr">
        <is>
          <t>12:40</t>
        </is>
      </c>
      <c r="K1783" s="10" t="inlineStr">
        <is>
          <t>On time</t>
        </is>
      </c>
      <c r="L1783" s="6" t="n">
        <v>0</v>
      </c>
      <c r="M1783" s="10" t="n"/>
      <c r="N1783" s="6" t="n">
        <v>22</v>
      </c>
      <c r="O1783" s="6" t="n">
        <v>2046</v>
      </c>
      <c r="P1783" s="6" t="n">
        <v>1</v>
      </c>
      <c r="Q1783" s="6">
        <f>IF(OR(K1783="On time",K1783="Late",K1783="Very late"),1,0)</f>
        <v/>
      </c>
    </row>
    <row r="1784">
      <c r="A1784" s="10" t="inlineStr">
        <is>
          <t>DN320033</t>
        </is>
      </c>
      <c r="B1784" s="10" t="inlineStr">
        <is>
          <t>SO64073</t>
        </is>
      </c>
      <c r="C1784" s="10" t="inlineStr">
        <is>
          <t>C11798</t>
        </is>
      </c>
      <c r="D1784" s="10">
        <f>INDEX(Customers!$B:$B,MATCH(C1784,Customers!$A:$A,0))</f>
        <v/>
      </c>
      <c r="E1784" s="10">
        <f>INDEX(Customers!$D:$D,MATCH(C1784,Customers!$A:$A,0))</f>
        <v/>
      </c>
      <c r="F1784" s="10" t="inlineStr">
        <is>
          <t>Carrier A</t>
        </is>
      </c>
      <c r="G1784" s="5" t="n">
        <v>46295</v>
      </c>
      <c r="H1784" s="5" t="n">
        <v>46296</v>
      </c>
      <c r="I1784" s="5" t="n">
        <v>46296</v>
      </c>
      <c r="J1784" s="10" t="inlineStr">
        <is>
          <t>13:50</t>
        </is>
      </c>
      <c r="K1784" s="10" t="inlineStr">
        <is>
          <t>On time</t>
        </is>
      </c>
      <c r="L1784" s="6" t="n">
        <v>0</v>
      </c>
      <c r="M1784" s="10" t="n"/>
      <c r="N1784" s="6" t="n">
        <v>24</v>
      </c>
      <c r="O1784" s="6" t="n">
        <v>3360</v>
      </c>
      <c r="P1784" s="6" t="n">
        <v>1</v>
      </c>
      <c r="Q1784" s="6">
        <f>IF(OR(K1784="On time",K1784="Late",K1784="Very late"),1,0)</f>
        <v/>
      </c>
    </row>
    <row r="1785">
      <c r="A1785" s="10" t="inlineStr">
        <is>
          <t>DN320034</t>
        </is>
      </c>
      <c r="B1785" s="10" t="inlineStr">
        <is>
          <t>SO64074</t>
        </is>
      </c>
      <c r="C1785" s="10" t="inlineStr">
        <is>
          <t>C11971</t>
        </is>
      </c>
      <c r="D1785" s="10">
        <f>INDEX(Customers!$B:$B,MATCH(C1785,Customers!$A:$A,0))</f>
        <v/>
      </c>
      <c r="E1785" s="10">
        <f>INDEX(Customers!$D:$D,MATCH(C1785,Customers!$A:$A,0))</f>
        <v/>
      </c>
      <c r="F1785" s="10" t="inlineStr">
        <is>
          <t>Own trucks</t>
        </is>
      </c>
      <c r="G1785" s="5" t="n">
        <v>46295</v>
      </c>
      <c r="H1785" s="5" t="n">
        <v>46296</v>
      </c>
      <c r="I1785" s="5" t="n">
        <v>46296</v>
      </c>
      <c r="J1785" s="10" t="inlineStr">
        <is>
          <t>15:50</t>
        </is>
      </c>
      <c r="K1785" s="10" t="inlineStr">
        <is>
          <t>On time</t>
        </is>
      </c>
      <c r="L1785" s="6" t="n">
        <v>0</v>
      </c>
      <c r="M1785" s="10" t="n"/>
      <c r="N1785" s="6" t="n">
        <v>27</v>
      </c>
      <c r="O1785" s="6" t="n">
        <v>3645</v>
      </c>
      <c r="P1785" s="6" t="n">
        <v>1</v>
      </c>
      <c r="Q1785" s="6">
        <f>IF(OR(K1785="On time",K1785="Late",K1785="Very late"),1,0)</f>
        <v/>
      </c>
    </row>
    <row r="1786">
      <c r="A1786" s="10" t="inlineStr">
        <is>
          <t>DN320035</t>
        </is>
      </c>
      <c r="B1786" s="10" t="inlineStr">
        <is>
          <t>SO64076</t>
        </is>
      </c>
      <c r="C1786" s="10" t="inlineStr">
        <is>
          <t>C11982</t>
        </is>
      </c>
      <c r="D1786" s="10">
        <f>INDEX(Customers!$B:$B,MATCH(C1786,Customers!$A:$A,0))</f>
        <v/>
      </c>
      <c r="E1786" s="10">
        <f>INDEX(Customers!$D:$D,MATCH(C1786,Customers!$A:$A,0))</f>
        <v/>
      </c>
      <c r="F1786" s="10" t="inlineStr">
        <is>
          <t>Own trucks</t>
        </is>
      </c>
      <c r="G1786" s="5" t="n">
        <v>46295</v>
      </c>
      <c r="H1786" s="5" t="n">
        <v>46296</v>
      </c>
      <c r="I1786" s="5" t="n">
        <v>46296</v>
      </c>
      <c r="J1786" s="10" t="inlineStr">
        <is>
          <t>14:10</t>
        </is>
      </c>
      <c r="K1786" s="10" t="inlineStr">
        <is>
          <t>On time</t>
        </is>
      </c>
      <c r="L1786" s="6" t="n">
        <v>0</v>
      </c>
      <c r="M1786" s="10" t="n"/>
      <c r="N1786" s="6" t="n">
        <v>14</v>
      </c>
      <c r="O1786" s="6" t="n">
        <v>1638</v>
      </c>
      <c r="P1786" s="6" t="n">
        <v>1</v>
      </c>
      <c r="Q1786" s="6">
        <f>IF(OR(K1786="On time",K1786="Late",K1786="Very late"),1,0)</f>
        <v/>
      </c>
    </row>
    <row r="1787">
      <c r="A1787" s="10" t="inlineStr">
        <is>
          <t>DN320036</t>
        </is>
      </c>
      <c r="B1787" s="10" t="inlineStr">
        <is>
          <t>SO64077</t>
        </is>
      </c>
      <c r="C1787" s="10" t="inlineStr">
        <is>
          <t>C12103</t>
        </is>
      </c>
      <c r="D1787" s="10">
        <f>INDEX(Customers!$B:$B,MATCH(C1787,Customers!$A:$A,0))</f>
        <v/>
      </c>
      <c r="E1787" s="10">
        <f>INDEX(Customers!$D:$D,MATCH(C1787,Customers!$A:$A,0))</f>
        <v/>
      </c>
      <c r="F1787" s="10" t="inlineStr">
        <is>
          <t>Own trucks</t>
        </is>
      </c>
      <c r="G1787" s="5" t="n">
        <v>46295</v>
      </c>
      <c r="H1787" s="5" t="n">
        <v>46296</v>
      </c>
      <c r="I1787" s="5" t="n">
        <v>46296</v>
      </c>
      <c r="J1787" s="10" t="inlineStr">
        <is>
          <t>15:10</t>
        </is>
      </c>
      <c r="K1787" s="10" t="inlineStr">
        <is>
          <t>On time</t>
        </is>
      </c>
      <c r="L1787" s="6" t="n">
        <v>0</v>
      </c>
      <c r="M1787" s="10" t="n"/>
      <c r="N1787" s="6" t="n">
        <v>30</v>
      </c>
      <c r="O1787" s="6" t="n">
        <v>1830</v>
      </c>
      <c r="P1787" s="6" t="n">
        <v>1</v>
      </c>
      <c r="Q1787" s="6">
        <f>IF(OR(K1787="On time",K1787="Late",K1787="Very late"),1,0)</f>
        <v/>
      </c>
    </row>
    <row r="1788">
      <c r="A1788" s="10" t="inlineStr">
        <is>
          <t>DN320037</t>
        </is>
      </c>
      <c r="B1788" s="10" t="inlineStr">
        <is>
          <t>SO64078</t>
        </is>
      </c>
      <c r="C1788" s="10" t="inlineStr">
        <is>
          <t>C12183</t>
        </is>
      </c>
      <c r="D1788" s="10">
        <f>INDEX(Customers!$B:$B,MATCH(C1788,Customers!$A:$A,0))</f>
        <v/>
      </c>
      <c r="E1788" s="10">
        <f>INDEX(Customers!$D:$D,MATCH(C1788,Customers!$A:$A,0))</f>
        <v/>
      </c>
      <c r="F1788" s="10" t="inlineStr">
        <is>
          <t>Carrier B</t>
        </is>
      </c>
      <c r="G1788" s="5" t="n">
        <v>46295</v>
      </c>
      <c r="H1788" s="5" t="n">
        <v>46296</v>
      </c>
      <c r="I1788" s="5" t="n">
        <v>46296</v>
      </c>
      <c r="J1788" s="10" t="inlineStr">
        <is>
          <t>15:10</t>
        </is>
      </c>
      <c r="K1788" s="10" t="inlineStr">
        <is>
          <t>On time</t>
        </is>
      </c>
      <c r="L1788" s="6" t="n">
        <v>0</v>
      </c>
      <c r="M1788" s="10" t="n"/>
      <c r="N1788" s="6" t="n">
        <v>23</v>
      </c>
      <c r="O1788" s="6" t="n">
        <v>1656</v>
      </c>
      <c r="P1788" s="6" t="n">
        <v>1</v>
      </c>
      <c r="Q1788" s="6">
        <f>IF(OR(K1788="On time",K1788="Late",K1788="Very late"),1,0)</f>
        <v/>
      </c>
    </row>
    <row r="1789">
      <c r="A1789" s="10" t="inlineStr">
        <is>
          <t>DN320038</t>
        </is>
      </c>
      <c r="B1789" s="10" t="inlineStr">
        <is>
          <t>SO64080</t>
        </is>
      </c>
      <c r="C1789" s="10" t="inlineStr">
        <is>
          <t>C12262</t>
        </is>
      </c>
      <c r="D1789" s="10">
        <f>INDEX(Customers!$B:$B,MATCH(C1789,Customers!$A:$A,0))</f>
        <v/>
      </c>
      <c r="E1789" s="10">
        <f>INDEX(Customers!$D:$D,MATCH(C1789,Customers!$A:$A,0))</f>
        <v/>
      </c>
      <c r="F1789" s="10" t="inlineStr">
        <is>
          <t>Carrier B</t>
        </is>
      </c>
      <c r="G1789" s="5" t="n">
        <v>46295</v>
      </c>
      <c r="H1789" s="5" t="n">
        <v>46296</v>
      </c>
      <c r="I1789" s="5" t="n">
        <v>46296</v>
      </c>
      <c r="J1789" s="10" t="inlineStr">
        <is>
          <t>08:50</t>
        </is>
      </c>
      <c r="K1789" s="10" t="inlineStr">
        <is>
          <t>On time</t>
        </is>
      </c>
      <c r="L1789" s="6" t="n">
        <v>0</v>
      </c>
      <c r="M1789" s="10" t="n"/>
      <c r="N1789" s="6" t="n">
        <v>31</v>
      </c>
      <c r="O1789" s="6" t="n">
        <v>2356</v>
      </c>
      <c r="P1789" s="6" t="n">
        <v>1</v>
      </c>
      <c r="Q1789" s="6">
        <f>IF(OR(K1789="On time",K1789="Late",K1789="Very late"),1,0)</f>
        <v/>
      </c>
    </row>
    <row r="1790">
      <c r="A1790" s="10" t="inlineStr">
        <is>
          <t>DN320039</t>
        </is>
      </c>
      <c r="B1790" s="10" t="inlineStr">
        <is>
          <t>SO64081</t>
        </is>
      </c>
      <c r="C1790" s="10" t="inlineStr">
        <is>
          <t>C12305</t>
        </is>
      </c>
      <c r="D1790" s="10">
        <f>INDEX(Customers!$B:$B,MATCH(C1790,Customers!$A:$A,0))</f>
        <v/>
      </c>
      <c r="E1790" s="10">
        <f>INDEX(Customers!$D:$D,MATCH(C1790,Customers!$A:$A,0))</f>
        <v/>
      </c>
      <c r="F1790" s="10" t="inlineStr">
        <is>
          <t>Carrier B</t>
        </is>
      </c>
      <c r="G1790" s="5" t="n">
        <v>46295</v>
      </c>
      <c r="H1790" s="5" t="n">
        <v>46296</v>
      </c>
      <c r="I1790" s="5" t="n">
        <v>46296</v>
      </c>
      <c r="J1790" s="10" t="inlineStr">
        <is>
          <t>14:10</t>
        </is>
      </c>
      <c r="K1790" s="10" t="inlineStr">
        <is>
          <t>On time</t>
        </is>
      </c>
      <c r="L1790" s="6" t="n">
        <v>0</v>
      </c>
      <c r="M1790" s="10" t="n"/>
      <c r="N1790" s="6" t="n">
        <v>13</v>
      </c>
      <c r="O1790" s="6" t="n">
        <v>1287</v>
      </c>
      <c r="P1790" s="6" t="n">
        <v>1</v>
      </c>
      <c r="Q1790" s="6">
        <f>IF(OR(K1790="On time",K1790="Late",K1790="Very late"),1,0)</f>
        <v/>
      </c>
    </row>
    <row r="1791">
      <c r="A1791" s="10" t="inlineStr">
        <is>
          <t>DN320040</t>
        </is>
      </c>
      <c r="B1791" s="10" t="inlineStr">
        <is>
          <t>SO64082</t>
        </is>
      </c>
      <c r="C1791" s="10" t="inlineStr">
        <is>
          <t>C12365</t>
        </is>
      </c>
      <c r="D1791" s="10">
        <f>INDEX(Customers!$B:$B,MATCH(C1791,Customers!$A:$A,0))</f>
        <v/>
      </c>
      <c r="E1791" s="10">
        <f>INDEX(Customers!$D:$D,MATCH(C1791,Customers!$A:$A,0))</f>
        <v/>
      </c>
      <c r="F1791" s="10" t="inlineStr">
        <is>
          <t>Carrier B</t>
        </is>
      </c>
      <c r="G1791" s="5" t="n">
        <v>46295</v>
      </c>
      <c r="H1791" s="5" t="n">
        <v>46296</v>
      </c>
      <c r="I1791" s="5" t="n">
        <v>46296</v>
      </c>
      <c r="J1791" s="10" t="inlineStr">
        <is>
          <t>07:30</t>
        </is>
      </c>
      <c r="K1791" s="10" t="inlineStr">
        <is>
          <t>On time</t>
        </is>
      </c>
      <c r="L1791" s="6" t="n">
        <v>0</v>
      </c>
      <c r="M1791" s="10" t="n"/>
      <c r="N1791" s="6" t="n">
        <v>30</v>
      </c>
      <c r="O1791" s="6" t="n">
        <v>4170</v>
      </c>
      <c r="P1791" s="6" t="n">
        <v>1</v>
      </c>
      <c r="Q1791" s="6">
        <f>IF(OR(K1791="On time",K1791="Late",K1791="Very late"),1,0)</f>
        <v/>
      </c>
    </row>
    <row r="1792">
      <c r="A1792" s="10" t="inlineStr">
        <is>
          <t>DN320041</t>
        </is>
      </c>
      <c r="B1792" s="10" t="inlineStr">
        <is>
          <t>SO64083</t>
        </is>
      </c>
      <c r="C1792" s="10" t="inlineStr">
        <is>
          <t>C12389</t>
        </is>
      </c>
      <c r="D1792" s="10">
        <f>INDEX(Customers!$B:$B,MATCH(C1792,Customers!$A:$A,0))</f>
        <v/>
      </c>
      <c r="E1792" s="10">
        <f>INDEX(Customers!$D:$D,MATCH(C1792,Customers!$A:$A,0))</f>
        <v/>
      </c>
      <c r="F1792" s="10" t="inlineStr">
        <is>
          <t>Carrier A</t>
        </is>
      </c>
      <c r="G1792" s="5" t="n">
        <v>46295</v>
      </c>
      <c r="H1792" s="5" t="n">
        <v>46296</v>
      </c>
      <c r="I1792" s="5" t="n">
        <v>46296</v>
      </c>
      <c r="J1792" s="10" t="inlineStr">
        <is>
          <t>12:10</t>
        </is>
      </c>
      <c r="K1792" s="10" t="inlineStr">
        <is>
          <t>On time</t>
        </is>
      </c>
      <c r="L1792" s="6" t="n">
        <v>0</v>
      </c>
      <c r="M1792" s="10" t="n"/>
      <c r="N1792" s="6" t="n">
        <v>33</v>
      </c>
      <c r="O1792" s="6" t="n">
        <v>2904</v>
      </c>
      <c r="P1792" s="6" t="n">
        <v>1</v>
      </c>
      <c r="Q1792" s="6">
        <f>IF(OR(K1792="On time",K1792="Late",K1792="Very late"),1,0)</f>
        <v/>
      </c>
    </row>
    <row r="1793">
      <c r="A1793" s="10" t="inlineStr">
        <is>
          <t>DN320042</t>
        </is>
      </c>
      <c r="B1793" s="10" t="inlineStr">
        <is>
          <t>SO64084</t>
        </is>
      </c>
      <c r="C1793" s="10" t="inlineStr">
        <is>
          <t>C12420</t>
        </is>
      </c>
      <c r="D1793" s="10">
        <f>INDEX(Customers!$B:$B,MATCH(C1793,Customers!$A:$A,0))</f>
        <v/>
      </c>
      <c r="E1793" s="10">
        <f>INDEX(Customers!$D:$D,MATCH(C1793,Customers!$A:$A,0))</f>
        <v/>
      </c>
      <c r="F1793" s="10" t="inlineStr">
        <is>
          <t>Carrier A</t>
        </is>
      </c>
      <c r="G1793" s="5" t="n">
        <v>46295</v>
      </c>
      <c r="H1793" s="5" t="n">
        <v>46296</v>
      </c>
      <c r="I1793" s="5" t="n">
        <v>46296</v>
      </c>
      <c r="J1793" s="10" t="inlineStr">
        <is>
          <t>14:30</t>
        </is>
      </c>
      <c r="K1793" s="10" t="inlineStr">
        <is>
          <t>On time</t>
        </is>
      </c>
      <c r="L1793" s="6" t="n">
        <v>0</v>
      </c>
      <c r="M1793" s="10" t="n"/>
      <c r="N1793" s="6" t="n">
        <v>27</v>
      </c>
      <c r="O1793" s="6" t="n">
        <v>3591</v>
      </c>
      <c r="P1793" s="6" t="n">
        <v>1</v>
      </c>
      <c r="Q1793" s="6">
        <f>IF(OR(K1793="On time",K1793="Late",K1793="Very late"),1,0)</f>
        <v/>
      </c>
    </row>
    <row r="1794">
      <c r="A1794" s="10" t="inlineStr">
        <is>
          <t>DN320043</t>
        </is>
      </c>
      <c r="B1794" s="10" t="inlineStr">
        <is>
          <t>SO64085</t>
        </is>
      </c>
      <c r="C1794" s="10" t="inlineStr">
        <is>
          <t>C12490</t>
        </is>
      </c>
      <c r="D1794" s="10">
        <f>INDEX(Customers!$B:$B,MATCH(C1794,Customers!$A:$A,0))</f>
        <v/>
      </c>
      <c r="E1794" s="10">
        <f>INDEX(Customers!$D:$D,MATCH(C1794,Customers!$A:$A,0))</f>
        <v/>
      </c>
      <c r="F1794" s="10" t="inlineStr">
        <is>
          <t>Carrier A</t>
        </is>
      </c>
      <c r="G1794" s="5" t="n">
        <v>46295</v>
      </c>
      <c r="H1794" s="5" t="n">
        <v>46296</v>
      </c>
      <c r="I1794" s="5" t="n">
        <v>46296</v>
      </c>
      <c r="J1794" s="10" t="inlineStr">
        <is>
          <t>09:10</t>
        </is>
      </c>
      <c r="K1794" s="10" t="inlineStr">
        <is>
          <t>On time</t>
        </is>
      </c>
      <c r="L1794" s="6" t="n">
        <v>0</v>
      </c>
      <c r="M1794" s="10" t="n"/>
      <c r="N1794" s="6" t="n">
        <v>19</v>
      </c>
      <c r="O1794" s="6" t="n">
        <v>2033</v>
      </c>
      <c r="P1794" s="6" t="n">
        <v>1</v>
      </c>
      <c r="Q1794" s="6">
        <f>IF(OR(K1794="On time",K1794="Late",K1794="Very late"),1,0)</f>
        <v/>
      </c>
    </row>
    <row r="1795">
      <c r="A1795" s="10" t="inlineStr">
        <is>
          <t>DN320044</t>
        </is>
      </c>
      <c r="B1795" s="10" t="inlineStr">
        <is>
          <t>SO64086</t>
        </is>
      </c>
      <c r="C1795" s="10" t="inlineStr">
        <is>
          <t>C12543</t>
        </is>
      </c>
      <c r="D1795" s="10">
        <f>INDEX(Customers!$B:$B,MATCH(C1795,Customers!$A:$A,0))</f>
        <v/>
      </c>
      <c r="E1795" s="10">
        <f>INDEX(Customers!$D:$D,MATCH(C1795,Customers!$A:$A,0))</f>
        <v/>
      </c>
      <c r="F1795" s="10" t="inlineStr">
        <is>
          <t>Carrier B</t>
        </is>
      </c>
      <c r="G1795" s="5" t="n">
        <v>46294</v>
      </c>
      <c r="H1795" s="5" t="n">
        <v>46296</v>
      </c>
      <c r="I1795" s="5" t="n">
        <v>46296</v>
      </c>
      <c r="J1795" s="10" t="inlineStr">
        <is>
          <t>16:40</t>
        </is>
      </c>
      <c r="K1795" s="10" t="inlineStr">
        <is>
          <t>On time</t>
        </is>
      </c>
      <c r="L1795" s="6" t="n">
        <v>0</v>
      </c>
      <c r="M1795" s="10" t="n"/>
      <c r="N1795" s="6" t="n">
        <v>40</v>
      </c>
      <c r="O1795" s="6" t="n">
        <v>2240</v>
      </c>
      <c r="P1795" s="6" t="n">
        <v>1</v>
      </c>
      <c r="Q1795" s="6">
        <f>IF(OR(K1795="On time",K1795="Late",K1795="Very late"),1,0)</f>
        <v/>
      </c>
    </row>
    <row r="1796">
      <c r="A1796" s="10" t="inlineStr">
        <is>
          <t>DN320045</t>
        </is>
      </c>
      <c r="B1796" s="10" t="inlineStr">
        <is>
          <t>SO64087</t>
        </is>
      </c>
      <c r="C1796" s="10" t="inlineStr">
        <is>
          <t>C12617</t>
        </is>
      </c>
      <c r="D1796" s="10">
        <f>INDEX(Customers!$B:$B,MATCH(C1796,Customers!$A:$A,0))</f>
        <v/>
      </c>
      <c r="E1796" s="10">
        <f>INDEX(Customers!$D:$D,MATCH(C1796,Customers!$A:$A,0))</f>
        <v/>
      </c>
      <c r="F1796" s="10" t="inlineStr">
        <is>
          <t>Carrier B</t>
        </is>
      </c>
      <c r="G1796" s="5" t="n">
        <v>46294</v>
      </c>
      <c r="H1796" s="5" t="n">
        <v>46296</v>
      </c>
      <c r="I1796" s="5" t="n">
        <v>46296</v>
      </c>
      <c r="J1796" s="10" t="inlineStr">
        <is>
          <t>12:00</t>
        </is>
      </c>
      <c r="K1796" s="10" t="inlineStr">
        <is>
          <t>On time</t>
        </is>
      </c>
      <c r="L1796" s="6" t="n">
        <v>0</v>
      </c>
      <c r="M1796" s="10" t="n"/>
      <c r="N1796" s="6" t="n">
        <v>4</v>
      </c>
      <c r="O1796" s="6" t="n">
        <v>252</v>
      </c>
      <c r="P1796" s="6" t="n">
        <v>1</v>
      </c>
      <c r="Q1796" s="6">
        <f>IF(OR(K1796="On time",K1796="Late",K1796="Very late"),1,0)</f>
        <v/>
      </c>
    </row>
    <row r="1797">
      <c r="A1797" s="10" t="inlineStr">
        <is>
          <t>DN320046</t>
        </is>
      </c>
      <c r="B1797" s="10" t="inlineStr">
        <is>
          <t>SO64089</t>
        </is>
      </c>
      <c r="C1797" s="10" t="inlineStr">
        <is>
          <t>C12639</t>
        </is>
      </c>
      <c r="D1797" s="10">
        <f>INDEX(Customers!$B:$B,MATCH(C1797,Customers!$A:$A,0))</f>
        <v/>
      </c>
      <c r="E1797" s="10">
        <f>INDEX(Customers!$D:$D,MATCH(C1797,Customers!$A:$A,0))</f>
        <v/>
      </c>
      <c r="F1797" s="10" t="inlineStr">
        <is>
          <t>Carrier B</t>
        </is>
      </c>
      <c r="G1797" s="5" t="n">
        <v>46294</v>
      </c>
      <c r="H1797" s="5" t="n">
        <v>46296</v>
      </c>
      <c r="I1797" s="5" t="n">
        <v>46296</v>
      </c>
      <c r="J1797" s="10" t="inlineStr">
        <is>
          <t>08:00</t>
        </is>
      </c>
      <c r="K1797" s="10" t="inlineStr">
        <is>
          <t>On time</t>
        </is>
      </c>
      <c r="L1797" s="6" t="n">
        <v>0</v>
      </c>
      <c r="M1797" s="10" t="n"/>
      <c r="N1797" s="6" t="n">
        <v>37</v>
      </c>
      <c r="O1797" s="6" t="n">
        <v>4995</v>
      </c>
      <c r="P1797" s="6" t="n">
        <v>1</v>
      </c>
      <c r="Q1797" s="6">
        <f>IF(OR(K1797="On time",K1797="Late",K1797="Very late"),1,0)</f>
        <v/>
      </c>
    </row>
    <row r="1798">
      <c r="A1798" s="10" t="inlineStr">
        <is>
          <t>DN320047</t>
        </is>
      </c>
      <c r="B1798" s="10" t="inlineStr">
        <is>
          <t>SO64091</t>
        </is>
      </c>
      <c r="C1798" s="10" t="inlineStr">
        <is>
          <t>C12675</t>
        </is>
      </c>
      <c r="D1798" s="10">
        <f>INDEX(Customers!$B:$B,MATCH(C1798,Customers!$A:$A,0))</f>
        <v/>
      </c>
      <c r="E1798" s="10">
        <f>INDEX(Customers!$D:$D,MATCH(C1798,Customers!$A:$A,0))</f>
        <v/>
      </c>
      <c r="F1798" s="10" t="inlineStr">
        <is>
          <t>Carrier B</t>
        </is>
      </c>
      <c r="G1798" s="5" t="n">
        <v>46294</v>
      </c>
      <c r="H1798" s="5" t="n">
        <v>46296</v>
      </c>
      <c r="I1798" s="5" t="n">
        <v>46296</v>
      </c>
      <c r="J1798" s="10" t="inlineStr">
        <is>
          <t>12:00</t>
        </is>
      </c>
      <c r="K1798" s="10" t="inlineStr">
        <is>
          <t>On time</t>
        </is>
      </c>
      <c r="L1798" s="6" t="n">
        <v>0</v>
      </c>
      <c r="M1798" s="10" t="n"/>
      <c r="N1798" s="6" t="n">
        <v>17</v>
      </c>
      <c r="O1798" s="6" t="n">
        <v>1088</v>
      </c>
      <c r="P1798" s="6" t="n">
        <v>1</v>
      </c>
      <c r="Q1798" s="6">
        <f>IF(OR(K1798="On time",K1798="Late",K1798="Very late"),1,0)</f>
        <v/>
      </c>
    </row>
    <row r="1799">
      <c r="A1799" s="10" t="inlineStr">
        <is>
          <t>DN320048</t>
        </is>
      </c>
      <c r="B1799" s="10" t="inlineStr">
        <is>
          <t>SO64092</t>
        </is>
      </c>
      <c r="C1799" s="10" t="inlineStr">
        <is>
          <t>C10322</t>
        </is>
      </c>
      <c r="D1799" s="10">
        <f>INDEX(Customers!$B:$B,MATCH(C1799,Customers!$A:$A,0))</f>
        <v/>
      </c>
      <c r="E1799" s="10">
        <f>INDEX(Customers!$D:$D,MATCH(C1799,Customers!$A:$A,0))</f>
        <v/>
      </c>
      <c r="F1799" s="10" t="inlineStr">
        <is>
          <t>Own trucks</t>
        </is>
      </c>
      <c r="G1799" s="5" t="n">
        <v>46296</v>
      </c>
      <c r="H1799" s="5" t="n">
        <v>46297</v>
      </c>
      <c r="I1799" s="5" t="n">
        <v>46297</v>
      </c>
      <c r="J1799" s="10" t="inlineStr">
        <is>
          <t>16:00</t>
        </is>
      </c>
      <c r="K1799" s="10" t="inlineStr">
        <is>
          <t>On time</t>
        </is>
      </c>
      <c r="L1799" s="6" t="n">
        <v>0</v>
      </c>
      <c r="M1799" s="10" t="n"/>
      <c r="N1799" s="6" t="n">
        <v>25</v>
      </c>
      <c r="O1799" s="6" t="n">
        <v>1775</v>
      </c>
      <c r="P1799" s="6" t="n">
        <v>1</v>
      </c>
      <c r="Q1799" s="6">
        <f>IF(OR(K1799="On time",K1799="Late",K1799="Very late"),1,0)</f>
        <v/>
      </c>
    </row>
    <row r="1800">
      <c r="A1800" s="10" t="inlineStr">
        <is>
          <t>DN320049</t>
        </is>
      </c>
      <c r="B1800" s="10" t="inlineStr">
        <is>
          <t>SO64094</t>
        </is>
      </c>
      <c r="C1800" s="10" t="inlineStr">
        <is>
          <t>C10343</t>
        </is>
      </c>
      <c r="D1800" s="10">
        <f>INDEX(Customers!$B:$B,MATCH(C1800,Customers!$A:$A,0))</f>
        <v/>
      </c>
      <c r="E1800" s="10">
        <f>INDEX(Customers!$D:$D,MATCH(C1800,Customers!$A:$A,0))</f>
        <v/>
      </c>
      <c r="F1800" s="10" t="inlineStr">
        <is>
          <t>Own trucks</t>
        </is>
      </c>
      <c r="G1800" s="5" t="n">
        <v>46296</v>
      </c>
      <c r="H1800" s="5" t="n">
        <v>46297</v>
      </c>
      <c r="I1800" s="5" t="n">
        <v>46297</v>
      </c>
      <c r="J1800" s="10" t="inlineStr">
        <is>
          <t>15:10</t>
        </is>
      </c>
      <c r="K1800" s="10" t="inlineStr">
        <is>
          <t>On time</t>
        </is>
      </c>
      <c r="L1800" s="6" t="n">
        <v>0</v>
      </c>
      <c r="M1800" s="10" t="n"/>
      <c r="N1800" s="6" t="n">
        <v>21</v>
      </c>
      <c r="O1800" s="6" t="n">
        <v>1974</v>
      </c>
      <c r="P1800" s="6" t="n">
        <v>1</v>
      </c>
      <c r="Q1800" s="6">
        <f>IF(OR(K1800="On time",K1800="Late",K1800="Very late"),1,0)</f>
        <v/>
      </c>
    </row>
    <row r="1801">
      <c r="A1801" s="10" t="inlineStr">
        <is>
          <t>DN320050</t>
        </is>
      </c>
      <c r="B1801" s="10" t="inlineStr">
        <is>
          <t>SO64096</t>
        </is>
      </c>
      <c r="C1801" s="10" t="inlineStr">
        <is>
          <t>C10446</t>
        </is>
      </c>
      <c r="D1801" s="10">
        <f>INDEX(Customers!$B:$B,MATCH(C1801,Customers!$A:$A,0))</f>
        <v/>
      </c>
      <c r="E1801" s="10">
        <f>INDEX(Customers!$D:$D,MATCH(C1801,Customers!$A:$A,0))</f>
        <v/>
      </c>
      <c r="F1801" s="10" t="inlineStr">
        <is>
          <t>Own trucks</t>
        </is>
      </c>
      <c r="G1801" s="5" t="n">
        <v>46296</v>
      </c>
      <c r="H1801" s="5" t="n">
        <v>46297</v>
      </c>
      <c r="I1801" s="5" t="n">
        <v>46297</v>
      </c>
      <c r="J1801" s="10" t="inlineStr">
        <is>
          <t>11:20</t>
        </is>
      </c>
      <c r="K1801" s="10" t="inlineStr">
        <is>
          <t>On time</t>
        </is>
      </c>
      <c r="L1801" s="6" t="n">
        <v>0</v>
      </c>
      <c r="M1801" s="10" t="n"/>
      <c r="N1801" s="6" t="n">
        <v>26</v>
      </c>
      <c r="O1801" s="6" t="n">
        <v>2808</v>
      </c>
      <c r="P1801" s="6" t="n">
        <v>1</v>
      </c>
      <c r="Q1801" s="6">
        <f>IF(OR(K1801="On time",K1801="Late",K1801="Very late"),1,0)</f>
        <v/>
      </c>
    </row>
    <row r="1802">
      <c r="A1802" s="10" t="inlineStr">
        <is>
          <t>DN320051</t>
        </is>
      </c>
      <c r="B1802" s="10" t="inlineStr">
        <is>
          <t>SO64098</t>
        </is>
      </c>
      <c r="C1802" s="10" t="inlineStr">
        <is>
          <t>C10522</t>
        </is>
      </c>
      <c r="D1802" s="10">
        <f>INDEX(Customers!$B:$B,MATCH(C1802,Customers!$A:$A,0))</f>
        <v/>
      </c>
      <c r="E1802" s="10">
        <f>INDEX(Customers!$D:$D,MATCH(C1802,Customers!$A:$A,0))</f>
        <v/>
      </c>
      <c r="F1802" s="10" t="inlineStr">
        <is>
          <t>Own trucks</t>
        </is>
      </c>
      <c r="G1802" s="5" t="n">
        <v>46296</v>
      </c>
      <c r="H1802" s="5" t="n">
        <v>46297</v>
      </c>
      <c r="I1802" s="5" t="n">
        <v>46297</v>
      </c>
      <c r="J1802" s="10" t="inlineStr">
        <is>
          <t>16:50</t>
        </is>
      </c>
      <c r="K1802" s="10" t="inlineStr">
        <is>
          <t>On time</t>
        </is>
      </c>
      <c r="L1802" s="6" t="n">
        <v>0</v>
      </c>
      <c r="M1802" s="10" t="n"/>
      <c r="N1802" s="6" t="n">
        <v>24</v>
      </c>
      <c r="O1802" s="6" t="n">
        <v>3168</v>
      </c>
      <c r="P1802" s="6" t="n">
        <v>1</v>
      </c>
      <c r="Q1802" s="6">
        <f>IF(OR(K1802="On time",K1802="Late",K1802="Very late"),1,0)</f>
        <v/>
      </c>
    </row>
    <row r="1803">
      <c r="A1803" s="10" t="inlineStr">
        <is>
          <t>DN320052</t>
        </is>
      </c>
      <c r="B1803" s="10" t="inlineStr">
        <is>
          <t>SO64099</t>
        </is>
      </c>
      <c r="C1803" s="10" t="inlineStr">
        <is>
          <t>C10536</t>
        </is>
      </c>
      <c r="D1803" s="10">
        <f>INDEX(Customers!$B:$B,MATCH(C1803,Customers!$A:$A,0))</f>
        <v/>
      </c>
      <c r="E1803" s="10">
        <f>INDEX(Customers!$D:$D,MATCH(C1803,Customers!$A:$A,0))</f>
        <v/>
      </c>
      <c r="F1803" s="10" t="inlineStr">
        <is>
          <t>Own trucks</t>
        </is>
      </c>
      <c r="G1803" s="5" t="n">
        <v>46296</v>
      </c>
      <c r="H1803" s="5" t="n">
        <v>46297</v>
      </c>
      <c r="I1803" s="5" t="n">
        <v>46297</v>
      </c>
      <c r="J1803" s="10" t="inlineStr">
        <is>
          <t>08:10</t>
        </is>
      </c>
      <c r="K1803" s="10" t="inlineStr">
        <is>
          <t>On time</t>
        </is>
      </c>
      <c r="L1803" s="6" t="n">
        <v>0</v>
      </c>
      <c r="M1803" s="10" t="n"/>
      <c r="N1803" s="6" t="n">
        <v>20</v>
      </c>
      <c r="O1803" s="6" t="n">
        <v>1420</v>
      </c>
      <c r="P1803" s="6" t="n">
        <v>1</v>
      </c>
      <c r="Q1803" s="6">
        <f>IF(OR(K1803="On time",K1803="Late",K1803="Very late"),1,0)</f>
        <v/>
      </c>
    </row>
    <row r="1804">
      <c r="A1804" s="10" t="inlineStr">
        <is>
          <t>DN320053</t>
        </is>
      </c>
      <c r="B1804" s="10" t="inlineStr">
        <is>
          <t>SO64100</t>
        </is>
      </c>
      <c r="C1804" s="10" t="inlineStr">
        <is>
          <t>C10589</t>
        </is>
      </c>
      <c r="D1804" s="10">
        <f>INDEX(Customers!$B:$B,MATCH(C1804,Customers!$A:$A,0))</f>
        <v/>
      </c>
      <c r="E1804" s="10">
        <f>INDEX(Customers!$D:$D,MATCH(C1804,Customers!$A:$A,0))</f>
        <v/>
      </c>
      <c r="F1804" s="10" t="inlineStr">
        <is>
          <t>Own trucks</t>
        </is>
      </c>
      <c r="G1804" s="5" t="n">
        <v>46296</v>
      </c>
      <c r="H1804" s="5" t="n">
        <v>46297</v>
      </c>
      <c r="I1804" s="5" t="n">
        <v>46297</v>
      </c>
      <c r="J1804" s="10" t="inlineStr">
        <is>
          <t>13:30</t>
        </is>
      </c>
      <c r="K1804" s="10" t="inlineStr">
        <is>
          <t>On time</t>
        </is>
      </c>
      <c r="L1804" s="6" t="n">
        <v>0</v>
      </c>
      <c r="M1804" s="10" t="n"/>
      <c r="N1804" s="6" t="n">
        <v>25</v>
      </c>
      <c r="O1804" s="6" t="n">
        <v>3250</v>
      </c>
      <c r="P1804" s="6" t="n">
        <v>1</v>
      </c>
      <c r="Q1804" s="6">
        <f>IF(OR(K1804="On time",K1804="Late",K1804="Very late"),1,0)</f>
        <v/>
      </c>
    </row>
    <row r="1805">
      <c r="A1805" s="10" t="inlineStr">
        <is>
          <t>DN320054</t>
        </is>
      </c>
      <c r="B1805" s="10" t="inlineStr">
        <is>
          <t>SO64102</t>
        </is>
      </c>
      <c r="C1805" s="10" t="inlineStr">
        <is>
          <t>C10622</t>
        </is>
      </c>
      <c r="D1805" s="10">
        <f>INDEX(Customers!$B:$B,MATCH(C1805,Customers!$A:$A,0))</f>
        <v/>
      </c>
      <c r="E1805" s="10">
        <f>INDEX(Customers!$D:$D,MATCH(C1805,Customers!$A:$A,0))</f>
        <v/>
      </c>
      <c r="F1805" s="10" t="inlineStr">
        <is>
          <t>Own trucks</t>
        </is>
      </c>
      <c r="G1805" s="5" t="n">
        <v>46296</v>
      </c>
      <c r="H1805" s="5" t="n">
        <v>46297</v>
      </c>
      <c r="I1805" s="5" t="n">
        <v>46297</v>
      </c>
      <c r="J1805" s="10" t="inlineStr">
        <is>
          <t>14:40</t>
        </is>
      </c>
      <c r="K1805" s="10" t="inlineStr">
        <is>
          <t>On time</t>
        </is>
      </c>
      <c r="L1805" s="6" t="n">
        <v>0</v>
      </c>
      <c r="M1805" s="10" t="n"/>
      <c r="N1805" s="6" t="n">
        <v>15</v>
      </c>
      <c r="O1805" s="6" t="n">
        <v>2055</v>
      </c>
      <c r="P1805" s="6" t="n">
        <v>1</v>
      </c>
      <c r="Q1805" s="6">
        <f>IF(OR(K1805="On time",K1805="Late",K1805="Very late"),1,0)</f>
        <v/>
      </c>
    </row>
    <row r="1806">
      <c r="A1806" s="10" t="inlineStr">
        <is>
          <t>DN320055</t>
        </is>
      </c>
      <c r="B1806" s="10" t="inlineStr">
        <is>
          <t>SO64104</t>
        </is>
      </c>
      <c r="C1806" s="10" t="inlineStr">
        <is>
          <t>C10676</t>
        </is>
      </c>
      <c r="D1806" s="10">
        <f>INDEX(Customers!$B:$B,MATCH(C1806,Customers!$A:$A,0))</f>
        <v/>
      </c>
      <c r="E1806" s="10">
        <f>INDEX(Customers!$D:$D,MATCH(C1806,Customers!$A:$A,0))</f>
        <v/>
      </c>
      <c r="F1806" s="10" t="inlineStr">
        <is>
          <t>Own trucks</t>
        </is>
      </c>
      <c r="G1806" s="5" t="n">
        <v>46296</v>
      </c>
      <c r="H1806" s="5" t="n">
        <v>46297</v>
      </c>
      <c r="I1806" s="5" t="n">
        <v>46297</v>
      </c>
      <c r="J1806" s="10" t="inlineStr">
        <is>
          <t>08:30</t>
        </is>
      </c>
      <c r="K1806" s="10" t="inlineStr">
        <is>
          <t>On time</t>
        </is>
      </c>
      <c r="L1806" s="6" t="n">
        <v>0</v>
      </c>
      <c r="M1806" s="10" t="n"/>
      <c r="N1806" s="6" t="n">
        <v>7</v>
      </c>
      <c r="O1806" s="6" t="n">
        <v>882</v>
      </c>
      <c r="P1806" s="6" t="n">
        <v>1</v>
      </c>
      <c r="Q1806" s="6">
        <f>IF(OR(K1806="On time",K1806="Late",K1806="Very late"),1,0)</f>
        <v/>
      </c>
    </row>
    <row r="1807">
      <c r="A1807" s="10" t="inlineStr">
        <is>
          <t>DN320056</t>
        </is>
      </c>
      <c r="B1807" s="10" t="inlineStr">
        <is>
          <t>SO64105</t>
        </is>
      </c>
      <c r="C1807" s="10" t="inlineStr">
        <is>
          <t>C10796</t>
        </is>
      </c>
      <c r="D1807" s="10">
        <f>INDEX(Customers!$B:$B,MATCH(C1807,Customers!$A:$A,0))</f>
        <v/>
      </c>
      <c r="E1807" s="10">
        <f>INDEX(Customers!$D:$D,MATCH(C1807,Customers!$A:$A,0))</f>
        <v/>
      </c>
      <c r="F1807" s="10" t="inlineStr">
        <is>
          <t>Own trucks</t>
        </is>
      </c>
      <c r="G1807" s="5" t="n">
        <v>46296</v>
      </c>
      <c r="H1807" s="5" t="n">
        <v>46297</v>
      </c>
      <c r="I1807" s="5" t="n">
        <v>46297</v>
      </c>
      <c r="J1807" s="10" t="inlineStr">
        <is>
          <t>12:20</t>
        </is>
      </c>
      <c r="K1807" s="10" t="inlineStr">
        <is>
          <t>On time</t>
        </is>
      </c>
      <c r="L1807" s="6" t="n">
        <v>0</v>
      </c>
      <c r="M1807" s="10" t="n"/>
      <c r="N1807" s="6" t="n">
        <v>27</v>
      </c>
      <c r="O1807" s="6" t="n">
        <v>2943</v>
      </c>
      <c r="P1807" s="6" t="n">
        <v>1</v>
      </c>
      <c r="Q1807" s="6">
        <f>IF(OR(K1807="On time",K1807="Late",K1807="Very late"),1,0)</f>
        <v/>
      </c>
    </row>
    <row r="1808">
      <c r="A1808" s="10" t="inlineStr">
        <is>
          <t>DN320057</t>
        </is>
      </c>
      <c r="B1808" s="10" t="inlineStr">
        <is>
          <t>SO64106</t>
        </is>
      </c>
      <c r="C1808" s="10" t="inlineStr">
        <is>
          <t>C10847</t>
        </is>
      </c>
      <c r="D1808" s="10">
        <f>INDEX(Customers!$B:$B,MATCH(C1808,Customers!$A:$A,0))</f>
        <v/>
      </c>
      <c r="E1808" s="10">
        <f>INDEX(Customers!$D:$D,MATCH(C1808,Customers!$A:$A,0))</f>
        <v/>
      </c>
      <c r="F1808" s="10" t="inlineStr">
        <is>
          <t>Own trucks</t>
        </is>
      </c>
      <c r="G1808" s="5" t="n">
        <v>46296</v>
      </c>
      <c r="H1808" s="5" t="n">
        <v>46297</v>
      </c>
      <c r="I1808" s="5" t="n">
        <v>46297</v>
      </c>
      <c r="J1808" s="10" t="inlineStr">
        <is>
          <t>13:00</t>
        </is>
      </c>
      <c r="K1808" s="10" t="inlineStr">
        <is>
          <t>On time</t>
        </is>
      </c>
      <c r="L1808" s="6" t="n">
        <v>0</v>
      </c>
      <c r="M1808" s="10" t="n"/>
      <c r="N1808" s="6" t="n">
        <v>26</v>
      </c>
      <c r="O1808" s="6" t="n">
        <v>2158</v>
      </c>
      <c r="P1808" s="6" t="n">
        <v>1</v>
      </c>
      <c r="Q1808" s="6">
        <f>IF(OR(K1808="On time",K1808="Late",K1808="Very late"),1,0)</f>
        <v/>
      </c>
    </row>
    <row r="1809">
      <c r="A1809" s="10" t="inlineStr">
        <is>
          <t>DN320058</t>
        </is>
      </c>
      <c r="B1809" s="10" t="inlineStr">
        <is>
          <t>SO64107</t>
        </is>
      </c>
      <c r="C1809" s="10" t="inlineStr">
        <is>
          <t>C10915</t>
        </is>
      </c>
      <c r="D1809" s="10">
        <f>INDEX(Customers!$B:$B,MATCH(C1809,Customers!$A:$A,0))</f>
        <v/>
      </c>
      <c r="E1809" s="10">
        <f>INDEX(Customers!$D:$D,MATCH(C1809,Customers!$A:$A,0))</f>
        <v/>
      </c>
      <c r="F1809" s="10" t="inlineStr">
        <is>
          <t>Own trucks</t>
        </is>
      </c>
      <c r="G1809" s="5" t="n">
        <v>46296</v>
      </c>
      <c r="H1809" s="5" t="n">
        <v>46297</v>
      </c>
      <c r="I1809" s="5" t="n">
        <v>46297</v>
      </c>
      <c r="J1809" s="10" t="inlineStr">
        <is>
          <t>09:00</t>
        </is>
      </c>
      <c r="K1809" s="10" t="inlineStr">
        <is>
          <t>On time</t>
        </is>
      </c>
      <c r="L1809" s="6" t="n">
        <v>0</v>
      </c>
      <c r="M1809" s="10" t="n"/>
      <c r="N1809" s="6" t="n">
        <v>12</v>
      </c>
      <c r="O1809" s="6" t="n">
        <v>1140</v>
      </c>
      <c r="P1809" s="6" t="n">
        <v>1</v>
      </c>
      <c r="Q1809" s="6">
        <f>IF(OR(K1809="On time",K1809="Late",K1809="Very late"),1,0)</f>
        <v/>
      </c>
    </row>
    <row r="1810">
      <c r="A1810" s="10" t="inlineStr">
        <is>
          <t>DN320059</t>
        </is>
      </c>
      <c r="B1810" s="10" t="inlineStr">
        <is>
          <t>SO64108</t>
        </is>
      </c>
      <c r="C1810" s="10" t="inlineStr">
        <is>
          <t>C10982</t>
        </is>
      </c>
      <c r="D1810" s="10">
        <f>INDEX(Customers!$B:$B,MATCH(C1810,Customers!$A:$A,0))</f>
        <v/>
      </c>
      <c r="E1810" s="10">
        <f>INDEX(Customers!$D:$D,MATCH(C1810,Customers!$A:$A,0))</f>
        <v/>
      </c>
      <c r="F1810" s="10" t="inlineStr">
        <is>
          <t>Own trucks</t>
        </is>
      </c>
      <c r="G1810" s="5" t="n">
        <v>46296</v>
      </c>
      <c r="H1810" s="5" t="n">
        <v>46297</v>
      </c>
      <c r="I1810" s="5" t="n">
        <v>46297</v>
      </c>
      <c r="J1810" s="10" t="inlineStr">
        <is>
          <t>12:20</t>
        </is>
      </c>
      <c r="K1810" s="10" t="inlineStr">
        <is>
          <t>On time</t>
        </is>
      </c>
      <c r="L1810" s="6" t="n">
        <v>0</v>
      </c>
      <c r="M1810" s="10" t="n"/>
      <c r="N1810" s="6" t="n">
        <v>18</v>
      </c>
      <c r="O1810" s="6" t="n">
        <v>1980</v>
      </c>
      <c r="P1810" s="6" t="n">
        <v>1</v>
      </c>
      <c r="Q1810" s="6">
        <f>IF(OR(K1810="On time",K1810="Late",K1810="Very late"),1,0)</f>
        <v/>
      </c>
    </row>
    <row r="1811">
      <c r="A1811" s="10" t="inlineStr">
        <is>
          <t>DN320060</t>
        </is>
      </c>
      <c r="B1811" s="10" t="inlineStr">
        <is>
          <t>SO64109</t>
        </is>
      </c>
      <c r="C1811" s="10" t="inlineStr">
        <is>
          <t>C11049</t>
        </is>
      </c>
      <c r="D1811" s="10">
        <f>INDEX(Customers!$B:$B,MATCH(C1811,Customers!$A:$A,0))</f>
        <v/>
      </c>
      <c r="E1811" s="10">
        <f>INDEX(Customers!$D:$D,MATCH(C1811,Customers!$A:$A,0))</f>
        <v/>
      </c>
      <c r="F1811" s="10" t="inlineStr">
        <is>
          <t>Own trucks</t>
        </is>
      </c>
      <c r="G1811" s="5" t="n">
        <v>46296</v>
      </c>
      <c r="H1811" s="5" t="n">
        <v>46297</v>
      </c>
      <c r="I1811" s="5" t="n">
        <v>46297</v>
      </c>
      <c r="J1811" s="10" t="inlineStr">
        <is>
          <t>07:30</t>
        </is>
      </c>
      <c r="K1811" s="10" t="inlineStr">
        <is>
          <t>On time</t>
        </is>
      </c>
      <c r="L1811" s="6" t="n">
        <v>0</v>
      </c>
      <c r="M1811" s="10" t="n"/>
      <c r="N1811" s="6" t="n">
        <v>8</v>
      </c>
      <c r="O1811" s="6" t="n">
        <v>760</v>
      </c>
      <c r="P1811" s="6" t="n">
        <v>1</v>
      </c>
      <c r="Q1811" s="6">
        <f>IF(OR(K1811="On time",K1811="Late",K1811="Very late"),1,0)</f>
        <v/>
      </c>
    </row>
    <row r="1812">
      <c r="A1812" s="10" t="inlineStr">
        <is>
          <t>DN320061</t>
        </is>
      </c>
      <c r="B1812" s="10" t="inlineStr">
        <is>
          <t>SO64110</t>
        </is>
      </c>
      <c r="C1812" s="10" t="inlineStr">
        <is>
          <t>C11107</t>
        </is>
      </c>
      <c r="D1812" s="10">
        <f>INDEX(Customers!$B:$B,MATCH(C1812,Customers!$A:$A,0))</f>
        <v/>
      </c>
      <c r="E1812" s="10">
        <f>INDEX(Customers!$D:$D,MATCH(C1812,Customers!$A:$A,0))</f>
        <v/>
      </c>
      <c r="F1812" s="10" t="inlineStr">
        <is>
          <t>Own trucks</t>
        </is>
      </c>
      <c r="G1812" s="5" t="n">
        <v>46296</v>
      </c>
      <c r="H1812" s="5" t="n">
        <v>46297</v>
      </c>
      <c r="I1812" s="5" t="n">
        <v>46297</v>
      </c>
      <c r="J1812" s="10" t="inlineStr">
        <is>
          <t>12:00</t>
        </is>
      </c>
      <c r="K1812" s="10" t="inlineStr">
        <is>
          <t>On time</t>
        </is>
      </c>
      <c r="L1812" s="6" t="n">
        <v>0</v>
      </c>
      <c r="M1812" s="10" t="n"/>
      <c r="N1812" s="6" t="n">
        <v>11</v>
      </c>
      <c r="O1812" s="6" t="n">
        <v>1397</v>
      </c>
      <c r="P1812" s="6" t="n">
        <v>1</v>
      </c>
      <c r="Q1812" s="6">
        <f>IF(OR(K1812="On time",K1812="Late",K1812="Very late"),1,0)</f>
        <v/>
      </c>
    </row>
    <row r="1813">
      <c r="A1813" s="10" t="inlineStr">
        <is>
          <t>DN320062</t>
        </is>
      </c>
      <c r="B1813" s="10" t="inlineStr">
        <is>
          <t>SO64111</t>
        </is>
      </c>
      <c r="C1813" s="10" t="inlineStr">
        <is>
          <t>C11186</t>
        </is>
      </c>
      <c r="D1813" s="10">
        <f>INDEX(Customers!$B:$B,MATCH(C1813,Customers!$A:$A,0))</f>
        <v/>
      </c>
      <c r="E1813" s="10">
        <f>INDEX(Customers!$D:$D,MATCH(C1813,Customers!$A:$A,0))</f>
        <v/>
      </c>
      <c r="F1813" s="10" t="inlineStr">
        <is>
          <t>Own trucks</t>
        </is>
      </c>
      <c r="G1813" s="5" t="n">
        <v>46296</v>
      </c>
      <c r="H1813" s="5" t="n">
        <v>46297</v>
      </c>
      <c r="I1813" s="5" t="n">
        <v>46297</v>
      </c>
      <c r="J1813" s="10" t="inlineStr">
        <is>
          <t>10:00</t>
        </is>
      </c>
      <c r="K1813" s="10" t="inlineStr">
        <is>
          <t>On time</t>
        </is>
      </c>
      <c r="L1813" s="6" t="n">
        <v>0</v>
      </c>
      <c r="M1813" s="10" t="n"/>
      <c r="N1813" s="6" t="n">
        <v>15</v>
      </c>
      <c r="O1813" s="6" t="n">
        <v>825</v>
      </c>
      <c r="P1813" s="6" t="n">
        <v>1</v>
      </c>
      <c r="Q1813" s="6">
        <f>IF(OR(K1813="On time",K1813="Late",K1813="Very late"),1,0)</f>
        <v/>
      </c>
    </row>
    <row r="1814">
      <c r="A1814" s="10" t="inlineStr">
        <is>
          <t>DN320063</t>
        </is>
      </c>
      <c r="B1814" s="10" t="inlineStr">
        <is>
          <t>SO64113</t>
        </is>
      </c>
      <c r="C1814" s="10" t="inlineStr">
        <is>
          <t>C11264</t>
        </is>
      </c>
      <c r="D1814" s="10">
        <f>INDEX(Customers!$B:$B,MATCH(C1814,Customers!$A:$A,0))</f>
        <v/>
      </c>
      <c r="E1814" s="10">
        <f>INDEX(Customers!$D:$D,MATCH(C1814,Customers!$A:$A,0))</f>
        <v/>
      </c>
      <c r="F1814" s="10" t="inlineStr">
        <is>
          <t>Own trucks</t>
        </is>
      </c>
      <c r="G1814" s="5" t="n">
        <v>46296</v>
      </c>
      <c r="H1814" s="5" t="n">
        <v>46297</v>
      </c>
      <c r="I1814" s="5" t="n">
        <v>46297</v>
      </c>
      <c r="J1814" s="10" t="inlineStr">
        <is>
          <t>14:00</t>
        </is>
      </c>
      <c r="K1814" s="10" t="inlineStr">
        <is>
          <t>On time</t>
        </is>
      </c>
      <c r="L1814" s="6" t="n">
        <v>0</v>
      </c>
      <c r="M1814" s="10" t="n"/>
      <c r="N1814" s="6" t="n">
        <v>27</v>
      </c>
      <c r="O1814" s="6" t="n">
        <v>1593</v>
      </c>
      <c r="P1814" s="6" t="n">
        <v>1</v>
      </c>
      <c r="Q1814" s="6">
        <f>IF(OR(K1814="On time",K1814="Late",K1814="Very late"),1,0)</f>
        <v/>
      </c>
    </row>
    <row r="1815">
      <c r="A1815" s="10" t="inlineStr">
        <is>
          <t>DN320064</t>
        </is>
      </c>
      <c r="B1815" s="10" t="inlineStr">
        <is>
          <t>SO64114</t>
        </is>
      </c>
      <c r="C1815" s="10" t="inlineStr">
        <is>
          <t>C11314</t>
        </is>
      </c>
      <c r="D1815" s="10">
        <f>INDEX(Customers!$B:$B,MATCH(C1815,Customers!$A:$A,0))</f>
        <v/>
      </c>
      <c r="E1815" s="10">
        <f>INDEX(Customers!$D:$D,MATCH(C1815,Customers!$A:$A,0))</f>
        <v/>
      </c>
      <c r="F1815" s="10" t="inlineStr">
        <is>
          <t>Own trucks</t>
        </is>
      </c>
      <c r="G1815" s="5" t="n">
        <v>46296</v>
      </c>
      <c r="H1815" s="5" t="n">
        <v>46297</v>
      </c>
      <c r="I1815" s="5" t="n">
        <v>46297</v>
      </c>
      <c r="J1815" s="10" t="inlineStr">
        <is>
          <t>16:00</t>
        </is>
      </c>
      <c r="K1815" s="10" t="inlineStr">
        <is>
          <t>On time</t>
        </is>
      </c>
      <c r="L1815" s="6" t="n">
        <v>0</v>
      </c>
      <c r="M1815" s="10" t="n"/>
      <c r="N1815" s="6" t="n">
        <v>10</v>
      </c>
      <c r="O1815" s="6" t="n">
        <v>650</v>
      </c>
      <c r="P1815" s="6" t="n">
        <v>1</v>
      </c>
      <c r="Q1815" s="6">
        <f>IF(OR(K1815="On time",K1815="Late",K1815="Very late"),1,0)</f>
        <v/>
      </c>
    </row>
    <row r="1816">
      <c r="A1816" s="10" t="inlineStr">
        <is>
          <t>DN320065</t>
        </is>
      </c>
      <c r="B1816" s="10" t="inlineStr">
        <is>
          <t>SO64115</t>
        </is>
      </c>
      <c r="C1816" s="10" t="inlineStr">
        <is>
          <t>C11333</t>
        </is>
      </c>
      <c r="D1816" s="10">
        <f>INDEX(Customers!$B:$B,MATCH(C1816,Customers!$A:$A,0))</f>
        <v/>
      </c>
      <c r="E1816" s="10">
        <f>INDEX(Customers!$D:$D,MATCH(C1816,Customers!$A:$A,0))</f>
        <v/>
      </c>
      <c r="F1816" s="10" t="inlineStr">
        <is>
          <t>Own trucks</t>
        </is>
      </c>
      <c r="G1816" s="5" t="n">
        <v>46296</v>
      </c>
      <c r="H1816" s="5" t="n">
        <v>46297</v>
      </c>
      <c r="I1816" s="5" t="n">
        <v>46297</v>
      </c>
      <c r="J1816" s="10" t="inlineStr">
        <is>
          <t>15:40</t>
        </is>
      </c>
      <c r="K1816" s="10" t="inlineStr">
        <is>
          <t>On time</t>
        </is>
      </c>
      <c r="L1816" s="6" t="n">
        <v>0</v>
      </c>
      <c r="M1816" s="10" t="n"/>
      <c r="N1816" s="6" t="n">
        <v>14</v>
      </c>
      <c r="O1816" s="6" t="n">
        <v>798</v>
      </c>
      <c r="P1816" s="6" t="n">
        <v>1</v>
      </c>
      <c r="Q1816" s="6">
        <f>IF(OR(K1816="On time",K1816="Late",K1816="Very late"),1,0)</f>
        <v/>
      </c>
    </row>
    <row r="1817">
      <c r="A1817" s="10" t="inlineStr">
        <is>
          <t>DN320066</t>
        </is>
      </c>
      <c r="B1817" s="10" t="inlineStr">
        <is>
          <t>SO64117</t>
        </is>
      </c>
      <c r="C1817" s="10" t="inlineStr">
        <is>
          <t>C11400</t>
        </is>
      </c>
      <c r="D1817" s="10">
        <f>INDEX(Customers!$B:$B,MATCH(C1817,Customers!$A:$A,0))</f>
        <v/>
      </c>
      <c r="E1817" s="10">
        <f>INDEX(Customers!$D:$D,MATCH(C1817,Customers!$A:$A,0))</f>
        <v/>
      </c>
      <c r="F1817" s="10" t="inlineStr">
        <is>
          <t>Own trucks</t>
        </is>
      </c>
      <c r="G1817" s="5" t="n">
        <v>46296</v>
      </c>
      <c r="H1817" s="5" t="n">
        <v>46297</v>
      </c>
      <c r="I1817" s="5" t="n">
        <v>46297</v>
      </c>
      <c r="J1817" s="10" t="inlineStr">
        <is>
          <t>11:00</t>
        </is>
      </c>
      <c r="K1817" s="10" t="inlineStr">
        <is>
          <t>On time</t>
        </is>
      </c>
      <c r="L1817" s="6" t="n">
        <v>0</v>
      </c>
      <c r="M1817" s="10" t="n"/>
      <c r="N1817" s="6" t="n">
        <v>31</v>
      </c>
      <c r="O1817" s="6" t="n">
        <v>2852</v>
      </c>
      <c r="P1817" s="6" t="n">
        <v>1</v>
      </c>
      <c r="Q1817" s="6">
        <f>IF(OR(K1817="On time",K1817="Late",K1817="Very late"),1,0)</f>
        <v/>
      </c>
    </row>
    <row r="1818">
      <c r="A1818" s="10" t="inlineStr">
        <is>
          <t>DN320067</t>
        </is>
      </c>
      <c r="B1818" s="10" t="inlineStr">
        <is>
          <t>SO64118</t>
        </is>
      </c>
      <c r="C1818" s="10" t="inlineStr">
        <is>
          <t>C11463</t>
        </is>
      </c>
      <c r="D1818" s="10">
        <f>INDEX(Customers!$B:$B,MATCH(C1818,Customers!$A:$A,0))</f>
        <v/>
      </c>
      <c r="E1818" s="10">
        <f>INDEX(Customers!$D:$D,MATCH(C1818,Customers!$A:$A,0))</f>
        <v/>
      </c>
      <c r="F1818" s="10" t="inlineStr">
        <is>
          <t>Own trucks</t>
        </is>
      </c>
      <c r="G1818" s="5" t="n">
        <v>46296</v>
      </c>
      <c r="H1818" s="5" t="n">
        <v>46297</v>
      </c>
      <c r="I1818" s="5" t="n">
        <v>46297</v>
      </c>
      <c r="J1818" s="10" t="inlineStr">
        <is>
          <t>13:20</t>
        </is>
      </c>
      <c r="K1818" s="10" t="inlineStr">
        <is>
          <t>On time</t>
        </is>
      </c>
      <c r="L1818" s="6" t="n">
        <v>0</v>
      </c>
      <c r="M1818" s="10" t="n"/>
      <c r="N1818" s="6" t="n">
        <v>14</v>
      </c>
      <c r="O1818" s="6" t="n">
        <v>1092</v>
      </c>
      <c r="P1818" s="6" t="n">
        <v>1</v>
      </c>
      <c r="Q1818" s="6">
        <f>IF(OR(K1818="On time",K1818="Late",K1818="Very late"),1,0)</f>
        <v/>
      </c>
    </row>
    <row r="1819">
      <c r="A1819" s="10" t="inlineStr">
        <is>
          <t>DN320068</t>
        </is>
      </c>
      <c r="B1819" s="10" t="inlineStr">
        <is>
          <t>SO64120</t>
        </is>
      </c>
      <c r="C1819" s="10" t="inlineStr">
        <is>
          <t>C11518</t>
        </is>
      </c>
      <c r="D1819" s="10">
        <f>INDEX(Customers!$B:$B,MATCH(C1819,Customers!$A:$A,0))</f>
        <v/>
      </c>
      <c r="E1819" s="10">
        <f>INDEX(Customers!$D:$D,MATCH(C1819,Customers!$A:$A,0))</f>
        <v/>
      </c>
      <c r="F1819" s="10" t="inlineStr">
        <is>
          <t>Own trucks</t>
        </is>
      </c>
      <c r="G1819" s="5" t="n">
        <v>46296</v>
      </c>
      <c r="H1819" s="5" t="n">
        <v>46297</v>
      </c>
      <c r="I1819" s="5" t="n">
        <v>46297</v>
      </c>
      <c r="J1819" s="10" t="inlineStr">
        <is>
          <t>10:40</t>
        </is>
      </c>
      <c r="K1819" s="10" t="inlineStr">
        <is>
          <t>On time</t>
        </is>
      </c>
      <c r="L1819" s="6" t="n">
        <v>0</v>
      </c>
      <c r="M1819" s="10" t="n"/>
      <c r="N1819" s="6" t="n">
        <v>4</v>
      </c>
      <c r="O1819" s="6" t="n">
        <v>556</v>
      </c>
      <c r="P1819" s="6" t="n">
        <v>1</v>
      </c>
      <c r="Q1819" s="6">
        <f>IF(OR(K1819="On time",K1819="Late",K1819="Very late"),1,0)</f>
        <v/>
      </c>
    </row>
    <row r="1820">
      <c r="A1820" s="10" t="inlineStr">
        <is>
          <t>DN320069</t>
        </is>
      </c>
      <c r="B1820" s="10" t="inlineStr">
        <is>
          <t>SO64122</t>
        </is>
      </c>
      <c r="C1820" s="10" t="inlineStr">
        <is>
          <t>C11579</t>
        </is>
      </c>
      <c r="D1820" s="10">
        <f>INDEX(Customers!$B:$B,MATCH(C1820,Customers!$A:$A,0))</f>
        <v/>
      </c>
      <c r="E1820" s="10">
        <f>INDEX(Customers!$D:$D,MATCH(C1820,Customers!$A:$A,0))</f>
        <v/>
      </c>
      <c r="F1820" s="10" t="inlineStr">
        <is>
          <t>Own trucks</t>
        </is>
      </c>
      <c r="G1820" s="5" t="n">
        <v>46296</v>
      </c>
      <c r="H1820" s="5" t="n">
        <v>46297</v>
      </c>
      <c r="I1820" s="5" t="n">
        <v>46297</v>
      </c>
      <c r="J1820" s="10" t="inlineStr">
        <is>
          <t>09:20</t>
        </is>
      </c>
      <c r="K1820" s="10" t="inlineStr">
        <is>
          <t>On time</t>
        </is>
      </c>
      <c r="L1820" s="6" t="n">
        <v>0</v>
      </c>
      <c r="M1820" s="10" t="n"/>
      <c r="N1820" s="6" t="n">
        <v>7</v>
      </c>
      <c r="O1820" s="6" t="n">
        <v>539</v>
      </c>
      <c r="P1820" s="6" t="n">
        <v>1</v>
      </c>
      <c r="Q1820" s="6">
        <f>IF(OR(K1820="On time",K1820="Late",K1820="Very late"),1,0)</f>
        <v/>
      </c>
    </row>
    <row r="1821">
      <c r="A1821" s="10" t="inlineStr">
        <is>
          <t>DN320070</t>
        </is>
      </c>
      <c r="B1821" s="10" t="inlineStr">
        <is>
          <t>SO64124</t>
        </is>
      </c>
      <c r="C1821" s="10" t="inlineStr">
        <is>
          <t>C11666</t>
        </is>
      </c>
      <c r="D1821" s="10">
        <f>INDEX(Customers!$B:$B,MATCH(C1821,Customers!$A:$A,0))</f>
        <v/>
      </c>
      <c r="E1821" s="10">
        <f>INDEX(Customers!$D:$D,MATCH(C1821,Customers!$A:$A,0))</f>
        <v/>
      </c>
      <c r="F1821" s="10" t="inlineStr">
        <is>
          <t>Own trucks</t>
        </is>
      </c>
      <c r="G1821" s="5" t="n">
        <v>46296</v>
      </c>
      <c r="H1821" s="5" t="n">
        <v>46297</v>
      </c>
      <c r="I1821" s="5" t="n">
        <v>46297</v>
      </c>
      <c r="J1821" s="10" t="inlineStr">
        <is>
          <t>10:40</t>
        </is>
      </c>
      <c r="K1821" s="10" t="inlineStr">
        <is>
          <t>On time</t>
        </is>
      </c>
      <c r="L1821" s="6" t="n">
        <v>0</v>
      </c>
      <c r="M1821" s="10" t="n"/>
      <c r="N1821" s="6" t="n">
        <v>39</v>
      </c>
      <c r="O1821" s="6" t="n">
        <v>4329</v>
      </c>
      <c r="P1821" s="6" t="n">
        <v>1</v>
      </c>
      <c r="Q1821" s="6">
        <f>IF(OR(K1821="On time",K1821="Late",K1821="Very late"),1,0)</f>
        <v/>
      </c>
    </row>
    <row r="1822">
      <c r="A1822" s="10" t="inlineStr">
        <is>
          <t>DN320071</t>
        </is>
      </c>
      <c r="B1822" s="10" t="inlineStr">
        <is>
          <t>SO64125</t>
        </is>
      </c>
      <c r="C1822" s="10" t="inlineStr">
        <is>
          <t>C11718</t>
        </is>
      </c>
      <c r="D1822" s="10">
        <f>INDEX(Customers!$B:$B,MATCH(C1822,Customers!$A:$A,0))</f>
        <v/>
      </c>
      <c r="E1822" s="10">
        <f>INDEX(Customers!$D:$D,MATCH(C1822,Customers!$A:$A,0))</f>
        <v/>
      </c>
      <c r="F1822" s="10" t="inlineStr">
        <is>
          <t>Own trucks</t>
        </is>
      </c>
      <c r="G1822" s="5" t="n">
        <v>46296</v>
      </c>
      <c r="H1822" s="5" t="n">
        <v>46297</v>
      </c>
      <c r="I1822" s="5" t="n">
        <v>46297</v>
      </c>
      <c r="J1822" s="10" t="inlineStr">
        <is>
          <t>11:20</t>
        </is>
      </c>
      <c r="K1822" s="10" t="inlineStr">
        <is>
          <t>On time</t>
        </is>
      </c>
      <c r="L1822" s="6" t="n">
        <v>0</v>
      </c>
      <c r="M1822" s="10" t="n"/>
      <c r="N1822" s="6" t="n">
        <v>9</v>
      </c>
      <c r="O1822" s="6" t="n">
        <v>603</v>
      </c>
      <c r="P1822" s="6" t="n">
        <v>1</v>
      </c>
      <c r="Q1822" s="6">
        <f>IF(OR(K1822="On time",K1822="Late",K1822="Very late"),1,0)</f>
        <v/>
      </c>
    </row>
    <row r="1823">
      <c r="A1823" s="10" t="inlineStr">
        <is>
          <t>DN320073</t>
        </is>
      </c>
      <c r="B1823" s="10" t="inlineStr">
        <is>
          <t>SO64126</t>
        </is>
      </c>
      <c r="C1823" s="10" t="inlineStr">
        <is>
          <t>C11790</t>
        </is>
      </c>
      <c r="D1823" s="10">
        <f>INDEX(Customers!$B:$B,MATCH(C1823,Customers!$A:$A,0))</f>
        <v/>
      </c>
      <c r="E1823" s="10">
        <f>INDEX(Customers!$D:$D,MATCH(C1823,Customers!$A:$A,0))</f>
        <v/>
      </c>
      <c r="F1823" s="10" t="inlineStr">
        <is>
          <t>Carrier A</t>
        </is>
      </c>
      <c r="G1823" s="5" t="n">
        <v>46296</v>
      </c>
      <c r="H1823" s="5" t="n">
        <v>46297</v>
      </c>
      <c r="I1823" s="5" t="n">
        <v>46297</v>
      </c>
      <c r="J1823" s="10" t="inlineStr">
        <is>
          <t>07:50</t>
        </is>
      </c>
      <c r="K1823" s="10" t="inlineStr">
        <is>
          <t>On time</t>
        </is>
      </c>
      <c r="L1823" s="6" t="n">
        <v>0</v>
      </c>
      <c r="M1823" s="10" t="n"/>
      <c r="N1823" s="6" t="n">
        <v>28</v>
      </c>
      <c r="O1823" s="6" t="n">
        <v>2660</v>
      </c>
      <c r="P1823" s="6" t="n">
        <v>1</v>
      </c>
      <c r="Q1823" s="6">
        <f>IF(OR(K1823="On time",K1823="Late",K1823="Very late"),1,0)</f>
        <v/>
      </c>
    </row>
    <row r="1824">
      <c r="A1824" s="10" t="inlineStr">
        <is>
          <t>DN320074</t>
        </is>
      </c>
      <c r="B1824" s="10" t="inlineStr">
        <is>
          <t>SO64128</t>
        </is>
      </c>
      <c r="C1824" s="10" t="inlineStr">
        <is>
          <t>C11798</t>
        </is>
      </c>
      <c r="D1824" s="10">
        <f>INDEX(Customers!$B:$B,MATCH(C1824,Customers!$A:$A,0))</f>
        <v/>
      </c>
      <c r="E1824" s="10">
        <f>INDEX(Customers!$D:$D,MATCH(C1824,Customers!$A:$A,0))</f>
        <v/>
      </c>
      <c r="F1824" s="10" t="inlineStr">
        <is>
          <t>Carrier A</t>
        </is>
      </c>
      <c r="G1824" s="5" t="n">
        <v>46296</v>
      </c>
      <c r="H1824" s="5" t="n">
        <v>46297</v>
      </c>
      <c r="I1824" s="5" t="n">
        <v>46297</v>
      </c>
      <c r="J1824" s="10" t="inlineStr">
        <is>
          <t>08:40</t>
        </is>
      </c>
      <c r="K1824" s="10" t="inlineStr">
        <is>
          <t>On time</t>
        </is>
      </c>
      <c r="L1824" s="6" t="n">
        <v>0</v>
      </c>
      <c r="M1824" s="10" t="n"/>
      <c r="N1824" s="6" t="n">
        <v>23</v>
      </c>
      <c r="O1824" s="6" t="n">
        <v>2691</v>
      </c>
      <c r="P1824" s="6" t="n">
        <v>1</v>
      </c>
      <c r="Q1824" s="6">
        <f>IF(OR(K1824="On time",K1824="Late",K1824="Very late"),1,0)</f>
        <v/>
      </c>
    </row>
    <row r="1825">
      <c r="A1825" s="10" t="inlineStr">
        <is>
          <t>DN320075</t>
        </is>
      </c>
      <c r="B1825" s="10" t="inlineStr">
        <is>
          <t>SO64130</t>
        </is>
      </c>
      <c r="C1825" s="10" t="inlineStr">
        <is>
          <t>C11866</t>
        </is>
      </c>
      <c r="D1825" s="10">
        <f>INDEX(Customers!$B:$B,MATCH(C1825,Customers!$A:$A,0))</f>
        <v/>
      </c>
      <c r="E1825" s="10">
        <f>INDEX(Customers!$D:$D,MATCH(C1825,Customers!$A:$A,0))</f>
        <v/>
      </c>
      <c r="F1825" s="10" t="inlineStr">
        <is>
          <t>Carrier A</t>
        </is>
      </c>
      <c r="G1825" s="5" t="n">
        <v>46296</v>
      </c>
      <c r="H1825" s="5" t="n">
        <v>46297</v>
      </c>
      <c r="I1825" s="5" t="n"/>
      <c r="J1825" s="10" t="n"/>
      <c r="K1825" s="10" t="inlineStr">
        <is>
          <t>Overdue</t>
        </is>
      </c>
      <c r="L1825" s="6" t="n">
        <v>1</v>
      </c>
      <c r="M1825" s="10" t="inlineStr">
        <is>
          <t>Customer closed (failed attempt)</t>
        </is>
      </c>
      <c r="N1825" s="6" t="n">
        <v>30</v>
      </c>
      <c r="O1825" s="6" t="n">
        <v>1830</v>
      </c>
      <c r="P1825" s="6" t="n">
        <v>1</v>
      </c>
      <c r="Q1825" s="6">
        <f>IF(OR(K1825="On time",K1825="Late",K1825="Very late"),1,0)</f>
        <v/>
      </c>
    </row>
    <row r="1826">
      <c r="A1826" s="10" t="inlineStr">
        <is>
          <t>DN320076</t>
        </is>
      </c>
      <c r="B1826" s="10" t="inlineStr">
        <is>
          <t>SO64132</t>
        </is>
      </c>
      <c r="C1826" s="10" t="inlineStr">
        <is>
          <t>C11910</t>
        </is>
      </c>
      <c r="D1826" s="10">
        <f>INDEX(Customers!$B:$B,MATCH(C1826,Customers!$A:$A,0))</f>
        <v/>
      </c>
      <c r="E1826" s="10">
        <f>INDEX(Customers!$D:$D,MATCH(C1826,Customers!$A:$A,0))</f>
        <v/>
      </c>
      <c r="F1826" s="10" t="inlineStr">
        <is>
          <t>Carrier A</t>
        </is>
      </c>
      <c r="G1826" s="5" t="n">
        <v>46296</v>
      </c>
      <c r="H1826" s="5" t="n">
        <v>46297</v>
      </c>
      <c r="I1826" s="5" t="n">
        <v>46297</v>
      </c>
      <c r="J1826" s="10" t="inlineStr">
        <is>
          <t>13:50</t>
        </is>
      </c>
      <c r="K1826" s="10" t="inlineStr">
        <is>
          <t>On time</t>
        </is>
      </c>
      <c r="L1826" s="6" t="n">
        <v>0</v>
      </c>
      <c r="M1826" s="10" t="n"/>
      <c r="N1826" s="6" t="n">
        <v>25</v>
      </c>
      <c r="O1826" s="6" t="n">
        <v>3425</v>
      </c>
      <c r="P1826" s="6" t="n">
        <v>1</v>
      </c>
      <c r="Q1826" s="6">
        <f>IF(OR(K1826="On time",K1826="Late",K1826="Very late"),1,0)</f>
        <v/>
      </c>
    </row>
    <row r="1827">
      <c r="A1827" s="10" t="inlineStr">
        <is>
          <t>DN320077</t>
        </is>
      </c>
      <c r="B1827" s="10" t="inlineStr">
        <is>
          <t>SO64133</t>
        </is>
      </c>
      <c r="C1827" s="10" t="inlineStr">
        <is>
          <t>C11971</t>
        </is>
      </c>
      <c r="D1827" s="10">
        <f>INDEX(Customers!$B:$B,MATCH(C1827,Customers!$A:$A,0))</f>
        <v/>
      </c>
      <c r="E1827" s="10">
        <f>INDEX(Customers!$D:$D,MATCH(C1827,Customers!$A:$A,0))</f>
        <v/>
      </c>
      <c r="F1827" s="10" t="inlineStr">
        <is>
          <t>Own trucks</t>
        </is>
      </c>
      <c r="G1827" s="5" t="n">
        <v>46296</v>
      </c>
      <c r="H1827" s="5" t="n">
        <v>46297</v>
      </c>
      <c r="I1827" s="5" t="n">
        <v>46297</v>
      </c>
      <c r="J1827" s="10" t="inlineStr">
        <is>
          <t>12:40</t>
        </is>
      </c>
      <c r="K1827" s="10" t="inlineStr">
        <is>
          <t>On time</t>
        </is>
      </c>
      <c r="L1827" s="6" t="n">
        <v>0</v>
      </c>
      <c r="M1827" s="10" t="n"/>
      <c r="N1827" s="6" t="n">
        <v>8</v>
      </c>
      <c r="O1827" s="6" t="n">
        <v>568</v>
      </c>
      <c r="P1827" s="6" t="n">
        <v>1</v>
      </c>
      <c r="Q1827" s="6">
        <f>IF(OR(K1827="On time",K1827="Late",K1827="Very late"),1,0)</f>
        <v/>
      </c>
    </row>
    <row r="1828">
      <c r="A1828" s="10" t="inlineStr">
        <is>
          <t>DN320078</t>
        </is>
      </c>
      <c r="B1828" s="10" t="inlineStr">
        <is>
          <t>SO64134</t>
        </is>
      </c>
      <c r="C1828" s="10" t="inlineStr">
        <is>
          <t>C11982</t>
        </is>
      </c>
      <c r="D1828" s="10">
        <f>INDEX(Customers!$B:$B,MATCH(C1828,Customers!$A:$A,0))</f>
        <v/>
      </c>
      <c r="E1828" s="10">
        <f>INDEX(Customers!$D:$D,MATCH(C1828,Customers!$A:$A,0))</f>
        <v/>
      </c>
      <c r="F1828" s="10" t="inlineStr">
        <is>
          <t>Own trucks</t>
        </is>
      </c>
      <c r="G1828" s="5" t="n">
        <v>46296</v>
      </c>
      <c r="H1828" s="5" t="n">
        <v>46297</v>
      </c>
      <c r="I1828" s="5" t="n">
        <v>46297</v>
      </c>
      <c r="J1828" s="10" t="inlineStr">
        <is>
          <t>12:40</t>
        </is>
      </c>
      <c r="K1828" s="10" t="inlineStr">
        <is>
          <t>On time</t>
        </is>
      </c>
      <c r="L1828" s="6" t="n">
        <v>0</v>
      </c>
      <c r="M1828" s="10" t="n"/>
      <c r="N1828" s="6" t="n">
        <v>10</v>
      </c>
      <c r="O1828" s="6" t="n">
        <v>790</v>
      </c>
      <c r="P1828" s="6" t="n">
        <v>1</v>
      </c>
      <c r="Q1828" s="6">
        <f>IF(OR(K1828="On time",K1828="Late",K1828="Very late"),1,0)</f>
        <v/>
      </c>
    </row>
    <row r="1829">
      <c r="A1829" s="10" t="inlineStr">
        <is>
          <t>DN320079</t>
        </is>
      </c>
      <c r="B1829" s="10" t="inlineStr">
        <is>
          <t>SO64135</t>
        </is>
      </c>
      <c r="C1829" s="10" t="inlineStr">
        <is>
          <t>C12037</t>
        </is>
      </c>
      <c r="D1829" s="10">
        <f>INDEX(Customers!$B:$B,MATCH(C1829,Customers!$A:$A,0))</f>
        <v/>
      </c>
      <c r="E1829" s="10">
        <f>INDEX(Customers!$D:$D,MATCH(C1829,Customers!$A:$A,0))</f>
        <v/>
      </c>
      <c r="F1829" s="10" t="inlineStr">
        <is>
          <t>Own trucks</t>
        </is>
      </c>
      <c r="G1829" s="5" t="n">
        <v>46296</v>
      </c>
      <c r="H1829" s="5" t="n">
        <v>46297</v>
      </c>
      <c r="I1829" s="5" t="n">
        <v>46297</v>
      </c>
      <c r="J1829" s="10" t="inlineStr">
        <is>
          <t>07:50</t>
        </is>
      </c>
      <c r="K1829" s="10" t="inlineStr">
        <is>
          <t>On time</t>
        </is>
      </c>
      <c r="L1829" s="6" t="n">
        <v>0</v>
      </c>
      <c r="M1829" s="10" t="n"/>
      <c r="N1829" s="6" t="n">
        <v>19</v>
      </c>
      <c r="O1829" s="6" t="n">
        <v>1349</v>
      </c>
      <c r="P1829" s="6" t="n">
        <v>1</v>
      </c>
      <c r="Q1829" s="6">
        <f>IF(OR(K1829="On time",K1829="Late",K1829="Very late"),1,0)</f>
        <v/>
      </c>
    </row>
    <row r="1830">
      <c r="A1830" s="10" t="inlineStr">
        <is>
          <t>DN320080</t>
        </is>
      </c>
      <c r="B1830" s="10" t="inlineStr">
        <is>
          <t>SO64136</t>
        </is>
      </c>
      <c r="C1830" s="10" t="inlineStr">
        <is>
          <t>C12103</t>
        </is>
      </c>
      <c r="D1830" s="10">
        <f>INDEX(Customers!$B:$B,MATCH(C1830,Customers!$A:$A,0))</f>
        <v/>
      </c>
      <c r="E1830" s="10">
        <f>INDEX(Customers!$D:$D,MATCH(C1830,Customers!$A:$A,0))</f>
        <v/>
      </c>
      <c r="F1830" s="10" t="inlineStr">
        <is>
          <t>Own trucks</t>
        </is>
      </c>
      <c r="G1830" s="5" t="n">
        <v>46296</v>
      </c>
      <c r="H1830" s="5" t="n">
        <v>46297</v>
      </c>
      <c r="I1830" s="5" t="n">
        <v>46297</v>
      </c>
      <c r="J1830" s="10" t="inlineStr">
        <is>
          <t>13:20</t>
        </is>
      </c>
      <c r="K1830" s="10" t="inlineStr">
        <is>
          <t>On time</t>
        </is>
      </c>
      <c r="L1830" s="6" t="n">
        <v>0</v>
      </c>
      <c r="M1830" s="10" t="n"/>
      <c r="N1830" s="6" t="n">
        <v>36</v>
      </c>
      <c r="O1830" s="6" t="n">
        <v>3600</v>
      </c>
      <c r="P1830" s="6" t="n">
        <v>1</v>
      </c>
      <c r="Q1830" s="6">
        <f>IF(OR(K1830="On time",K1830="Late",K1830="Very late"),1,0)</f>
        <v/>
      </c>
    </row>
    <row r="1831">
      <c r="A1831" s="10" t="inlineStr">
        <is>
          <t>DN320081</t>
        </is>
      </c>
      <c r="B1831" s="10" t="inlineStr">
        <is>
          <t>SO64138</t>
        </is>
      </c>
      <c r="C1831" s="10" t="inlineStr">
        <is>
          <t>C12117</t>
        </is>
      </c>
      <c r="D1831" s="10">
        <f>INDEX(Customers!$B:$B,MATCH(C1831,Customers!$A:$A,0))</f>
        <v/>
      </c>
      <c r="E1831" s="10">
        <f>INDEX(Customers!$D:$D,MATCH(C1831,Customers!$A:$A,0))</f>
        <v/>
      </c>
      <c r="F1831" s="10" t="inlineStr">
        <is>
          <t>Own trucks</t>
        </is>
      </c>
      <c r="G1831" s="5" t="n">
        <v>46296</v>
      </c>
      <c r="H1831" s="5" t="n">
        <v>46297</v>
      </c>
      <c r="I1831" s="5" t="n">
        <v>46297</v>
      </c>
      <c r="J1831" s="10" t="inlineStr">
        <is>
          <t>11:00</t>
        </is>
      </c>
      <c r="K1831" s="10" t="inlineStr">
        <is>
          <t>On time</t>
        </is>
      </c>
      <c r="L1831" s="6" t="n">
        <v>0</v>
      </c>
      <c r="M1831" s="10" t="n"/>
      <c r="N1831" s="6" t="n">
        <v>19</v>
      </c>
      <c r="O1831" s="6" t="n">
        <v>2508</v>
      </c>
      <c r="P1831" s="6" t="n">
        <v>1</v>
      </c>
      <c r="Q1831" s="6">
        <f>IF(OR(K1831="On time",K1831="Late",K1831="Very late"),1,0)</f>
        <v/>
      </c>
    </row>
    <row r="1832">
      <c r="A1832" s="10" t="inlineStr">
        <is>
          <t>DN320082</t>
        </is>
      </c>
      <c r="B1832" s="10" t="inlineStr">
        <is>
          <t>SO64139</t>
        </is>
      </c>
      <c r="C1832" s="10" t="inlineStr">
        <is>
          <t>C12239</t>
        </is>
      </c>
      <c r="D1832" s="10">
        <f>INDEX(Customers!$B:$B,MATCH(C1832,Customers!$A:$A,0))</f>
        <v/>
      </c>
      <c r="E1832" s="10">
        <f>INDEX(Customers!$D:$D,MATCH(C1832,Customers!$A:$A,0))</f>
        <v/>
      </c>
      <c r="F1832" s="10" t="inlineStr">
        <is>
          <t>Carrier B</t>
        </is>
      </c>
      <c r="G1832" s="5" t="n">
        <v>46296</v>
      </c>
      <c r="H1832" s="5" t="n">
        <v>46297</v>
      </c>
      <c r="I1832" s="5" t="n">
        <v>46297</v>
      </c>
      <c r="J1832" s="10" t="inlineStr">
        <is>
          <t>14:20</t>
        </is>
      </c>
      <c r="K1832" s="10" t="inlineStr">
        <is>
          <t>On time</t>
        </is>
      </c>
      <c r="L1832" s="6" t="n">
        <v>0</v>
      </c>
      <c r="M1832" s="10" t="n"/>
      <c r="N1832" s="6" t="n">
        <v>22</v>
      </c>
      <c r="O1832" s="6" t="n">
        <v>1738</v>
      </c>
      <c r="P1832" s="6" t="n">
        <v>1</v>
      </c>
      <c r="Q1832" s="6">
        <f>IF(OR(K1832="On time",K1832="Late",K1832="Very late"),1,0)</f>
        <v/>
      </c>
    </row>
    <row r="1833">
      <c r="A1833" s="10" t="inlineStr">
        <is>
          <t>DN320083</t>
        </is>
      </c>
      <c r="B1833" s="10" t="inlineStr">
        <is>
          <t>SO64140</t>
        </is>
      </c>
      <c r="C1833" s="10" t="inlineStr">
        <is>
          <t>C12262</t>
        </is>
      </c>
      <c r="D1833" s="10">
        <f>INDEX(Customers!$B:$B,MATCH(C1833,Customers!$A:$A,0))</f>
        <v/>
      </c>
      <c r="E1833" s="10">
        <f>INDEX(Customers!$D:$D,MATCH(C1833,Customers!$A:$A,0))</f>
        <v/>
      </c>
      <c r="F1833" s="10" t="inlineStr">
        <is>
          <t>Carrier B</t>
        </is>
      </c>
      <c r="G1833" s="5" t="n">
        <v>46296</v>
      </c>
      <c r="H1833" s="5" t="n">
        <v>46297</v>
      </c>
      <c r="I1833" s="5" t="n">
        <v>46297</v>
      </c>
      <c r="J1833" s="10" t="inlineStr">
        <is>
          <t>09:40</t>
        </is>
      </c>
      <c r="K1833" s="10" t="inlineStr">
        <is>
          <t>On time</t>
        </is>
      </c>
      <c r="L1833" s="6" t="n">
        <v>0</v>
      </c>
      <c r="M1833" s="10" t="n"/>
      <c r="N1833" s="6" t="n">
        <v>32</v>
      </c>
      <c r="O1833" s="6" t="n">
        <v>4128</v>
      </c>
      <c r="P1833" s="6" t="n">
        <v>1</v>
      </c>
      <c r="Q1833" s="6">
        <f>IF(OR(K1833="On time",K1833="Late",K1833="Very late"),1,0)</f>
        <v/>
      </c>
    </row>
    <row r="1834">
      <c r="A1834" s="10" t="inlineStr">
        <is>
          <t>DN320084</t>
        </is>
      </c>
      <c r="B1834" s="10" t="inlineStr">
        <is>
          <t>SO64141</t>
        </is>
      </c>
      <c r="C1834" s="10" t="inlineStr">
        <is>
          <t>C12305</t>
        </is>
      </c>
      <c r="D1834" s="10">
        <f>INDEX(Customers!$B:$B,MATCH(C1834,Customers!$A:$A,0))</f>
        <v/>
      </c>
      <c r="E1834" s="10">
        <f>INDEX(Customers!$D:$D,MATCH(C1834,Customers!$A:$A,0))</f>
        <v/>
      </c>
      <c r="F1834" s="10" t="inlineStr">
        <is>
          <t>Carrier B</t>
        </is>
      </c>
      <c r="G1834" s="5" t="n">
        <v>46296</v>
      </c>
      <c r="H1834" s="5" t="n">
        <v>46297</v>
      </c>
      <c r="I1834" s="5" t="n">
        <v>46297</v>
      </c>
      <c r="J1834" s="10" t="inlineStr">
        <is>
          <t>15:30</t>
        </is>
      </c>
      <c r="K1834" s="10" t="inlineStr">
        <is>
          <t>On time</t>
        </is>
      </c>
      <c r="L1834" s="6" t="n">
        <v>0</v>
      </c>
      <c r="M1834" s="10" t="n"/>
      <c r="N1834" s="6" t="n">
        <v>28</v>
      </c>
      <c r="O1834" s="6" t="n">
        <v>1960</v>
      </c>
      <c r="P1834" s="6" t="n">
        <v>1</v>
      </c>
      <c r="Q1834" s="6">
        <f>IF(OR(K1834="On time",K1834="Late",K1834="Very late"),1,0)</f>
        <v/>
      </c>
    </row>
    <row r="1835">
      <c r="A1835" s="10" t="inlineStr">
        <is>
          <t>DN320085</t>
        </is>
      </c>
      <c r="B1835" s="10" t="inlineStr">
        <is>
          <t>SO64142</t>
        </is>
      </c>
      <c r="C1835" s="10" t="inlineStr">
        <is>
          <t>C12365</t>
        </is>
      </c>
      <c r="D1835" s="10">
        <f>INDEX(Customers!$B:$B,MATCH(C1835,Customers!$A:$A,0))</f>
        <v/>
      </c>
      <c r="E1835" s="10">
        <f>INDEX(Customers!$D:$D,MATCH(C1835,Customers!$A:$A,0))</f>
        <v/>
      </c>
      <c r="F1835" s="10" t="inlineStr">
        <is>
          <t>Carrier B</t>
        </is>
      </c>
      <c r="G1835" s="5" t="n">
        <v>46296</v>
      </c>
      <c r="H1835" s="5" t="n">
        <v>46297</v>
      </c>
      <c r="I1835" s="5" t="n">
        <v>46297</v>
      </c>
      <c r="J1835" s="10" t="inlineStr">
        <is>
          <t>12:30</t>
        </is>
      </c>
      <c r="K1835" s="10" t="inlineStr">
        <is>
          <t>On time</t>
        </is>
      </c>
      <c r="L1835" s="6" t="n">
        <v>0</v>
      </c>
      <c r="M1835" s="10" t="n"/>
      <c r="N1835" s="6" t="n">
        <v>30</v>
      </c>
      <c r="O1835" s="6" t="n">
        <v>3660</v>
      </c>
      <c r="P1835" s="6" t="n">
        <v>1</v>
      </c>
      <c r="Q1835" s="6">
        <f>IF(OR(K1835="On time",K1835="Late",K1835="Very late"),1,0)</f>
        <v/>
      </c>
    </row>
    <row r="1836">
      <c r="A1836" s="10" t="inlineStr">
        <is>
          <t>DN320086</t>
        </is>
      </c>
      <c r="B1836" s="10" t="inlineStr">
        <is>
          <t>SO64143</t>
        </is>
      </c>
      <c r="C1836" s="10" t="inlineStr">
        <is>
          <t>C12371</t>
        </is>
      </c>
      <c r="D1836" s="10">
        <f>INDEX(Customers!$B:$B,MATCH(C1836,Customers!$A:$A,0))</f>
        <v/>
      </c>
      <c r="E1836" s="10">
        <f>INDEX(Customers!$D:$D,MATCH(C1836,Customers!$A:$A,0))</f>
        <v/>
      </c>
      <c r="F1836" s="10" t="inlineStr">
        <is>
          <t>Carrier A</t>
        </is>
      </c>
      <c r="G1836" s="5" t="n">
        <v>46296</v>
      </c>
      <c r="H1836" s="5" t="n">
        <v>46297</v>
      </c>
      <c r="I1836" s="5" t="n">
        <v>46297</v>
      </c>
      <c r="J1836" s="10" t="inlineStr">
        <is>
          <t>08:50</t>
        </is>
      </c>
      <c r="K1836" s="10" t="inlineStr">
        <is>
          <t>On time</t>
        </is>
      </c>
      <c r="L1836" s="6" t="n">
        <v>0</v>
      </c>
      <c r="M1836" s="10" t="n"/>
      <c r="N1836" s="6" t="n">
        <v>32</v>
      </c>
      <c r="O1836" s="6" t="n">
        <v>3424</v>
      </c>
      <c r="P1836" s="6" t="n">
        <v>1</v>
      </c>
      <c r="Q1836" s="6">
        <f>IF(OR(K1836="On time",K1836="Late",K1836="Very late"),1,0)</f>
        <v/>
      </c>
    </row>
    <row r="1837">
      <c r="A1837" s="10" t="inlineStr">
        <is>
          <t>DN320087</t>
        </is>
      </c>
      <c r="B1837" s="10" t="inlineStr">
        <is>
          <t>SO64144</t>
        </is>
      </c>
      <c r="C1837" s="10" t="inlineStr">
        <is>
          <t>C12543</t>
        </is>
      </c>
      <c r="D1837" s="10">
        <f>INDEX(Customers!$B:$B,MATCH(C1837,Customers!$A:$A,0))</f>
        <v/>
      </c>
      <c r="E1837" s="10">
        <f>INDEX(Customers!$D:$D,MATCH(C1837,Customers!$A:$A,0))</f>
        <v/>
      </c>
      <c r="F1837" s="10" t="inlineStr">
        <is>
          <t>Carrier B</t>
        </is>
      </c>
      <c r="G1837" s="5" t="n">
        <v>46295</v>
      </c>
      <c r="H1837" s="5" t="n">
        <v>46297</v>
      </c>
      <c r="I1837" s="5" t="n">
        <v>46297</v>
      </c>
      <c r="J1837" s="10" t="inlineStr">
        <is>
          <t>08:00</t>
        </is>
      </c>
      <c r="K1837" s="10" t="inlineStr">
        <is>
          <t>On time</t>
        </is>
      </c>
      <c r="L1837" s="6" t="n">
        <v>0</v>
      </c>
      <c r="M1837" s="10" t="n"/>
      <c r="N1837" s="6" t="n">
        <v>36</v>
      </c>
      <c r="O1837" s="6" t="n">
        <v>4644</v>
      </c>
      <c r="P1837" s="6" t="n">
        <v>1</v>
      </c>
      <c r="Q1837" s="6">
        <f>IF(OR(K1837="On time",K1837="Late",K1837="Very late"),1,0)</f>
        <v/>
      </c>
    </row>
    <row r="1838">
      <c r="A1838" s="10" t="inlineStr">
        <is>
          <t>DN320088</t>
        </is>
      </c>
      <c r="B1838" s="10" t="inlineStr">
        <is>
          <t>SO64145</t>
        </is>
      </c>
      <c r="C1838" s="10" t="inlineStr">
        <is>
          <t>C12557</t>
        </is>
      </c>
      <c r="D1838" s="10">
        <f>INDEX(Customers!$B:$B,MATCH(C1838,Customers!$A:$A,0))</f>
        <v/>
      </c>
      <c r="E1838" s="10">
        <f>INDEX(Customers!$D:$D,MATCH(C1838,Customers!$A:$A,0))</f>
        <v/>
      </c>
      <c r="F1838" s="10" t="inlineStr">
        <is>
          <t>Carrier B</t>
        </is>
      </c>
      <c r="G1838" s="5" t="n">
        <v>46295</v>
      </c>
      <c r="H1838" s="5" t="n">
        <v>46297</v>
      </c>
      <c r="I1838" s="5" t="n">
        <v>46297</v>
      </c>
      <c r="J1838" s="10" t="inlineStr">
        <is>
          <t>11:10</t>
        </is>
      </c>
      <c r="K1838" s="10" t="inlineStr">
        <is>
          <t>On time</t>
        </is>
      </c>
      <c r="L1838" s="6" t="n">
        <v>0</v>
      </c>
      <c r="M1838" s="10" t="n"/>
      <c r="N1838" s="6" t="n">
        <v>37</v>
      </c>
      <c r="O1838" s="6" t="n">
        <v>4847</v>
      </c>
      <c r="P1838" s="6" t="n">
        <v>1</v>
      </c>
      <c r="Q1838" s="6">
        <f>IF(OR(K1838="On time",K1838="Late",K1838="Very late"),1,0)</f>
        <v/>
      </c>
    </row>
    <row r="1839">
      <c r="A1839" s="10" t="inlineStr">
        <is>
          <t>DN320089</t>
        </is>
      </c>
      <c r="B1839" s="10" t="inlineStr">
        <is>
          <t>SO64147</t>
        </is>
      </c>
      <c r="C1839" s="10" t="inlineStr">
        <is>
          <t>C12617</t>
        </is>
      </c>
      <c r="D1839" s="10">
        <f>INDEX(Customers!$B:$B,MATCH(C1839,Customers!$A:$A,0))</f>
        <v/>
      </c>
      <c r="E1839" s="10">
        <f>INDEX(Customers!$D:$D,MATCH(C1839,Customers!$A:$A,0))</f>
        <v/>
      </c>
      <c r="F1839" s="10" t="inlineStr">
        <is>
          <t>Carrier B</t>
        </is>
      </c>
      <c r="G1839" s="5" t="n">
        <v>46295</v>
      </c>
      <c r="H1839" s="5" t="n">
        <v>46297</v>
      </c>
      <c r="I1839" s="5" t="n">
        <v>46297</v>
      </c>
      <c r="J1839" s="10" t="inlineStr">
        <is>
          <t>14:10</t>
        </is>
      </c>
      <c r="K1839" s="10" t="inlineStr">
        <is>
          <t>On time</t>
        </is>
      </c>
      <c r="L1839" s="6" t="n">
        <v>0</v>
      </c>
      <c r="M1839" s="10" t="n"/>
      <c r="N1839" s="6" t="n">
        <v>38</v>
      </c>
      <c r="O1839" s="6" t="n">
        <v>5282</v>
      </c>
      <c r="P1839" s="6" t="n">
        <v>1</v>
      </c>
      <c r="Q1839" s="6">
        <f>IF(OR(K1839="On time",K1839="Late",K1839="Very late"),1,0)</f>
        <v/>
      </c>
    </row>
    <row r="1840">
      <c r="A1840" s="10" t="inlineStr">
        <is>
          <t>DN320090</t>
        </is>
      </c>
      <c r="B1840" s="10" t="inlineStr">
        <is>
          <t>SO64148</t>
        </is>
      </c>
      <c r="C1840" s="10" t="inlineStr">
        <is>
          <t>C12631</t>
        </is>
      </c>
      <c r="D1840" s="10">
        <f>INDEX(Customers!$B:$B,MATCH(C1840,Customers!$A:$A,0))</f>
        <v/>
      </c>
      <c r="E1840" s="10">
        <f>INDEX(Customers!$D:$D,MATCH(C1840,Customers!$A:$A,0))</f>
        <v/>
      </c>
      <c r="F1840" s="10" t="inlineStr">
        <is>
          <t>Carrier B</t>
        </is>
      </c>
      <c r="G1840" s="5" t="n">
        <v>46295</v>
      </c>
      <c r="H1840" s="5" t="n">
        <v>46297</v>
      </c>
      <c r="I1840" s="5" t="n">
        <v>46297</v>
      </c>
      <c r="J1840" s="10" t="inlineStr">
        <is>
          <t>12:10</t>
        </is>
      </c>
      <c r="K1840" s="10" t="inlineStr">
        <is>
          <t>On time</t>
        </is>
      </c>
      <c r="L1840" s="6" t="n">
        <v>0</v>
      </c>
      <c r="M1840" s="10" t="n"/>
      <c r="N1840" s="6" t="n">
        <v>14</v>
      </c>
      <c r="O1840" s="6" t="n">
        <v>1176</v>
      </c>
      <c r="P1840" s="6" t="n">
        <v>1</v>
      </c>
      <c r="Q1840" s="6">
        <f>IF(OR(K1840="On time",K1840="Late",K1840="Very late"),1,0)</f>
        <v/>
      </c>
    </row>
    <row r="1841">
      <c r="A1841" s="10" t="inlineStr">
        <is>
          <t>DN320091</t>
        </is>
      </c>
      <c r="B1841" s="10" t="inlineStr">
        <is>
          <t>SO64149</t>
        </is>
      </c>
      <c r="C1841" s="10" t="inlineStr">
        <is>
          <t>C12639</t>
        </is>
      </c>
      <c r="D1841" s="10">
        <f>INDEX(Customers!$B:$B,MATCH(C1841,Customers!$A:$A,0))</f>
        <v/>
      </c>
      <c r="E1841" s="10">
        <f>INDEX(Customers!$D:$D,MATCH(C1841,Customers!$A:$A,0))</f>
        <v/>
      </c>
      <c r="F1841" s="10" t="inlineStr">
        <is>
          <t>Carrier B</t>
        </is>
      </c>
      <c r="G1841" s="5" t="n">
        <v>46295</v>
      </c>
      <c r="H1841" s="5" t="n">
        <v>46297</v>
      </c>
      <c r="I1841" s="5" t="n">
        <v>46297</v>
      </c>
      <c r="J1841" s="10" t="inlineStr">
        <is>
          <t>13:50</t>
        </is>
      </c>
      <c r="K1841" s="10" t="inlineStr">
        <is>
          <t>On time</t>
        </is>
      </c>
      <c r="L1841" s="6" t="n">
        <v>0</v>
      </c>
      <c r="M1841" s="10" t="n"/>
      <c r="N1841" s="6" t="n">
        <v>31</v>
      </c>
      <c r="O1841" s="6" t="n">
        <v>1953</v>
      </c>
      <c r="P1841" s="6" t="n">
        <v>1</v>
      </c>
      <c r="Q1841" s="6">
        <f>IF(OR(K1841="On time",K1841="Late",K1841="Very late"),1,0)</f>
        <v/>
      </c>
    </row>
    <row r="1842">
      <c r="A1842" s="10" t="inlineStr">
        <is>
          <t>DN320092</t>
        </is>
      </c>
      <c r="B1842" s="10" t="inlineStr">
        <is>
          <t>SO64151</t>
        </is>
      </c>
      <c r="C1842" s="10" t="inlineStr">
        <is>
          <t>C12675</t>
        </is>
      </c>
      <c r="D1842" s="10">
        <f>INDEX(Customers!$B:$B,MATCH(C1842,Customers!$A:$A,0))</f>
        <v/>
      </c>
      <c r="E1842" s="10">
        <f>INDEX(Customers!$D:$D,MATCH(C1842,Customers!$A:$A,0))</f>
        <v/>
      </c>
      <c r="F1842" s="10" t="inlineStr">
        <is>
          <t>Carrier B</t>
        </is>
      </c>
      <c r="G1842" s="5" t="n">
        <v>46295</v>
      </c>
      <c r="H1842" s="5" t="n">
        <v>46297</v>
      </c>
      <c r="I1842" s="5" t="n">
        <v>46297</v>
      </c>
      <c r="J1842" s="10" t="inlineStr">
        <is>
          <t>13:30</t>
        </is>
      </c>
      <c r="K1842" s="10" t="inlineStr">
        <is>
          <t>On time</t>
        </is>
      </c>
      <c r="L1842" s="6" t="n">
        <v>0</v>
      </c>
      <c r="M1842" s="10" t="n"/>
      <c r="N1842" s="6" t="n">
        <v>7</v>
      </c>
      <c r="O1842" s="6" t="n">
        <v>840</v>
      </c>
      <c r="P1842" s="6" t="n">
        <v>1</v>
      </c>
      <c r="Q1842" s="6">
        <f>IF(OR(K1842="On time",K1842="Late",K1842="Very late"),1,0)</f>
        <v/>
      </c>
    </row>
    <row r="1843">
      <c r="A1843" s="10" t="inlineStr">
        <is>
          <t>DN320093</t>
        </is>
      </c>
      <c r="B1843" s="10" t="inlineStr">
        <is>
          <t>SO64152</t>
        </is>
      </c>
      <c r="C1843" s="10" t="inlineStr">
        <is>
          <t>C10322</t>
        </is>
      </c>
      <c r="D1843" s="10">
        <f>INDEX(Customers!$B:$B,MATCH(C1843,Customers!$A:$A,0))</f>
        <v/>
      </c>
      <c r="E1843" s="10">
        <f>INDEX(Customers!$D:$D,MATCH(C1843,Customers!$A:$A,0))</f>
        <v/>
      </c>
      <c r="F1843" s="10" t="inlineStr">
        <is>
          <t>Own trucks</t>
        </is>
      </c>
      <c r="G1843" s="5" t="n">
        <v>46297</v>
      </c>
      <c r="H1843" s="5" t="n">
        <v>46301</v>
      </c>
      <c r="I1843" s="5" t="n">
        <v>46301</v>
      </c>
      <c r="J1843" s="10" t="inlineStr">
        <is>
          <t>13:50</t>
        </is>
      </c>
      <c r="K1843" s="10" t="inlineStr">
        <is>
          <t>On time</t>
        </is>
      </c>
      <c r="L1843" s="6" t="n">
        <v>0</v>
      </c>
      <c r="M1843" s="10" t="n"/>
      <c r="N1843" s="6" t="n">
        <v>34</v>
      </c>
      <c r="O1843" s="6" t="n">
        <v>2006</v>
      </c>
      <c r="P1843" s="6" t="n">
        <v>1</v>
      </c>
      <c r="Q1843" s="6">
        <f>IF(OR(K1843="On time",K1843="Late",K1843="Very late"),1,0)</f>
        <v/>
      </c>
    </row>
    <row r="1844">
      <c r="A1844" s="10" t="inlineStr">
        <is>
          <t>DN320094</t>
        </is>
      </c>
      <c r="B1844" s="10" t="inlineStr">
        <is>
          <t>SO64153</t>
        </is>
      </c>
      <c r="C1844" s="10" t="inlineStr">
        <is>
          <t>C10343</t>
        </is>
      </c>
      <c r="D1844" s="10">
        <f>INDEX(Customers!$B:$B,MATCH(C1844,Customers!$A:$A,0))</f>
        <v/>
      </c>
      <c r="E1844" s="10">
        <f>INDEX(Customers!$D:$D,MATCH(C1844,Customers!$A:$A,0))</f>
        <v/>
      </c>
      <c r="F1844" s="10" t="inlineStr">
        <is>
          <t>Own trucks</t>
        </is>
      </c>
      <c r="G1844" s="5" t="n">
        <v>46297</v>
      </c>
      <c r="H1844" s="5" t="n">
        <v>46301</v>
      </c>
      <c r="I1844" s="5" t="n">
        <v>46301</v>
      </c>
      <c r="J1844" s="10" t="inlineStr">
        <is>
          <t>12:10</t>
        </is>
      </c>
      <c r="K1844" s="10" t="inlineStr">
        <is>
          <t>On time</t>
        </is>
      </c>
      <c r="L1844" s="6" t="n">
        <v>0</v>
      </c>
      <c r="M1844" s="10" t="n"/>
      <c r="N1844" s="6" t="n">
        <v>38</v>
      </c>
      <c r="O1844" s="6" t="n">
        <v>2470</v>
      </c>
      <c r="P1844" s="6" t="n">
        <v>1</v>
      </c>
      <c r="Q1844" s="6">
        <f>IF(OR(K1844="On time",K1844="Late",K1844="Very late"),1,0)</f>
        <v/>
      </c>
    </row>
    <row r="1845">
      <c r="A1845" s="10" t="inlineStr">
        <is>
          <t>DN320095</t>
        </is>
      </c>
      <c r="B1845" s="10" t="inlineStr">
        <is>
          <t>SO64154</t>
        </is>
      </c>
      <c r="C1845" s="10" t="inlineStr">
        <is>
          <t>C10413</t>
        </is>
      </c>
      <c r="D1845" s="10">
        <f>INDEX(Customers!$B:$B,MATCH(C1845,Customers!$A:$A,0))</f>
        <v/>
      </c>
      <c r="E1845" s="10">
        <f>INDEX(Customers!$D:$D,MATCH(C1845,Customers!$A:$A,0))</f>
        <v/>
      </c>
      <c r="F1845" s="10" t="inlineStr">
        <is>
          <t>Own trucks</t>
        </is>
      </c>
      <c r="G1845" s="5" t="n">
        <v>46297</v>
      </c>
      <c r="H1845" s="5" t="n">
        <v>46301</v>
      </c>
      <c r="I1845" s="5" t="n"/>
      <c r="J1845" s="10" t="n"/>
      <c r="K1845" s="10" t="inlineStr">
        <is>
          <t>In transit</t>
        </is>
      </c>
      <c r="L1845" s="6" t="n">
        <v>0</v>
      </c>
      <c r="M1845" s="10" t="n"/>
      <c r="N1845" s="6" t="n">
        <v>9</v>
      </c>
      <c r="O1845" s="6" t="n">
        <v>495</v>
      </c>
      <c r="P1845" s="6" t="n">
        <v>1</v>
      </c>
      <c r="Q1845" s="6">
        <f>IF(OR(K1845="On time",K1845="Late",K1845="Very late"),1,0)</f>
        <v/>
      </c>
    </row>
    <row r="1846">
      <c r="A1846" s="10" t="inlineStr">
        <is>
          <t>DN320096</t>
        </is>
      </c>
      <c r="B1846" s="10" t="inlineStr">
        <is>
          <t>SO64155</t>
        </is>
      </c>
      <c r="C1846" s="10" t="inlineStr">
        <is>
          <t>C10515</t>
        </is>
      </c>
      <c r="D1846" s="10">
        <f>INDEX(Customers!$B:$B,MATCH(C1846,Customers!$A:$A,0))</f>
        <v/>
      </c>
      <c r="E1846" s="10">
        <f>INDEX(Customers!$D:$D,MATCH(C1846,Customers!$A:$A,0))</f>
        <v/>
      </c>
      <c r="F1846" s="10" t="inlineStr">
        <is>
          <t>Own trucks</t>
        </is>
      </c>
      <c r="G1846" s="5" t="n">
        <v>46297</v>
      </c>
      <c r="H1846" s="5" t="n">
        <v>46301</v>
      </c>
      <c r="I1846" s="5" t="n">
        <v>46301</v>
      </c>
      <c r="J1846" s="10" t="inlineStr">
        <is>
          <t>08:30</t>
        </is>
      </c>
      <c r="K1846" s="10" t="inlineStr">
        <is>
          <t>On time</t>
        </is>
      </c>
      <c r="L1846" s="6" t="n">
        <v>0</v>
      </c>
      <c r="M1846" s="10" t="n"/>
      <c r="N1846" s="6" t="n">
        <v>34</v>
      </c>
      <c r="O1846" s="6" t="n">
        <v>4760</v>
      </c>
      <c r="P1846" s="6" t="n">
        <v>1</v>
      </c>
      <c r="Q1846" s="6">
        <f>IF(OR(K1846="On time",K1846="Late",K1846="Very late"),1,0)</f>
        <v/>
      </c>
    </row>
    <row r="1847">
      <c r="A1847" s="10" t="inlineStr">
        <is>
          <t>DN320097</t>
        </is>
      </c>
      <c r="B1847" s="10" t="inlineStr">
        <is>
          <t>SO64156</t>
        </is>
      </c>
      <c r="C1847" s="10" t="inlineStr">
        <is>
          <t>C10522</t>
        </is>
      </c>
      <c r="D1847" s="10">
        <f>INDEX(Customers!$B:$B,MATCH(C1847,Customers!$A:$A,0))</f>
        <v/>
      </c>
      <c r="E1847" s="10">
        <f>INDEX(Customers!$D:$D,MATCH(C1847,Customers!$A:$A,0))</f>
        <v/>
      </c>
      <c r="F1847" s="10" t="inlineStr">
        <is>
          <t>Same-day courier</t>
        </is>
      </c>
      <c r="G1847" s="5" t="n">
        <v>46297</v>
      </c>
      <c r="H1847" s="5" t="n">
        <v>46301</v>
      </c>
      <c r="I1847" s="5" t="n">
        <v>46301</v>
      </c>
      <c r="J1847" s="10" t="inlineStr">
        <is>
          <t>08:00</t>
        </is>
      </c>
      <c r="K1847" s="10" t="inlineStr">
        <is>
          <t>On time</t>
        </is>
      </c>
      <c r="L1847" s="6" t="n">
        <v>0</v>
      </c>
      <c r="M1847" s="10" t="n"/>
      <c r="N1847" s="6" t="n">
        <v>10</v>
      </c>
      <c r="O1847" s="6" t="n">
        <v>1260</v>
      </c>
      <c r="P1847" s="6" t="n">
        <v>1</v>
      </c>
      <c r="Q1847" s="6">
        <f>IF(OR(K1847="On time",K1847="Late",K1847="Very late"),1,0)</f>
        <v/>
      </c>
    </row>
    <row r="1848">
      <c r="A1848" s="10" t="inlineStr">
        <is>
          <t>DN320098</t>
        </is>
      </c>
      <c r="B1848" s="10" t="inlineStr">
        <is>
          <t>SO64158</t>
        </is>
      </c>
      <c r="C1848" s="10" t="inlineStr">
        <is>
          <t>C10536</t>
        </is>
      </c>
      <c r="D1848" s="10">
        <f>INDEX(Customers!$B:$B,MATCH(C1848,Customers!$A:$A,0))</f>
        <v/>
      </c>
      <c r="E1848" s="10">
        <f>INDEX(Customers!$D:$D,MATCH(C1848,Customers!$A:$A,0))</f>
        <v/>
      </c>
      <c r="F1848" s="10" t="inlineStr">
        <is>
          <t>Own trucks</t>
        </is>
      </c>
      <c r="G1848" s="5" t="n">
        <v>46297</v>
      </c>
      <c r="H1848" s="5" t="n">
        <v>46301</v>
      </c>
      <c r="I1848" s="5" t="n"/>
      <c r="J1848" s="10" t="n"/>
      <c r="K1848" s="10" t="inlineStr">
        <is>
          <t>In transit</t>
        </is>
      </c>
      <c r="L1848" s="6" t="n">
        <v>0</v>
      </c>
      <c r="M1848" s="10" t="n"/>
      <c r="N1848" s="6" t="n">
        <v>23</v>
      </c>
      <c r="O1848" s="6" t="n">
        <v>1656</v>
      </c>
      <c r="P1848" s="6" t="n">
        <v>1</v>
      </c>
      <c r="Q1848" s="6">
        <f>IF(OR(K1848="On time",K1848="Late",K1848="Very late"),1,0)</f>
        <v/>
      </c>
    </row>
    <row r="1849">
      <c r="A1849" s="10" t="inlineStr">
        <is>
          <t>DN320099</t>
        </is>
      </c>
      <c r="B1849" s="10" t="inlineStr">
        <is>
          <t>SO64159</t>
        </is>
      </c>
      <c r="C1849" s="10" t="inlineStr">
        <is>
          <t>C10589</t>
        </is>
      </c>
      <c r="D1849" s="10">
        <f>INDEX(Customers!$B:$B,MATCH(C1849,Customers!$A:$A,0))</f>
        <v/>
      </c>
      <c r="E1849" s="10">
        <f>INDEX(Customers!$D:$D,MATCH(C1849,Customers!$A:$A,0))</f>
        <v/>
      </c>
      <c r="F1849" s="10" t="inlineStr">
        <is>
          <t>Own trucks</t>
        </is>
      </c>
      <c r="G1849" s="5" t="n">
        <v>46297</v>
      </c>
      <c r="H1849" s="5" t="n">
        <v>46301</v>
      </c>
      <c r="I1849" s="5" t="n"/>
      <c r="J1849" s="10" t="n"/>
      <c r="K1849" s="10" t="inlineStr">
        <is>
          <t>In transit</t>
        </is>
      </c>
      <c r="L1849" s="6" t="n">
        <v>0</v>
      </c>
      <c r="M1849" s="10" t="n"/>
      <c r="N1849" s="6" t="n">
        <v>34</v>
      </c>
      <c r="O1849" s="6" t="n">
        <v>2108</v>
      </c>
      <c r="P1849" s="6" t="n">
        <v>1</v>
      </c>
      <c r="Q1849" s="6">
        <f>IF(OR(K1849="On time",K1849="Late",K1849="Very late"),1,0)</f>
        <v/>
      </c>
    </row>
    <row r="1850">
      <c r="A1850" s="10" t="inlineStr">
        <is>
          <t>DN320100</t>
        </is>
      </c>
      <c r="B1850" s="10" t="inlineStr">
        <is>
          <t>SO64160</t>
        </is>
      </c>
      <c r="C1850" s="10" t="inlineStr">
        <is>
          <t>C10622</t>
        </is>
      </c>
      <c r="D1850" s="10">
        <f>INDEX(Customers!$B:$B,MATCH(C1850,Customers!$A:$A,0))</f>
        <v/>
      </c>
      <c r="E1850" s="10">
        <f>INDEX(Customers!$D:$D,MATCH(C1850,Customers!$A:$A,0))</f>
        <v/>
      </c>
      <c r="F1850" s="10" t="inlineStr">
        <is>
          <t>Own trucks</t>
        </is>
      </c>
      <c r="G1850" s="5" t="n">
        <v>46297</v>
      </c>
      <c r="H1850" s="5" t="n">
        <v>46301</v>
      </c>
      <c r="I1850" s="5" t="n">
        <v>46301</v>
      </c>
      <c r="J1850" s="10" t="inlineStr">
        <is>
          <t>11:10</t>
        </is>
      </c>
      <c r="K1850" s="10" t="inlineStr">
        <is>
          <t>On time</t>
        </is>
      </c>
      <c r="L1850" s="6" t="n">
        <v>0</v>
      </c>
      <c r="M1850" s="10" t="n"/>
      <c r="N1850" s="6" t="n">
        <v>18</v>
      </c>
      <c r="O1850" s="6" t="n">
        <v>1980</v>
      </c>
      <c r="P1850" s="6" t="n">
        <v>1</v>
      </c>
      <c r="Q1850" s="6">
        <f>IF(OR(K1850="On time",K1850="Late",K1850="Very late"),1,0)</f>
        <v/>
      </c>
    </row>
    <row r="1851">
      <c r="A1851" s="10" t="inlineStr">
        <is>
          <t>DN320101</t>
        </is>
      </c>
      <c r="B1851" s="10" t="inlineStr">
        <is>
          <t>SO64161</t>
        </is>
      </c>
      <c r="C1851" s="10" t="inlineStr">
        <is>
          <t>C10676</t>
        </is>
      </c>
      <c r="D1851" s="10">
        <f>INDEX(Customers!$B:$B,MATCH(C1851,Customers!$A:$A,0))</f>
        <v/>
      </c>
      <c r="E1851" s="10">
        <f>INDEX(Customers!$D:$D,MATCH(C1851,Customers!$A:$A,0))</f>
        <v/>
      </c>
      <c r="F1851" s="10" t="inlineStr">
        <is>
          <t>Own trucks</t>
        </is>
      </c>
      <c r="G1851" s="5" t="n">
        <v>46297</v>
      </c>
      <c r="H1851" s="5" t="n">
        <v>46301</v>
      </c>
      <c r="I1851" s="5" t="n">
        <v>46301</v>
      </c>
      <c r="J1851" s="10" t="inlineStr">
        <is>
          <t>09:20</t>
        </is>
      </c>
      <c r="K1851" s="10" t="inlineStr">
        <is>
          <t>On time</t>
        </is>
      </c>
      <c r="L1851" s="6" t="n">
        <v>0</v>
      </c>
      <c r="M1851" s="10" t="n"/>
      <c r="N1851" s="6" t="n">
        <v>21</v>
      </c>
      <c r="O1851" s="6" t="n">
        <v>2268</v>
      </c>
      <c r="P1851" s="6" t="n">
        <v>1</v>
      </c>
      <c r="Q1851" s="6">
        <f>IF(OR(K1851="On time",K1851="Late",K1851="Very late"),1,0)</f>
        <v/>
      </c>
    </row>
    <row r="1852">
      <c r="A1852" s="10" t="inlineStr">
        <is>
          <t>DN320102</t>
        </is>
      </c>
      <c r="B1852" s="10" t="inlineStr">
        <is>
          <t>SO64162</t>
        </is>
      </c>
      <c r="C1852" s="10" t="inlineStr">
        <is>
          <t>C10746</t>
        </is>
      </c>
      <c r="D1852" s="10">
        <f>INDEX(Customers!$B:$B,MATCH(C1852,Customers!$A:$A,0))</f>
        <v/>
      </c>
      <c r="E1852" s="10">
        <f>INDEX(Customers!$D:$D,MATCH(C1852,Customers!$A:$A,0))</f>
        <v/>
      </c>
      <c r="F1852" s="10" t="inlineStr">
        <is>
          <t>Own trucks</t>
        </is>
      </c>
      <c r="G1852" s="5" t="n">
        <v>46297</v>
      </c>
      <c r="H1852" s="5" t="n">
        <v>46301</v>
      </c>
      <c r="I1852" s="5" t="n">
        <v>46301</v>
      </c>
      <c r="J1852" s="10" t="inlineStr">
        <is>
          <t>10:50</t>
        </is>
      </c>
      <c r="K1852" s="10" t="inlineStr">
        <is>
          <t>On time</t>
        </is>
      </c>
      <c r="L1852" s="6" t="n">
        <v>0</v>
      </c>
      <c r="M1852" s="10" t="n"/>
      <c r="N1852" s="6" t="n">
        <v>19</v>
      </c>
      <c r="O1852" s="6" t="n">
        <v>1121</v>
      </c>
      <c r="P1852" s="6" t="n">
        <v>1</v>
      </c>
      <c r="Q1852" s="6">
        <f>IF(OR(K1852="On time",K1852="Late",K1852="Very late"),1,0)</f>
        <v/>
      </c>
    </row>
    <row r="1853">
      <c r="A1853" s="10" t="inlineStr">
        <is>
          <t>DN320103</t>
        </is>
      </c>
      <c r="B1853" s="10" t="inlineStr">
        <is>
          <t>SO64163</t>
        </is>
      </c>
      <c r="C1853" s="10" t="inlineStr">
        <is>
          <t>C10847</t>
        </is>
      </c>
      <c r="D1853" s="10">
        <f>INDEX(Customers!$B:$B,MATCH(C1853,Customers!$A:$A,0))</f>
        <v/>
      </c>
      <c r="E1853" s="10">
        <f>INDEX(Customers!$D:$D,MATCH(C1853,Customers!$A:$A,0))</f>
        <v/>
      </c>
      <c r="F1853" s="10" t="inlineStr">
        <is>
          <t>Own trucks</t>
        </is>
      </c>
      <c r="G1853" s="5" t="n">
        <v>46297</v>
      </c>
      <c r="H1853" s="5" t="n">
        <v>46301</v>
      </c>
      <c r="I1853" s="5" t="n">
        <v>46301</v>
      </c>
      <c r="J1853" s="10" t="inlineStr">
        <is>
          <t>10:30</t>
        </is>
      </c>
      <c r="K1853" s="10" t="inlineStr">
        <is>
          <t>On time</t>
        </is>
      </c>
      <c r="L1853" s="6" t="n">
        <v>0</v>
      </c>
      <c r="M1853" s="10" t="n"/>
      <c r="N1853" s="6" t="n">
        <v>32</v>
      </c>
      <c r="O1853" s="6" t="n">
        <v>1888</v>
      </c>
      <c r="P1853" s="6" t="n">
        <v>1</v>
      </c>
      <c r="Q1853" s="6">
        <f>IF(OR(K1853="On time",K1853="Late",K1853="Very late"),1,0)</f>
        <v/>
      </c>
    </row>
    <row r="1854">
      <c r="A1854" s="10" t="inlineStr">
        <is>
          <t>DN320104</t>
        </is>
      </c>
      <c r="B1854" s="10" t="inlineStr">
        <is>
          <t>SO64164</t>
        </is>
      </c>
      <c r="C1854" s="10" t="inlineStr">
        <is>
          <t>C10982</t>
        </is>
      </c>
      <c r="D1854" s="10">
        <f>INDEX(Customers!$B:$B,MATCH(C1854,Customers!$A:$A,0))</f>
        <v/>
      </c>
      <c r="E1854" s="10">
        <f>INDEX(Customers!$D:$D,MATCH(C1854,Customers!$A:$A,0))</f>
        <v/>
      </c>
      <c r="F1854" s="10" t="inlineStr">
        <is>
          <t>Own trucks</t>
        </is>
      </c>
      <c r="G1854" s="5" t="n">
        <v>46297</v>
      </c>
      <c r="H1854" s="5" t="n">
        <v>46301</v>
      </c>
      <c r="I1854" s="5" t="n">
        <v>46301</v>
      </c>
      <c r="J1854" s="10" t="inlineStr">
        <is>
          <t>08:20</t>
        </is>
      </c>
      <c r="K1854" s="10" t="inlineStr">
        <is>
          <t>On time</t>
        </is>
      </c>
      <c r="L1854" s="6" t="n">
        <v>0</v>
      </c>
      <c r="M1854" s="10" t="n"/>
      <c r="N1854" s="6" t="n">
        <v>30</v>
      </c>
      <c r="O1854" s="6" t="n">
        <v>2370</v>
      </c>
      <c r="P1854" s="6" t="n">
        <v>1</v>
      </c>
      <c r="Q1854" s="6">
        <f>IF(OR(K1854="On time",K1854="Late",K1854="Very late"),1,0)</f>
        <v/>
      </c>
    </row>
    <row r="1855">
      <c r="A1855" s="10" t="inlineStr">
        <is>
          <t>DN320105</t>
        </is>
      </c>
      <c r="B1855" s="10" t="inlineStr">
        <is>
          <t>SO64165</t>
        </is>
      </c>
      <c r="C1855" s="10" t="inlineStr">
        <is>
          <t>C11049</t>
        </is>
      </c>
      <c r="D1855" s="10">
        <f>INDEX(Customers!$B:$B,MATCH(C1855,Customers!$A:$A,0))</f>
        <v/>
      </c>
      <c r="E1855" s="10">
        <f>INDEX(Customers!$D:$D,MATCH(C1855,Customers!$A:$A,0))</f>
        <v/>
      </c>
      <c r="F1855" s="10" t="inlineStr">
        <is>
          <t>Own trucks</t>
        </is>
      </c>
      <c r="G1855" s="5" t="n">
        <v>46297</v>
      </c>
      <c r="H1855" s="5" t="n">
        <v>46301</v>
      </c>
      <c r="I1855" s="5" t="n">
        <v>46301</v>
      </c>
      <c r="J1855" s="10" t="inlineStr">
        <is>
          <t>13:00</t>
        </is>
      </c>
      <c r="K1855" s="10" t="inlineStr">
        <is>
          <t>On time</t>
        </is>
      </c>
      <c r="L1855" s="6" t="n">
        <v>0</v>
      </c>
      <c r="M1855" s="10" t="n"/>
      <c r="N1855" s="6" t="n">
        <v>38</v>
      </c>
      <c r="O1855" s="6" t="n">
        <v>2584</v>
      </c>
      <c r="P1855" s="6" t="n">
        <v>1</v>
      </c>
      <c r="Q1855" s="6">
        <f>IF(OR(K1855="On time",K1855="Late",K1855="Very late"),1,0)</f>
        <v/>
      </c>
    </row>
    <row r="1856">
      <c r="A1856" s="10" t="inlineStr">
        <is>
          <t>DN320106</t>
        </is>
      </c>
      <c r="B1856" s="10" t="inlineStr">
        <is>
          <t>SO64166</t>
        </is>
      </c>
      <c r="C1856" s="10" t="inlineStr">
        <is>
          <t>C11107</t>
        </is>
      </c>
      <c r="D1856" s="10">
        <f>INDEX(Customers!$B:$B,MATCH(C1856,Customers!$A:$A,0))</f>
        <v/>
      </c>
      <c r="E1856" s="10">
        <f>INDEX(Customers!$D:$D,MATCH(C1856,Customers!$A:$A,0))</f>
        <v/>
      </c>
      <c r="F1856" s="10" t="inlineStr">
        <is>
          <t>Own trucks</t>
        </is>
      </c>
      <c r="G1856" s="5" t="n">
        <v>46297</v>
      </c>
      <c r="H1856" s="5" t="n">
        <v>46301</v>
      </c>
      <c r="I1856" s="5" t="n">
        <v>46301</v>
      </c>
      <c r="J1856" s="10" t="inlineStr">
        <is>
          <t>12:50</t>
        </is>
      </c>
      <c r="K1856" s="10" t="inlineStr">
        <is>
          <t>On time</t>
        </is>
      </c>
      <c r="L1856" s="6" t="n">
        <v>0</v>
      </c>
      <c r="M1856" s="10" t="n"/>
      <c r="N1856" s="6" t="n">
        <v>27</v>
      </c>
      <c r="O1856" s="6" t="n">
        <v>2241</v>
      </c>
      <c r="P1856" s="6" t="n">
        <v>1</v>
      </c>
      <c r="Q1856" s="6">
        <f>IF(OR(K1856="On time",K1856="Late",K1856="Very late"),1,0)</f>
        <v/>
      </c>
    </row>
    <row r="1857">
      <c r="A1857" s="10" t="inlineStr">
        <is>
          <t>DN320107</t>
        </is>
      </c>
      <c r="B1857" s="10" t="inlineStr">
        <is>
          <t>SO64167</t>
        </is>
      </c>
      <c r="C1857" s="10" t="inlineStr">
        <is>
          <t>C11143</t>
        </is>
      </c>
      <c r="D1857" s="10">
        <f>INDEX(Customers!$B:$B,MATCH(C1857,Customers!$A:$A,0))</f>
        <v/>
      </c>
      <c r="E1857" s="10">
        <f>INDEX(Customers!$D:$D,MATCH(C1857,Customers!$A:$A,0))</f>
        <v/>
      </c>
      <c r="F1857" s="10" t="inlineStr">
        <is>
          <t>Own trucks</t>
        </is>
      </c>
      <c r="G1857" s="5" t="n">
        <v>46297</v>
      </c>
      <c r="H1857" s="5" t="n">
        <v>46301</v>
      </c>
      <c r="I1857" s="5" t="n"/>
      <c r="J1857" s="10" t="n"/>
      <c r="K1857" s="10" t="inlineStr">
        <is>
          <t>In transit</t>
        </is>
      </c>
      <c r="L1857" s="6" t="n">
        <v>0</v>
      </c>
      <c r="M1857" s="10" t="n"/>
      <c r="N1857" s="6" t="n">
        <v>23</v>
      </c>
      <c r="O1857" s="6" t="n">
        <v>2576</v>
      </c>
      <c r="P1857" s="6" t="n">
        <v>1</v>
      </c>
      <c r="Q1857" s="6">
        <f>IF(OR(K1857="On time",K1857="Late",K1857="Very late"),1,0)</f>
        <v/>
      </c>
    </row>
    <row r="1858">
      <c r="A1858" s="10" t="inlineStr">
        <is>
          <t>DN320108</t>
        </is>
      </c>
      <c r="B1858" s="10" t="inlineStr">
        <is>
          <t>SO64168</t>
        </is>
      </c>
      <c r="C1858" s="10" t="inlineStr">
        <is>
          <t>C11247</t>
        </is>
      </c>
      <c r="D1858" s="10">
        <f>INDEX(Customers!$B:$B,MATCH(C1858,Customers!$A:$A,0))</f>
        <v/>
      </c>
      <c r="E1858" s="10">
        <f>INDEX(Customers!$D:$D,MATCH(C1858,Customers!$A:$A,0))</f>
        <v/>
      </c>
      <c r="F1858" s="10" t="inlineStr">
        <is>
          <t>Own trucks</t>
        </is>
      </c>
      <c r="G1858" s="5" t="n">
        <v>46297</v>
      </c>
      <c r="H1858" s="5" t="n">
        <v>46301</v>
      </c>
      <c r="I1858" s="5" t="n">
        <v>46301</v>
      </c>
      <c r="J1858" s="10" t="inlineStr">
        <is>
          <t>10:50</t>
        </is>
      </c>
      <c r="K1858" s="10" t="inlineStr">
        <is>
          <t>On time</t>
        </is>
      </c>
      <c r="L1858" s="6" t="n">
        <v>0</v>
      </c>
      <c r="M1858" s="10" t="n"/>
      <c r="N1858" s="6" t="n">
        <v>25</v>
      </c>
      <c r="O1858" s="6" t="n">
        <v>2425</v>
      </c>
      <c r="P1858" s="6" t="n">
        <v>1</v>
      </c>
      <c r="Q1858" s="6">
        <f>IF(OR(K1858="On time",K1858="Late",K1858="Very late"),1,0)</f>
        <v/>
      </c>
    </row>
    <row r="1859">
      <c r="A1859" s="10" t="inlineStr">
        <is>
          <t>DN320109</t>
        </is>
      </c>
      <c r="B1859" s="10" t="inlineStr">
        <is>
          <t>SO64170</t>
        </is>
      </c>
      <c r="C1859" s="10" t="inlineStr">
        <is>
          <t>C11264</t>
        </is>
      </c>
      <c r="D1859" s="10">
        <f>INDEX(Customers!$B:$B,MATCH(C1859,Customers!$A:$A,0))</f>
        <v/>
      </c>
      <c r="E1859" s="10">
        <f>INDEX(Customers!$D:$D,MATCH(C1859,Customers!$A:$A,0))</f>
        <v/>
      </c>
      <c r="F1859" s="10" t="inlineStr">
        <is>
          <t>Own trucks</t>
        </is>
      </c>
      <c r="G1859" s="5" t="n">
        <v>46297</v>
      </c>
      <c r="H1859" s="5" t="n">
        <v>46301</v>
      </c>
      <c r="I1859" s="5" t="n">
        <v>46301</v>
      </c>
      <c r="J1859" s="10" t="inlineStr">
        <is>
          <t>11:00</t>
        </is>
      </c>
      <c r="K1859" s="10" t="inlineStr">
        <is>
          <t>On time</t>
        </is>
      </c>
      <c r="L1859" s="6" t="n">
        <v>0</v>
      </c>
      <c r="M1859" s="10" t="n"/>
      <c r="N1859" s="6" t="n">
        <v>28</v>
      </c>
      <c r="O1859" s="6" t="n">
        <v>2912</v>
      </c>
      <c r="P1859" s="6" t="n">
        <v>1</v>
      </c>
      <c r="Q1859" s="6">
        <f>IF(OR(K1859="On time",K1859="Late",K1859="Very late"),1,0)</f>
        <v/>
      </c>
    </row>
    <row r="1860">
      <c r="A1860" s="10" t="inlineStr">
        <is>
          <t>DN320110</t>
        </is>
      </c>
      <c r="B1860" s="10" t="inlineStr">
        <is>
          <t>SO64171</t>
        </is>
      </c>
      <c r="C1860" s="10" t="inlineStr">
        <is>
          <t>C11314</t>
        </is>
      </c>
      <c r="D1860" s="10">
        <f>INDEX(Customers!$B:$B,MATCH(C1860,Customers!$A:$A,0))</f>
        <v/>
      </c>
      <c r="E1860" s="10">
        <f>INDEX(Customers!$D:$D,MATCH(C1860,Customers!$A:$A,0))</f>
        <v/>
      </c>
      <c r="F1860" s="10" t="inlineStr">
        <is>
          <t>Own trucks</t>
        </is>
      </c>
      <c r="G1860" s="5" t="n">
        <v>46297</v>
      </c>
      <c r="H1860" s="5" t="n">
        <v>46301</v>
      </c>
      <c r="I1860" s="5" t="n">
        <v>46301</v>
      </c>
      <c r="J1860" s="10" t="inlineStr">
        <is>
          <t>12:10</t>
        </is>
      </c>
      <c r="K1860" s="10" t="inlineStr">
        <is>
          <t>On time</t>
        </is>
      </c>
      <c r="L1860" s="6" t="n">
        <v>0</v>
      </c>
      <c r="M1860" s="10" t="n"/>
      <c r="N1860" s="6" t="n">
        <v>40</v>
      </c>
      <c r="O1860" s="6" t="n">
        <v>3160</v>
      </c>
      <c r="P1860" s="6" t="n">
        <v>1</v>
      </c>
      <c r="Q1860" s="6">
        <f>IF(OR(K1860="On time",K1860="Late",K1860="Very late"),1,0)</f>
        <v/>
      </c>
    </row>
    <row r="1861">
      <c r="A1861" s="10" t="inlineStr">
        <is>
          <t>DN320111</t>
        </is>
      </c>
      <c r="B1861" s="10" t="inlineStr">
        <is>
          <t>SO64172</t>
        </is>
      </c>
      <c r="C1861" s="10" t="inlineStr">
        <is>
          <t>C11400</t>
        </is>
      </c>
      <c r="D1861" s="10">
        <f>INDEX(Customers!$B:$B,MATCH(C1861,Customers!$A:$A,0))</f>
        <v/>
      </c>
      <c r="E1861" s="10">
        <f>INDEX(Customers!$D:$D,MATCH(C1861,Customers!$A:$A,0))</f>
        <v/>
      </c>
      <c r="F1861" s="10" t="inlineStr">
        <is>
          <t>Own trucks</t>
        </is>
      </c>
      <c r="G1861" s="5" t="n">
        <v>46297</v>
      </c>
      <c r="H1861" s="5" t="n">
        <v>46301</v>
      </c>
      <c r="I1861" s="5" t="n">
        <v>46301</v>
      </c>
      <c r="J1861" s="10" t="inlineStr">
        <is>
          <t>13:40</t>
        </is>
      </c>
      <c r="K1861" s="10" t="inlineStr">
        <is>
          <t>On time</t>
        </is>
      </c>
      <c r="L1861" s="6" t="n">
        <v>0</v>
      </c>
      <c r="M1861" s="10" t="n"/>
      <c r="N1861" s="6" t="n">
        <v>25</v>
      </c>
      <c r="O1861" s="6" t="n">
        <v>3425</v>
      </c>
      <c r="P1861" s="6" t="n">
        <v>1</v>
      </c>
      <c r="Q1861" s="6">
        <f>IF(OR(K1861="On time",K1861="Late",K1861="Very late"),1,0)</f>
        <v/>
      </c>
    </row>
    <row r="1862">
      <c r="A1862" s="10" t="inlineStr">
        <is>
          <t>DN320112</t>
        </is>
      </c>
      <c r="B1862" s="10" t="inlineStr">
        <is>
          <t>SO64173</t>
        </is>
      </c>
      <c r="C1862" s="10" t="inlineStr">
        <is>
          <t>C11463</t>
        </is>
      </c>
      <c r="D1862" s="10">
        <f>INDEX(Customers!$B:$B,MATCH(C1862,Customers!$A:$A,0))</f>
        <v/>
      </c>
      <c r="E1862" s="10">
        <f>INDEX(Customers!$D:$D,MATCH(C1862,Customers!$A:$A,0))</f>
        <v/>
      </c>
      <c r="F1862" s="10" t="inlineStr">
        <is>
          <t>Own trucks</t>
        </is>
      </c>
      <c r="G1862" s="5" t="n">
        <v>46297</v>
      </c>
      <c r="H1862" s="5" t="n">
        <v>46301</v>
      </c>
      <c r="I1862" s="5" t="n">
        <v>46301</v>
      </c>
      <c r="J1862" s="10" t="inlineStr">
        <is>
          <t>09:40</t>
        </is>
      </c>
      <c r="K1862" s="10" t="inlineStr">
        <is>
          <t>On time</t>
        </is>
      </c>
      <c r="L1862" s="6" t="n">
        <v>0</v>
      </c>
      <c r="M1862" s="10" t="n"/>
      <c r="N1862" s="6" t="n">
        <v>18</v>
      </c>
      <c r="O1862" s="6" t="n">
        <v>1710</v>
      </c>
      <c r="P1862" s="6" t="n">
        <v>1</v>
      </c>
      <c r="Q1862" s="6">
        <f>IF(OR(K1862="On time",K1862="Late",K1862="Very late"),1,0)</f>
        <v/>
      </c>
    </row>
    <row r="1863">
      <c r="A1863" s="10" t="inlineStr">
        <is>
          <t>DN320113</t>
        </is>
      </c>
      <c r="B1863" s="10" t="inlineStr">
        <is>
          <t>SO64174</t>
        </is>
      </c>
      <c r="C1863" s="10" t="inlineStr">
        <is>
          <t>C11579</t>
        </is>
      </c>
      <c r="D1863" s="10">
        <f>INDEX(Customers!$B:$B,MATCH(C1863,Customers!$A:$A,0))</f>
        <v/>
      </c>
      <c r="E1863" s="10">
        <f>INDEX(Customers!$D:$D,MATCH(C1863,Customers!$A:$A,0))</f>
        <v/>
      </c>
      <c r="F1863" s="10" t="inlineStr">
        <is>
          <t>Own trucks</t>
        </is>
      </c>
      <c r="G1863" s="5" t="n">
        <v>46297</v>
      </c>
      <c r="H1863" s="5" t="n">
        <v>46301</v>
      </c>
      <c r="I1863" s="5" t="n"/>
      <c r="J1863" s="10" t="n"/>
      <c r="K1863" s="10" t="inlineStr">
        <is>
          <t>In transit</t>
        </is>
      </c>
      <c r="L1863" s="6" t="n">
        <v>0</v>
      </c>
      <c r="M1863" s="10" t="n"/>
      <c r="N1863" s="6" t="n">
        <v>36</v>
      </c>
      <c r="O1863" s="6" t="n">
        <v>2808</v>
      </c>
      <c r="P1863" s="6" t="n">
        <v>1</v>
      </c>
      <c r="Q1863" s="6">
        <f>IF(OR(K1863="On time",K1863="Late",K1863="Very late"),1,0)</f>
        <v/>
      </c>
    </row>
    <row r="1864">
      <c r="A1864" s="10" t="inlineStr">
        <is>
          <t>DN320114</t>
        </is>
      </c>
      <c r="B1864" s="10" t="inlineStr">
        <is>
          <t>SO64175</t>
        </is>
      </c>
      <c r="C1864" s="10" t="inlineStr">
        <is>
          <t>C11666</t>
        </is>
      </c>
      <c r="D1864" s="10">
        <f>INDEX(Customers!$B:$B,MATCH(C1864,Customers!$A:$A,0))</f>
        <v/>
      </c>
      <c r="E1864" s="10">
        <f>INDEX(Customers!$D:$D,MATCH(C1864,Customers!$A:$A,0))</f>
        <v/>
      </c>
      <c r="F1864" s="10" t="inlineStr">
        <is>
          <t>Own trucks</t>
        </is>
      </c>
      <c r="G1864" s="5" t="n">
        <v>46297</v>
      </c>
      <c r="H1864" s="5" t="n">
        <v>46301</v>
      </c>
      <c r="I1864" s="5" t="n">
        <v>46301</v>
      </c>
      <c r="J1864" s="10" t="inlineStr">
        <is>
          <t>12:40</t>
        </is>
      </c>
      <c r="K1864" s="10" t="inlineStr">
        <is>
          <t>On time</t>
        </is>
      </c>
      <c r="L1864" s="6" t="n">
        <v>0</v>
      </c>
      <c r="M1864" s="10" t="n"/>
      <c r="N1864" s="6" t="n">
        <v>37</v>
      </c>
      <c r="O1864" s="6" t="n">
        <v>4884</v>
      </c>
      <c r="P1864" s="6" t="n">
        <v>1</v>
      </c>
      <c r="Q1864" s="6">
        <f>IF(OR(K1864="On time",K1864="Late",K1864="Very late"),1,0)</f>
        <v/>
      </c>
    </row>
    <row r="1865">
      <c r="A1865" s="10" t="inlineStr">
        <is>
          <t>DN320115</t>
        </is>
      </c>
      <c r="B1865" s="10" t="inlineStr">
        <is>
          <t>SO64176</t>
        </is>
      </c>
      <c r="C1865" s="10" t="inlineStr">
        <is>
          <t>C11798</t>
        </is>
      </c>
      <c r="D1865" s="10">
        <f>INDEX(Customers!$B:$B,MATCH(C1865,Customers!$A:$A,0))</f>
        <v/>
      </c>
      <c r="E1865" s="10">
        <f>INDEX(Customers!$D:$D,MATCH(C1865,Customers!$A:$A,0))</f>
        <v/>
      </c>
      <c r="F1865" s="10" t="inlineStr">
        <is>
          <t>Carrier A</t>
        </is>
      </c>
      <c r="G1865" s="5" t="n">
        <v>46297</v>
      </c>
      <c r="H1865" s="5" t="n">
        <v>46301</v>
      </c>
      <c r="I1865" s="5" t="n">
        <v>46301</v>
      </c>
      <c r="J1865" s="10" t="inlineStr">
        <is>
          <t>10:20</t>
        </is>
      </c>
      <c r="K1865" s="10" t="inlineStr">
        <is>
          <t>On time</t>
        </is>
      </c>
      <c r="L1865" s="6" t="n">
        <v>0</v>
      </c>
      <c r="M1865" s="10" t="n"/>
      <c r="N1865" s="6" t="n">
        <v>5</v>
      </c>
      <c r="O1865" s="6" t="n">
        <v>540</v>
      </c>
      <c r="P1865" s="6" t="n">
        <v>1</v>
      </c>
      <c r="Q1865" s="6">
        <f>IF(OR(K1865="On time",K1865="Late",K1865="Very late"),1,0)</f>
        <v/>
      </c>
    </row>
    <row r="1866">
      <c r="A1866" s="10" t="inlineStr">
        <is>
          <t>DN320116</t>
        </is>
      </c>
      <c r="B1866" s="10" t="inlineStr">
        <is>
          <t>SO64178</t>
        </is>
      </c>
      <c r="C1866" s="10" t="inlineStr">
        <is>
          <t>C11858</t>
        </is>
      </c>
      <c r="D1866" s="10">
        <f>INDEX(Customers!$B:$B,MATCH(C1866,Customers!$A:$A,0))</f>
        <v/>
      </c>
      <c r="E1866" s="10">
        <f>INDEX(Customers!$D:$D,MATCH(C1866,Customers!$A:$A,0))</f>
        <v/>
      </c>
      <c r="F1866" s="10" t="inlineStr">
        <is>
          <t>Carrier A</t>
        </is>
      </c>
      <c r="G1866" s="5" t="n">
        <v>46297</v>
      </c>
      <c r="H1866" s="5" t="n">
        <v>46301</v>
      </c>
      <c r="I1866" s="5" t="n"/>
      <c r="J1866" s="10" t="n"/>
      <c r="K1866" s="10" t="inlineStr">
        <is>
          <t>In transit</t>
        </is>
      </c>
      <c r="L1866" s="6" t="n">
        <v>0</v>
      </c>
      <c r="M1866" s="10" t="n"/>
      <c r="N1866" s="6" t="n">
        <v>8</v>
      </c>
      <c r="O1866" s="6" t="n">
        <v>1080</v>
      </c>
      <c r="P1866" s="6" t="n">
        <v>1</v>
      </c>
      <c r="Q1866" s="6">
        <f>IF(OR(K1866="On time",K1866="Late",K1866="Very late"),1,0)</f>
        <v/>
      </c>
    </row>
    <row r="1867">
      <c r="A1867" s="10" t="inlineStr">
        <is>
          <t>DN320117</t>
        </is>
      </c>
      <c r="B1867" s="10" t="inlineStr">
        <is>
          <t>SO64179</t>
        </is>
      </c>
      <c r="C1867" s="10" t="inlineStr">
        <is>
          <t>C11866</t>
        </is>
      </c>
      <c r="D1867" s="10">
        <f>INDEX(Customers!$B:$B,MATCH(C1867,Customers!$A:$A,0))</f>
        <v/>
      </c>
      <c r="E1867" s="10">
        <f>INDEX(Customers!$D:$D,MATCH(C1867,Customers!$A:$A,0))</f>
        <v/>
      </c>
      <c r="F1867" s="10" t="inlineStr">
        <is>
          <t>Carrier A</t>
        </is>
      </c>
      <c r="G1867" s="5" t="n">
        <v>46297</v>
      </c>
      <c r="H1867" s="5" t="n">
        <v>46301</v>
      </c>
      <c r="I1867" s="5" t="n">
        <v>46301</v>
      </c>
      <c r="J1867" s="10" t="inlineStr">
        <is>
          <t>11:10</t>
        </is>
      </c>
      <c r="K1867" s="10" t="inlineStr">
        <is>
          <t>On time</t>
        </is>
      </c>
      <c r="L1867" s="6" t="n">
        <v>0</v>
      </c>
      <c r="M1867" s="10" t="n"/>
      <c r="N1867" s="6" t="n">
        <v>19</v>
      </c>
      <c r="O1867" s="6" t="n">
        <v>1729</v>
      </c>
      <c r="P1867" s="6" t="n">
        <v>1</v>
      </c>
      <c r="Q1867" s="6">
        <f>IF(OR(K1867="On time",K1867="Late",K1867="Very late"),1,0)</f>
        <v/>
      </c>
    </row>
    <row r="1868">
      <c r="A1868" s="10" t="inlineStr">
        <is>
          <t>DN320118</t>
        </is>
      </c>
      <c r="B1868" s="10" t="inlineStr">
        <is>
          <t>SO64181</t>
        </is>
      </c>
      <c r="C1868" s="10" t="inlineStr">
        <is>
          <t>C11950</t>
        </is>
      </c>
      <c r="D1868" s="10">
        <f>INDEX(Customers!$B:$B,MATCH(C1868,Customers!$A:$A,0))</f>
        <v/>
      </c>
      <c r="E1868" s="10">
        <f>INDEX(Customers!$D:$D,MATCH(C1868,Customers!$A:$A,0))</f>
        <v/>
      </c>
      <c r="F1868" s="10" t="inlineStr">
        <is>
          <t>Carrier A</t>
        </is>
      </c>
      <c r="G1868" s="5" t="n">
        <v>46297</v>
      </c>
      <c r="H1868" s="5" t="n">
        <v>46301</v>
      </c>
      <c r="I1868" s="5" t="n"/>
      <c r="J1868" s="10" t="n"/>
      <c r="K1868" s="10" t="inlineStr">
        <is>
          <t>In transit</t>
        </is>
      </c>
      <c r="L1868" s="6" t="n">
        <v>0</v>
      </c>
      <c r="M1868" s="10" t="n"/>
      <c r="N1868" s="6" t="n">
        <v>12</v>
      </c>
      <c r="O1868" s="6" t="n">
        <v>960</v>
      </c>
      <c r="P1868" s="6" t="n">
        <v>1</v>
      </c>
      <c r="Q1868" s="6">
        <f>IF(OR(K1868="On time",K1868="Late",K1868="Very late"),1,0)</f>
        <v/>
      </c>
    </row>
    <row r="1869">
      <c r="A1869" s="10" t="inlineStr">
        <is>
          <t>DN320120</t>
        </is>
      </c>
      <c r="B1869" s="10" t="inlineStr">
        <is>
          <t>SO64182</t>
        </is>
      </c>
      <c r="C1869" s="10" t="inlineStr">
        <is>
          <t>C11971</t>
        </is>
      </c>
      <c r="D1869" s="10">
        <f>INDEX(Customers!$B:$B,MATCH(C1869,Customers!$A:$A,0))</f>
        <v/>
      </c>
      <c r="E1869" s="10">
        <f>INDEX(Customers!$D:$D,MATCH(C1869,Customers!$A:$A,0))</f>
        <v/>
      </c>
      <c r="F1869" s="10" t="inlineStr">
        <is>
          <t>Own trucks</t>
        </is>
      </c>
      <c r="G1869" s="5" t="n">
        <v>46297</v>
      </c>
      <c r="H1869" s="5" t="n">
        <v>46301</v>
      </c>
      <c r="I1869" s="5" t="n">
        <v>46301</v>
      </c>
      <c r="J1869" s="10" t="inlineStr">
        <is>
          <t>09:00</t>
        </is>
      </c>
      <c r="K1869" s="10" t="inlineStr">
        <is>
          <t>On time</t>
        </is>
      </c>
      <c r="L1869" s="6" t="n">
        <v>0</v>
      </c>
      <c r="M1869" s="10" t="n"/>
      <c r="N1869" s="6" t="n">
        <v>3</v>
      </c>
      <c r="O1869" s="6" t="n">
        <v>360</v>
      </c>
      <c r="P1869" s="6" t="n">
        <v>1</v>
      </c>
      <c r="Q1869" s="6">
        <f>IF(OR(K1869="On time",K1869="Late",K1869="Very late"),1,0)</f>
        <v/>
      </c>
    </row>
    <row r="1870">
      <c r="A1870" s="10" t="inlineStr">
        <is>
          <t>DN320121</t>
        </is>
      </c>
      <c r="B1870" s="10" t="inlineStr">
        <is>
          <t>SO64183</t>
        </is>
      </c>
      <c r="C1870" s="10" t="inlineStr">
        <is>
          <t>C11982</t>
        </is>
      </c>
      <c r="D1870" s="10">
        <f>INDEX(Customers!$B:$B,MATCH(C1870,Customers!$A:$A,0))</f>
        <v/>
      </c>
      <c r="E1870" s="10">
        <f>INDEX(Customers!$D:$D,MATCH(C1870,Customers!$A:$A,0))</f>
        <v/>
      </c>
      <c r="F1870" s="10" t="inlineStr">
        <is>
          <t>Own trucks</t>
        </is>
      </c>
      <c r="G1870" s="5" t="n">
        <v>46297</v>
      </c>
      <c r="H1870" s="5" t="n">
        <v>46301</v>
      </c>
      <c r="I1870" s="5" t="n"/>
      <c r="J1870" s="10" t="n"/>
      <c r="K1870" s="10" t="inlineStr">
        <is>
          <t>In transit</t>
        </is>
      </c>
      <c r="L1870" s="6" t="n">
        <v>0</v>
      </c>
      <c r="M1870" s="10" t="n"/>
      <c r="N1870" s="6" t="n">
        <v>32</v>
      </c>
      <c r="O1870" s="6" t="n">
        <v>3744</v>
      </c>
      <c r="P1870" s="6" t="n">
        <v>1</v>
      </c>
      <c r="Q1870" s="6">
        <f>IF(OR(K1870="On time",K1870="Late",K1870="Very late"),1,0)</f>
        <v/>
      </c>
    </row>
    <row r="1871">
      <c r="A1871" s="10" t="inlineStr">
        <is>
          <t>DN320122</t>
        </is>
      </c>
      <c r="B1871" s="10" t="inlineStr">
        <is>
          <t>SO64184</t>
        </is>
      </c>
      <c r="C1871" s="10" t="inlineStr">
        <is>
          <t>C12103</t>
        </is>
      </c>
      <c r="D1871" s="10">
        <f>INDEX(Customers!$B:$B,MATCH(C1871,Customers!$A:$A,0))</f>
        <v/>
      </c>
      <c r="E1871" s="10">
        <f>INDEX(Customers!$D:$D,MATCH(C1871,Customers!$A:$A,0))</f>
        <v/>
      </c>
      <c r="F1871" s="10" t="inlineStr">
        <is>
          <t>Own trucks</t>
        </is>
      </c>
      <c r="G1871" s="5" t="n">
        <v>46297</v>
      </c>
      <c r="H1871" s="5" t="n">
        <v>46301</v>
      </c>
      <c r="I1871" s="5" t="n"/>
      <c r="J1871" s="10" t="n"/>
      <c r="K1871" s="10" t="inlineStr">
        <is>
          <t>In transit</t>
        </is>
      </c>
      <c r="L1871" s="6" t="n">
        <v>0</v>
      </c>
      <c r="M1871" s="10" t="n"/>
      <c r="N1871" s="6" t="n">
        <v>15</v>
      </c>
      <c r="O1871" s="6" t="n">
        <v>1860</v>
      </c>
      <c r="P1871" s="6" t="n">
        <v>1</v>
      </c>
      <c r="Q1871" s="6">
        <f>IF(OR(K1871="On time",K1871="Late",K1871="Very late"),1,0)</f>
        <v/>
      </c>
    </row>
    <row r="1872">
      <c r="A1872" s="10" t="inlineStr">
        <is>
          <t>DN320123</t>
        </is>
      </c>
      <c r="B1872" s="10" t="inlineStr">
        <is>
          <t>SO64185</t>
        </is>
      </c>
      <c r="C1872" s="10" t="inlineStr">
        <is>
          <t>C12117</t>
        </is>
      </c>
      <c r="D1872" s="10">
        <f>INDEX(Customers!$B:$B,MATCH(C1872,Customers!$A:$A,0))</f>
        <v/>
      </c>
      <c r="E1872" s="10">
        <f>INDEX(Customers!$D:$D,MATCH(C1872,Customers!$A:$A,0))</f>
        <v/>
      </c>
      <c r="F1872" s="10" t="inlineStr">
        <is>
          <t>Own trucks</t>
        </is>
      </c>
      <c r="G1872" s="5" t="n">
        <v>46297</v>
      </c>
      <c r="H1872" s="5" t="n">
        <v>46301</v>
      </c>
      <c r="I1872" s="5" t="n">
        <v>46301</v>
      </c>
      <c r="J1872" s="10" t="inlineStr">
        <is>
          <t>08:10</t>
        </is>
      </c>
      <c r="K1872" s="10" t="inlineStr">
        <is>
          <t>On time</t>
        </is>
      </c>
      <c r="L1872" s="6" t="n">
        <v>0</v>
      </c>
      <c r="M1872" s="10" t="n"/>
      <c r="N1872" s="6" t="n">
        <v>17</v>
      </c>
      <c r="O1872" s="6" t="n">
        <v>1258</v>
      </c>
      <c r="P1872" s="6" t="n">
        <v>1</v>
      </c>
      <c r="Q1872" s="6">
        <f>IF(OR(K1872="On time",K1872="Late",K1872="Very late"),1,0)</f>
        <v/>
      </c>
    </row>
    <row r="1873">
      <c r="A1873" s="10" t="inlineStr">
        <is>
          <t>DN320124</t>
        </is>
      </c>
      <c r="B1873" s="10" t="inlineStr">
        <is>
          <t>SO64186</t>
        </is>
      </c>
      <c r="C1873" s="10" t="inlineStr">
        <is>
          <t>C12183</t>
        </is>
      </c>
      <c r="D1873" s="10">
        <f>INDEX(Customers!$B:$B,MATCH(C1873,Customers!$A:$A,0))</f>
        <v/>
      </c>
      <c r="E1873" s="10">
        <f>INDEX(Customers!$D:$D,MATCH(C1873,Customers!$A:$A,0))</f>
        <v/>
      </c>
      <c r="F1873" s="10" t="inlineStr">
        <is>
          <t>Carrier B</t>
        </is>
      </c>
      <c r="G1873" s="5" t="n">
        <v>46297</v>
      </c>
      <c r="H1873" s="5" t="n">
        <v>46301</v>
      </c>
      <c r="I1873" s="5" t="n">
        <v>46301</v>
      </c>
      <c r="J1873" s="10" t="inlineStr">
        <is>
          <t>08:50</t>
        </is>
      </c>
      <c r="K1873" s="10" t="inlineStr">
        <is>
          <t>On time</t>
        </is>
      </c>
      <c r="L1873" s="6" t="n">
        <v>0</v>
      </c>
      <c r="M1873" s="10" t="n"/>
      <c r="N1873" s="6" t="n">
        <v>11</v>
      </c>
      <c r="O1873" s="6" t="n">
        <v>1133</v>
      </c>
      <c r="P1873" s="6" t="n">
        <v>1</v>
      </c>
      <c r="Q1873" s="6">
        <f>IF(OR(K1873="On time",K1873="Late",K1873="Very late"),1,0)</f>
        <v/>
      </c>
    </row>
    <row r="1874">
      <c r="A1874" s="10" t="inlineStr">
        <is>
          <t>DN320125</t>
        </is>
      </c>
      <c r="B1874" s="10" t="inlineStr">
        <is>
          <t>SO64187</t>
        </is>
      </c>
      <c r="C1874" s="10" t="inlineStr">
        <is>
          <t>C12213</t>
        </is>
      </c>
      <c r="D1874" s="10">
        <f>INDEX(Customers!$B:$B,MATCH(C1874,Customers!$A:$A,0))</f>
        <v/>
      </c>
      <c r="E1874" s="10">
        <f>INDEX(Customers!$D:$D,MATCH(C1874,Customers!$A:$A,0))</f>
        <v/>
      </c>
      <c r="F1874" s="10" t="inlineStr">
        <is>
          <t>Carrier B</t>
        </is>
      </c>
      <c r="G1874" s="5" t="n">
        <v>46297</v>
      </c>
      <c r="H1874" s="5" t="n">
        <v>46301</v>
      </c>
      <c r="I1874" s="5" t="n">
        <v>46301</v>
      </c>
      <c r="J1874" s="10" t="inlineStr">
        <is>
          <t>11:00</t>
        </is>
      </c>
      <c r="K1874" s="10" t="inlineStr">
        <is>
          <t>On time</t>
        </is>
      </c>
      <c r="L1874" s="6" t="n">
        <v>0</v>
      </c>
      <c r="M1874" s="10" t="n"/>
      <c r="N1874" s="6" t="n">
        <v>9</v>
      </c>
      <c r="O1874" s="6" t="n">
        <v>531</v>
      </c>
      <c r="P1874" s="6" t="n">
        <v>1</v>
      </c>
      <c r="Q1874" s="6">
        <f>IF(OR(K1874="On time",K1874="Late",K1874="Very late"),1,0)</f>
        <v/>
      </c>
    </row>
    <row r="1875">
      <c r="A1875" s="10" t="inlineStr">
        <is>
          <t>DN320126</t>
        </is>
      </c>
      <c r="B1875" s="10" t="inlineStr">
        <is>
          <t>SO64188</t>
        </is>
      </c>
      <c r="C1875" s="10" t="inlineStr">
        <is>
          <t>C12239</t>
        </is>
      </c>
      <c r="D1875" s="10">
        <f>INDEX(Customers!$B:$B,MATCH(C1875,Customers!$A:$A,0))</f>
        <v/>
      </c>
      <c r="E1875" s="10">
        <f>INDEX(Customers!$D:$D,MATCH(C1875,Customers!$A:$A,0))</f>
        <v/>
      </c>
      <c r="F1875" s="10" t="inlineStr">
        <is>
          <t>Carrier B</t>
        </is>
      </c>
      <c r="G1875" s="5" t="n">
        <v>46297</v>
      </c>
      <c r="H1875" s="5" t="n">
        <v>46301</v>
      </c>
      <c r="I1875" s="5" t="n">
        <v>46301</v>
      </c>
      <c r="J1875" s="10" t="inlineStr">
        <is>
          <t>07:00</t>
        </is>
      </c>
      <c r="K1875" s="10" t="inlineStr">
        <is>
          <t>On time</t>
        </is>
      </c>
      <c r="L1875" s="6" t="n">
        <v>0</v>
      </c>
      <c r="M1875" s="10" t="n"/>
      <c r="N1875" s="6" t="n">
        <v>38</v>
      </c>
      <c r="O1875" s="6" t="n">
        <v>2660</v>
      </c>
      <c r="P1875" s="6" t="n">
        <v>1</v>
      </c>
      <c r="Q1875" s="6">
        <f>IF(OR(K1875="On time",K1875="Late",K1875="Very late"),1,0)</f>
        <v/>
      </c>
    </row>
    <row r="1876">
      <c r="A1876" s="10" t="inlineStr">
        <is>
          <t>DN320127</t>
        </is>
      </c>
      <c r="B1876" s="10" t="inlineStr">
        <is>
          <t>SO64189</t>
        </is>
      </c>
      <c r="C1876" s="10" t="inlineStr">
        <is>
          <t>C12262</t>
        </is>
      </c>
      <c r="D1876" s="10">
        <f>INDEX(Customers!$B:$B,MATCH(C1876,Customers!$A:$A,0))</f>
        <v/>
      </c>
      <c r="E1876" s="10">
        <f>INDEX(Customers!$D:$D,MATCH(C1876,Customers!$A:$A,0))</f>
        <v/>
      </c>
      <c r="F1876" s="10" t="inlineStr">
        <is>
          <t>Carrier B</t>
        </is>
      </c>
      <c r="G1876" s="5" t="n">
        <v>46297</v>
      </c>
      <c r="H1876" s="5" t="n">
        <v>46301</v>
      </c>
      <c r="I1876" s="5" t="n"/>
      <c r="J1876" s="10" t="n"/>
      <c r="K1876" s="10" t="inlineStr">
        <is>
          <t>In transit</t>
        </is>
      </c>
      <c r="L1876" s="6" t="n">
        <v>0</v>
      </c>
      <c r="M1876" s="10" t="n"/>
      <c r="N1876" s="6" t="n">
        <v>4</v>
      </c>
      <c r="O1876" s="6" t="n">
        <v>488</v>
      </c>
      <c r="P1876" s="6" t="n">
        <v>1</v>
      </c>
      <c r="Q1876" s="6">
        <f>IF(OR(K1876="On time",K1876="Late",K1876="Very late"),1,0)</f>
        <v/>
      </c>
    </row>
    <row r="1877">
      <c r="A1877" s="10" t="inlineStr">
        <is>
          <t>DN320128</t>
        </is>
      </c>
      <c r="B1877" s="10" t="inlineStr">
        <is>
          <t>SO64190</t>
        </is>
      </c>
      <c r="C1877" s="10" t="inlineStr">
        <is>
          <t>C12305</t>
        </is>
      </c>
      <c r="D1877" s="10">
        <f>INDEX(Customers!$B:$B,MATCH(C1877,Customers!$A:$A,0))</f>
        <v/>
      </c>
      <c r="E1877" s="10">
        <f>INDEX(Customers!$D:$D,MATCH(C1877,Customers!$A:$A,0))</f>
        <v/>
      </c>
      <c r="F1877" s="10" t="inlineStr">
        <is>
          <t>Carrier B</t>
        </is>
      </c>
      <c r="G1877" s="5" t="n">
        <v>46297</v>
      </c>
      <c r="H1877" s="5" t="n">
        <v>46301</v>
      </c>
      <c r="I1877" s="5" t="n"/>
      <c r="J1877" s="10" t="n"/>
      <c r="K1877" s="10" t="inlineStr">
        <is>
          <t>In transit</t>
        </is>
      </c>
      <c r="L1877" s="6" t="n">
        <v>0</v>
      </c>
      <c r="M1877" s="10" t="n"/>
      <c r="N1877" s="6" t="n">
        <v>13</v>
      </c>
      <c r="O1877" s="6" t="n">
        <v>806</v>
      </c>
      <c r="P1877" s="6" t="n">
        <v>1</v>
      </c>
      <c r="Q1877" s="6">
        <f>IF(OR(K1877="On time",K1877="Late",K1877="Very late"),1,0)</f>
        <v/>
      </c>
    </row>
    <row r="1878">
      <c r="A1878" s="10" t="inlineStr">
        <is>
          <t>DN320129</t>
        </is>
      </c>
      <c r="B1878" s="10" t="inlineStr">
        <is>
          <t>SO64191</t>
        </is>
      </c>
      <c r="C1878" s="10" t="inlineStr">
        <is>
          <t>C12371</t>
        </is>
      </c>
      <c r="D1878" s="10">
        <f>INDEX(Customers!$B:$B,MATCH(C1878,Customers!$A:$A,0))</f>
        <v/>
      </c>
      <c r="E1878" s="10">
        <f>INDEX(Customers!$D:$D,MATCH(C1878,Customers!$A:$A,0))</f>
        <v/>
      </c>
      <c r="F1878" s="10" t="inlineStr">
        <is>
          <t>Carrier A</t>
        </is>
      </c>
      <c r="G1878" s="5" t="n">
        <v>46297</v>
      </c>
      <c r="H1878" s="5" t="n">
        <v>46301</v>
      </c>
      <c r="I1878" s="5" t="n">
        <v>46301</v>
      </c>
      <c r="J1878" s="10" t="inlineStr">
        <is>
          <t>07:30</t>
        </is>
      </c>
      <c r="K1878" s="10" t="inlineStr">
        <is>
          <t>On time</t>
        </is>
      </c>
      <c r="L1878" s="6" t="n">
        <v>0</v>
      </c>
      <c r="M1878" s="10" t="n"/>
      <c r="N1878" s="6" t="n">
        <v>10</v>
      </c>
      <c r="O1878" s="6" t="n">
        <v>1260</v>
      </c>
      <c r="P1878" s="6" t="n">
        <v>1</v>
      </c>
      <c r="Q1878" s="6">
        <f>IF(OR(K1878="On time",K1878="Late",K1878="Very late"),1,0)</f>
        <v/>
      </c>
    </row>
    <row r="1879">
      <c r="A1879" s="10" t="inlineStr">
        <is>
          <t>DN320130</t>
        </is>
      </c>
      <c r="B1879" s="10" t="inlineStr">
        <is>
          <t>SO64192</t>
        </is>
      </c>
      <c r="C1879" s="10" t="inlineStr">
        <is>
          <t>C12420</t>
        </is>
      </c>
      <c r="D1879" s="10">
        <f>INDEX(Customers!$B:$B,MATCH(C1879,Customers!$A:$A,0))</f>
        <v/>
      </c>
      <c r="E1879" s="10">
        <f>INDEX(Customers!$D:$D,MATCH(C1879,Customers!$A:$A,0))</f>
        <v/>
      </c>
      <c r="F1879" s="10" t="inlineStr">
        <is>
          <t>Carrier A</t>
        </is>
      </c>
      <c r="G1879" s="5" t="n">
        <v>46297</v>
      </c>
      <c r="H1879" s="5" t="n">
        <v>46301</v>
      </c>
      <c r="I1879" s="5" t="n"/>
      <c r="J1879" s="10" t="n"/>
      <c r="K1879" s="10" t="inlineStr">
        <is>
          <t>In transit</t>
        </is>
      </c>
      <c r="L1879" s="6" t="n">
        <v>0</v>
      </c>
      <c r="M1879" s="10" t="n"/>
      <c r="N1879" s="6" t="n">
        <v>12</v>
      </c>
      <c r="O1879" s="6" t="n">
        <v>696</v>
      </c>
      <c r="P1879" s="6" t="n">
        <v>1</v>
      </c>
      <c r="Q1879" s="6">
        <f>IF(OR(K1879="On time",K1879="Late",K1879="Very late"),1,0)</f>
        <v/>
      </c>
    </row>
    <row r="1880">
      <c r="A1880" s="10" t="inlineStr">
        <is>
          <t>DN320131</t>
        </is>
      </c>
      <c r="B1880" s="10" t="inlineStr">
        <is>
          <t>SO64193</t>
        </is>
      </c>
      <c r="C1880" s="10" t="inlineStr">
        <is>
          <t>C12527</t>
        </is>
      </c>
      <c r="D1880" s="10">
        <f>INDEX(Customers!$B:$B,MATCH(C1880,Customers!$A:$A,0))</f>
        <v/>
      </c>
      <c r="E1880" s="10">
        <f>INDEX(Customers!$D:$D,MATCH(C1880,Customers!$A:$A,0))</f>
        <v/>
      </c>
      <c r="F1880" s="10" t="inlineStr">
        <is>
          <t>Carrier A</t>
        </is>
      </c>
      <c r="G1880" s="5" t="n">
        <v>46297</v>
      </c>
      <c r="H1880" s="5" t="n">
        <v>46301</v>
      </c>
      <c r="I1880" s="5" t="n"/>
      <c r="J1880" s="10" t="n"/>
      <c r="K1880" s="10" t="inlineStr">
        <is>
          <t>In transit</t>
        </is>
      </c>
      <c r="L1880" s="6" t="n">
        <v>0</v>
      </c>
      <c r="M1880" s="10" t="n"/>
      <c r="N1880" s="6" t="n">
        <v>37</v>
      </c>
      <c r="O1880" s="6" t="n">
        <v>2960</v>
      </c>
      <c r="P1880" s="6" t="n">
        <v>1</v>
      </c>
      <c r="Q1880" s="6">
        <f>IF(OR(K1880="On time",K1880="Late",K1880="Very late"),1,0)</f>
        <v/>
      </c>
    </row>
    <row r="1881">
      <c r="A1881" s="10" t="inlineStr">
        <is>
          <t>DN320132</t>
        </is>
      </c>
      <c r="B1881" s="10" t="inlineStr">
        <is>
          <t>SO64194</t>
        </is>
      </c>
      <c r="C1881" s="10" t="inlineStr">
        <is>
          <t>C12543</t>
        </is>
      </c>
      <c r="D1881" s="10">
        <f>INDEX(Customers!$B:$B,MATCH(C1881,Customers!$A:$A,0))</f>
        <v/>
      </c>
      <c r="E1881" s="10">
        <f>INDEX(Customers!$D:$D,MATCH(C1881,Customers!$A:$A,0))</f>
        <v/>
      </c>
      <c r="F1881" s="10" t="inlineStr">
        <is>
          <t>Carrier B</t>
        </is>
      </c>
      <c r="G1881" s="5" t="n">
        <v>46296</v>
      </c>
      <c r="H1881" s="5" t="n">
        <v>46301</v>
      </c>
      <c r="I1881" s="5" t="n">
        <v>46301</v>
      </c>
      <c r="J1881" s="10" t="inlineStr">
        <is>
          <t>07:20</t>
        </is>
      </c>
      <c r="K1881" s="10" t="inlineStr">
        <is>
          <t>On time</t>
        </is>
      </c>
      <c r="L1881" s="6" t="n">
        <v>0</v>
      </c>
      <c r="M1881" s="10" t="n"/>
      <c r="N1881" s="6" t="n">
        <v>40</v>
      </c>
      <c r="O1881" s="6" t="n">
        <v>5240</v>
      </c>
      <c r="P1881" s="6" t="n">
        <v>1</v>
      </c>
      <c r="Q1881" s="6">
        <f>IF(OR(K1881="On time",K1881="Late",K1881="Very late"),1,0)</f>
        <v/>
      </c>
    </row>
    <row r="1882">
      <c r="A1882" s="10" t="inlineStr">
        <is>
          <t>DN320133</t>
        </is>
      </c>
      <c r="B1882" s="10" t="inlineStr">
        <is>
          <t>SO64195</t>
        </is>
      </c>
      <c r="C1882" s="10" t="inlineStr">
        <is>
          <t>C12617</t>
        </is>
      </c>
      <c r="D1882" s="10">
        <f>INDEX(Customers!$B:$B,MATCH(C1882,Customers!$A:$A,0))</f>
        <v/>
      </c>
      <c r="E1882" s="10">
        <f>INDEX(Customers!$D:$D,MATCH(C1882,Customers!$A:$A,0))</f>
        <v/>
      </c>
      <c r="F1882" s="10" t="inlineStr">
        <is>
          <t>Carrier B</t>
        </is>
      </c>
      <c r="G1882" s="5" t="n">
        <v>46296</v>
      </c>
      <c r="H1882" s="5" t="n">
        <v>46301</v>
      </c>
      <c r="I1882" s="5" t="n">
        <v>46301</v>
      </c>
      <c r="J1882" s="10" t="inlineStr">
        <is>
          <t>09:00</t>
        </is>
      </c>
      <c r="K1882" s="10" t="inlineStr">
        <is>
          <t>On time</t>
        </is>
      </c>
      <c r="L1882" s="6" t="n">
        <v>0</v>
      </c>
      <c r="M1882" s="10" t="n"/>
      <c r="N1882" s="6" t="n">
        <v>8</v>
      </c>
      <c r="O1882" s="6" t="n">
        <v>440</v>
      </c>
      <c r="P1882" s="6" t="n">
        <v>1</v>
      </c>
      <c r="Q1882" s="6">
        <f>IF(OR(K1882="On time",K1882="Late",K1882="Very late"),1,0)</f>
        <v/>
      </c>
    </row>
    <row r="1883">
      <c r="A1883" s="10" t="inlineStr">
        <is>
          <t>DN320134</t>
        </is>
      </c>
      <c r="B1883" s="10" t="inlineStr">
        <is>
          <t>SO64196</t>
        </is>
      </c>
      <c r="C1883" s="10" t="inlineStr">
        <is>
          <t>C12631</t>
        </is>
      </c>
      <c r="D1883" s="10">
        <f>INDEX(Customers!$B:$B,MATCH(C1883,Customers!$A:$A,0))</f>
        <v/>
      </c>
      <c r="E1883" s="10">
        <f>INDEX(Customers!$D:$D,MATCH(C1883,Customers!$A:$A,0))</f>
        <v/>
      </c>
      <c r="F1883" s="10" t="inlineStr">
        <is>
          <t>Carrier B</t>
        </is>
      </c>
      <c r="G1883" s="5" t="n">
        <v>46296</v>
      </c>
      <c r="H1883" s="5" t="n">
        <v>46301</v>
      </c>
      <c r="I1883" s="5" t="n"/>
      <c r="J1883" s="10" t="n"/>
      <c r="K1883" s="10" t="inlineStr">
        <is>
          <t>In transit</t>
        </is>
      </c>
      <c r="L1883" s="6" t="n">
        <v>0</v>
      </c>
      <c r="M1883" s="10" t="n"/>
      <c r="N1883" s="6" t="n">
        <v>6</v>
      </c>
      <c r="O1883" s="6" t="n">
        <v>516</v>
      </c>
      <c r="P1883" s="6" t="n">
        <v>1</v>
      </c>
      <c r="Q1883" s="6">
        <f>IF(OR(K1883="On time",K1883="Late",K1883="Very late"),1,0)</f>
        <v/>
      </c>
    </row>
    <row r="1884">
      <c r="A1884" s="10" t="inlineStr">
        <is>
          <t>DN320135</t>
        </is>
      </c>
      <c r="B1884" s="10" t="inlineStr">
        <is>
          <t>SO64197</t>
        </is>
      </c>
      <c r="C1884" s="10" t="inlineStr">
        <is>
          <t>C12639</t>
        </is>
      </c>
      <c r="D1884" s="10">
        <f>INDEX(Customers!$B:$B,MATCH(C1884,Customers!$A:$A,0))</f>
        <v/>
      </c>
      <c r="E1884" s="10">
        <f>INDEX(Customers!$D:$D,MATCH(C1884,Customers!$A:$A,0))</f>
        <v/>
      </c>
      <c r="F1884" s="10" t="inlineStr">
        <is>
          <t>Carrier B</t>
        </is>
      </c>
      <c r="G1884" s="5" t="n">
        <v>46296</v>
      </c>
      <c r="H1884" s="5" t="n">
        <v>46301</v>
      </c>
      <c r="I1884" s="5" t="n">
        <v>46301</v>
      </c>
      <c r="J1884" s="10" t="inlineStr">
        <is>
          <t>10:30</t>
        </is>
      </c>
      <c r="K1884" s="10" t="inlineStr">
        <is>
          <t>On time</t>
        </is>
      </c>
      <c r="L1884" s="6" t="n">
        <v>0</v>
      </c>
      <c r="M1884" s="10" t="n"/>
      <c r="N1884" s="6" t="n">
        <v>6</v>
      </c>
      <c r="O1884" s="6" t="n">
        <v>486</v>
      </c>
      <c r="P1884" s="6" t="n">
        <v>1</v>
      </c>
      <c r="Q1884" s="6">
        <f>IF(OR(K1884="On time",K1884="Late",K1884="Very late"),1,0)</f>
        <v/>
      </c>
    </row>
    <row r="1885">
      <c r="A1885" s="10" t="inlineStr">
        <is>
          <t>DN320136</t>
        </is>
      </c>
      <c r="B1885" s="10" t="inlineStr">
        <is>
          <t>SO64198</t>
        </is>
      </c>
      <c r="C1885" s="10" t="inlineStr">
        <is>
          <t>C12675</t>
        </is>
      </c>
      <c r="D1885" s="10">
        <f>INDEX(Customers!$B:$B,MATCH(C1885,Customers!$A:$A,0))</f>
        <v/>
      </c>
      <c r="E1885" s="10">
        <f>INDEX(Customers!$D:$D,MATCH(C1885,Customers!$A:$A,0))</f>
        <v/>
      </c>
      <c r="F1885" s="10" t="inlineStr">
        <is>
          <t>Carrier B</t>
        </is>
      </c>
      <c r="G1885" s="5" t="n">
        <v>46296</v>
      </c>
      <c r="H1885" s="5" t="n">
        <v>46301</v>
      </c>
      <c r="I1885" s="5" t="n">
        <v>46301</v>
      </c>
      <c r="J1885" s="10" t="inlineStr">
        <is>
          <t>13:20</t>
        </is>
      </c>
      <c r="K1885" s="10" t="inlineStr">
        <is>
          <t>On time</t>
        </is>
      </c>
      <c r="L1885" s="6" t="n">
        <v>0</v>
      </c>
      <c r="M1885" s="10" t="n"/>
      <c r="N1885" s="6" t="n">
        <v>3</v>
      </c>
      <c r="O1885" s="6" t="n">
        <v>285</v>
      </c>
      <c r="P1885" s="6" t="n">
        <v>1</v>
      </c>
      <c r="Q1885" s="6">
        <f>IF(OR(K1885="On time",K1885="Late",K1885="Very late"),1,0)</f>
        <v/>
      </c>
    </row>
  </sheetData>
  <autoFilter ref="A5:Q1885"/>
  <conditionalFormatting sqref="K6:K1885">
    <cfRule type="cellIs" priority="1" operator="equal" dxfId="0">
      <formula>"Late"</formula>
    </cfRule>
    <cfRule type="cellIs" priority="2" operator="equal" dxfId="1">
      <formula>"Very late"</formula>
    </cfRule>
    <cfRule type="cellIs" priority="3" operator="equal" dxfId="1">
      <formula>"Overdue"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Distribution Pty Ltd&amp;R&amp;"Roboto,Regular"&amp;8 &amp;A</oddHeader>
    <oddFooter>&amp;L&amp;"Roboto,Regular"&amp;8 deliveries-sample.xlsx&amp;C&amp;"Roboto,Regular"&amp;8 Data retrieved 2pm, Tue 6 Oct 2026 · Generated 22 Oct 2026, 7:51pm&amp;R&amp;"Roboto,Regular"&amp;8 Page &amp;P of &amp;N</oddFooter>
    <evenHeader/>
    <evenFooter/>
    <firstHeader/>
    <firstFooter/>
  </headerFooter>
  <rowBreaks count="34" manualBreakCount="34">
    <brk id="58" min="0" max="16383" man="1"/>
    <brk id="115" min="0" max="16383" man="1"/>
    <brk id="172" min="0" max="16383" man="1"/>
    <brk id="229" min="0" max="16383" man="1"/>
    <brk id="286" min="0" max="16383" man="1"/>
    <brk id="343" min="0" max="16383" man="1"/>
    <brk id="400" min="0" max="16383" man="1"/>
    <brk id="457" min="0" max="16383" man="1"/>
    <brk id="514" min="0" max="16383" man="1"/>
    <brk id="571" min="0" max="16383" man="1"/>
    <brk id="628" min="0" max="16383" man="1"/>
    <brk id="685" min="0" max="16383" man="1"/>
    <brk id="742" min="0" max="16383" man="1"/>
    <brk id="799" min="0" max="16383" man="1"/>
    <brk id="842" min="0" max="16383" man="1"/>
    <brk id="899" min="0" max="16383" man="1"/>
    <brk id="956" min="0" max="16383" man="1"/>
    <brk id="1013" min="0" max="16383" man="1"/>
    <brk id="1070" min="0" max="16383" man="1"/>
    <brk id="1127" min="0" max="16383" man="1"/>
    <brk id="1184" min="0" max="16383" man="1"/>
    <brk id="1241" min="0" max="16383" man="1"/>
    <brk id="1298" min="0" max="16383" man="1"/>
    <brk id="1355" min="0" max="16383" man="1"/>
    <brk id="1412" min="0" max="16383" man="1"/>
    <brk id="1469" min="0" max="16383" man="1"/>
    <brk id="1526" min="0" max="16383" man="1"/>
    <brk id="1583" min="0" max="16383" man="1"/>
    <brk id="1640" min="0" max="16383" man="1"/>
    <brk id="1697" min="0" max="16383" man="1"/>
    <brk id="1754" min="0" max="16383" man="1"/>
    <brk id="1759" min="0" max="16383" man="1"/>
    <brk id="1816" min="0" max="16383" man="1"/>
    <brk id="1873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9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  <col width="20" customWidth="1" min="5" max="5"/>
    <col width="13" customWidth="1" min="6" max="6"/>
    <col width="13" customWidth="1" min="7" max="7"/>
    <col width="13" customWidth="1" min="8" max="8"/>
    <col width="11" customWidth="1" min="9" max="9"/>
    <col width="13" customWidth="1" min="10" max="10"/>
    <col width="26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Every purchase-order delivery in, due 3 Aug to 9 Oct 2026</t>
        </is>
      </c>
    </row>
    <row r="2">
      <c r="A2" s="2" t="inlineStr">
        <is>
          <t>Sample Distribution · Wacol DC · SAMPLE DATA (invented) · The Fourth Sheet · Made with Python (openpyxl)</t>
        </is>
      </c>
    </row>
    <row r="3">
      <c r="A3" s="2" t="inlineStr">
        <is>
          <t>Data status (data retrieved 2pm, Tue 6 Oct 2026): today's deliveries are incomplete; 1–5 October is provisional (until October is locked); September and earlier are locked. Generated 22 Oct 2026, 7:51pm.</t>
        </is>
      </c>
    </row>
    <row r="4"/>
    <row r="5">
      <c r="A5" s="4" t="inlineStr">
        <is>
          <t>Receipt</t>
        </is>
      </c>
      <c r="B5" s="4" t="inlineStr">
        <is>
          <t>PO</t>
        </is>
      </c>
      <c r="C5" s="4" t="inlineStr">
        <is>
          <t>Supplier ID</t>
        </is>
      </c>
      <c r="D5" s="4" t="inlineStr">
        <is>
          <t>Supplier</t>
        </is>
      </c>
      <c r="E5" s="4" t="inlineStr">
        <is>
          <t>Carrier</t>
        </is>
      </c>
      <c r="F5" s="4" t="inlineStr">
        <is>
          <t>PO date</t>
        </is>
      </c>
      <c r="G5" s="4" t="inlineStr">
        <is>
          <t>Due</t>
        </is>
      </c>
      <c r="H5" s="4" t="inlineStr">
        <is>
          <t>Arrived</t>
        </is>
      </c>
      <c r="I5" s="4" t="inlineStr">
        <is>
          <t>Status</t>
        </is>
      </c>
      <c r="J5" s="4" t="inlineStr">
        <is>
          <t>Working days late</t>
        </is>
      </c>
      <c r="K5" s="4" t="inlineStr">
        <is>
          <t>Late reason</t>
        </is>
      </c>
      <c r="L5" s="4" t="inlineStr">
        <is>
          <t>Lines</t>
        </is>
      </c>
      <c r="M5" s="4" t="inlineStr">
        <is>
          <t>Lines short</t>
        </is>
      </c>
      <c r="N5" s="4" t="inlineStr">
        <is>
          <t>PO value</t>
        </is>
      </c>
      <c r="O5" s="4" t="inlineStr">
        <is>
          <t>Completed</t>
        </is>
      </c>
      <c r="P5" s="4" t="inlineStr">
        <is>
          <t>In full</t>
        </is>
      </c>
    </row>
    <row r="6">
      <c r="A6" s="10" t="inlineStr">
        <is>
          <t>GRN52115</t>
        </is>
      </c>
      <c r="B6" s="10" t="inlineStr">
        <is>
          <t>PO18344</t>
        </is>
      </c>
      <c r="C6" s="10" t="inlineStr">
        <is>
          <t>SUP2078</t>
        </is>
      </c>
      <c r="D6" s="10">
        <f>INDEX(Suppliers!$B:$B,MATCH(C6,Suppliers!$A:$A,0))</f>
        <v/>
      </c>
      <c r="E6" s="10" t="inlineStr">
        <is>
          <t>Line-haul (road)</t>
        </is>
      </c>
      <c r="F6" s="5" t="n">
        <v>46225</v>
      </c>
      <c r="G6" s="5" t="n">
        <v>46237</v>
      </c>
      <c r="H6" s="5" t="n">
        <v>46237</v>
      </c>
      <c r="I6" s="10" t="inlineStr">
        <is>
          <t>On time</t>
        </is>
      </c>
      <c r="J6" s="6" t="n">
        <v>0</v>
      </c>
      <c r="K6" s="10" t="n"/>
      <c r="L6" s="6" t="n">
        <v>30</v>
      </c>
      <c r="M6" s="6" t="n">
        <v>0</v>
      </c>
      <c r="N6" s="6" t="n">
        <v>24420</v>
      </c>
      <c r="O6" s="6">
        <f>IF(OR(I6="On time",I6="Late",I6="Very late"),1,0)</f>
        <v/>
      </c>
      <c r="P6" s="6">
        <f>IF(AND(O6=1,M6=0),1,0)</f>
        <v/>
      </c>
    </row>
    <row r="7">
      <c r="A7" s="10" t="inlineStr">
        <is>
          <t>GRN52116</t>
        </is>
      </c>
      <c r="B7" s="10" t="inlineStr">
        <is>
          <t>PO18345</t>
        </is>
      </c>
      <c r="C7" s="10" t="inlineStr">
        <is>
          <t>SUP2208</t>
        </is>
      </c>
      <c r="D7" s="10">
        <f>INDEX(Suppliers!$B:$B,MATCH(C7,Suppliers!$A:$A,0))</f>
        <v/>
      </c>
      <c r="E7" s="10" t="inlineStr">
        <is>
          <t>Supplier's own truck</t>
        </is>
      </c>
      <c r="F7" s="5" t="n">
        <v>46231</v>
      </c>
      <c r="G7" s="5" t="n">
        <v>46237</v>
      </c>
      <c r="H7" s="5" t="n">
        <v>46237</v>
      </c>
      <c r="I7" s="10" t="inlineStr">
        <is>
          <t>On time</t>
        </is>
      </c>
      <c r="J7" s="6" t="n">
        <v>0</v>
      </c>
      <c r="K7" s="10" t="n"/>
      <c r="L7" s="6" t="n">
        <v>23</v>
      </c>
      <c r="M7" s="6" t="n">
        <v>0</v>
      </c>
      <c r="N7" s="6" t="n">
        <v>16008</v>
      </c>
      <c r="O7" s="6">
        <f>IF(OR(I7="On time",I7="Late",I7="Very late"),1,0)</f>
        <v/>
      </c>
      <c r="P7" s="6">
        <f>IF(AND(O7=1,M7=0),1,0)</f>
        <v/>
      </c>
    </row>
    <row r="8">
      <c r="A8" s="10" t="inlineStr">
        <is>
          <t>GRN52117</t>
        </is>
      </c>
      <c r="B8" s="10" t="inlineStr">
        <is>
          <t>PO18347</t>
        </is>
      </c>
      <c r="C8" s="10" t="inlineStr">
        <is>
          <t>SUP2304</t>
        </is>
      </c>
      <c r="D8" s="10">
        <f>INDEX(Suppliers!$B:$B,MATCH(C8,Suppliers!$A:$A,0))</f>
        <v/>
      </c>
      <c r="E8" s="10" t="inlineStr">
        <is>
          <t>Supplier's own truck</t>
        </is>
      </c>
      <c r="F8" s="5" t="n">
        <v>46227</v>
      </c>
      <c r="G8" s="5" t="n">
        <v>46237</v>
      </c>
      <c r="H8" s="5" t="n">
        <v>46237</v>
      </c>
      <c r="I8" s="10" t="inlineStr">
        <is>
          <t>On time</t>
        </is>
      </c>
      <c r="J8" s="6" t="n">
        <v>0</v>
      </c>
      <c r="K8" s="10" t="n"/>
      <c r="L8" s="6" t="n">
        <v>4</v>
      </c>
      <c r="M8" s="6" t="n">
        <v>0</v>
      </c>
      <c r="N8" s="6" t="n">
        <v>1368</v>
      </c>
      <c r="O8" s="6">
        <f>IF(OR(I8="On time",I8="Late",I8="Very late"),1,0)</f>
        <v/>
      </c>
      <c r="P8" s="6">
        <f>IF(AND(O8=1,M8=0),1,0)</f>
        <v/>
      </c>
    </row>
    <row r="9">
      <c r="A9" s="10" t="inlineStr">
        <is>
          <t>GRN52118</t>
        </is>
      </c>
      <c r="B9" s="10" t="inlineStr">
        <is>
          <t>PO18349</t>
        </is>
      </c>
      <c r="C9" s="10" t="inlineStr">
        <is>
          <t>SUP2422</t>
        </is>
      </c>
      <c r="D9" s="10">
        <f>INDEX(Suppliers!$B:$B,MATCH(C9,Suppliers!$A:$A,0))</f>
        <v/>
      </c>
      <c r="E9" s="10" t="inlineStr">
        <is>
          <t>Line-haul (rail)</t>
        </is>
      </c>
      <c r="F9" s="5" t="n">
        <v>46219</v>
      </c>
      <c r="G9" s="5" t="n">
        <v>46237</v>
      </c>
      <c r="H9" s="5" t="n">
        <v>46237</v>
      </c>
      <c r="I9" s="10" t="inlineStr">
        <is>
          <t>On time</t>
        </is>
      </c>
      <c r="J9" s="6" t="n">
        <v>0</v>
      </c>
      <c r="K9" s="10" t="n"/>
      <c r="L9" s="6" t="n">
        <v>4</v>
      </c>
      <c r="M9" s="6" t="n">
        <v>0</v>
      </c>
      <c r="N9" s="6" t="n">
        <v>3512</v>
      </c>
      <c r="O9" s="6">
        <f>IF(OR(I9="On time",I9="Late",I9="Very late"),1,0)</f>
        <v/>
      </c>
      <c r="P9" s="6">
        <f>IF(AND(O9=1,M9=0),1,0)</f>
        <v/>
      </c>
    </row>
    <row r="10">
      <c r="A10" s="10" t="inlineStr">
        <is>
          <t>GRN52119</t>
        </is>
      </c>
      <c r="B10" s="10" t="inlineStr">
        <is>
          <t>PO18350</t>
        </is>
      </c>
      <c r="C10" s="10" t="inlineStr">
        <is>
          <t>SUP2461</t>
        </is>
      </c>
      <c r="D10" s="10">
        <f>INDEX(Suppliers!$B:$B,MATCH(C10,Suppliers!$A:$A,0))</f>
        <v/>
      </c>
      <c r="E10" s="10" t="inlineStr">
        <is>
          <t>Line-haul (road)</t>
        </is>
      </c>
      <c r="F10" s="5" t="n">
        <v>46227</v>
      </c>
      <c r="G10" s="5" t="n">
        <v>46237</v>
      </c>
      <c r="H10" s="5" t="n">
        <v>46237</v>
      </c>
      <c r="I10" s="10" t="inlineStr">
        <is>
          <t>On time</t>
        </is>
      </c>
      <c r="J10" s="6" t="n">
        <v>0</v>
      </c>
      <c r="K10" s="10" t="n"/>
      <c r="L10" s="6" t="n">
        <v>16</v>
      </c>
      <c r="M10" s="6" t="n">
        <v>0</v>
      </c>
      <c r="N10" s="6" t="n">
        <v>10032</v>
      </c>
      <c r="O10" s="6">
        <f>IF(OR(I10="On time",I10="Late",I10="Very late"),1,0)</f>
        <v/>
      </c>
      <c r="P10" s="6">
        <f>IF(AND(O10=1,M10=0),1,0)</f>
        <v/>
      </c>
    </row>
    <row r="11">
      <c r="A11" s="10" t="inlineStr">
        <is>
          <t>GRN52120</t>
        </is>
      </c>
      <c r="B11" s="10" t="inlineStr">
        <is>
          <t>PO18351</t>
        </is>
      </c>
      <c r="C11" s="10" t="inlineStr">
        <is>
          <t>SUP2506</t>
        </is>
      </c>
      <c r="D11" s="10">
        <f>INDEX(Suppliers!$B:$B,MATCH(C11,Suppliers!$A:$A,0))</f>
        <v/>
      </c>
      <c r="E11" s="10" t="inlineStr">
        <is>
          <t>Air freight</t>
        </is>
      </c>
      <c r="F11" s="5" t="n">
        <v>46227</v>
      </c>
      <c r="G11" s="5" t="n">
        <v>46237</v>
      </c>
      <c r="H11" s="5" t="n">
        <v>46237</v>
      </c>
      <c r="I11" s="10" t="inlineStr">
        <is>
          <t>On time</t>
        </is>
      </c>
      <c r="J11" s="6" t="n">
        <v>0</v>
      </c>
      <c r="K11" s="10" t="n"/>
      <c r="L11" s="6" t="n">
        <v>12</v>
      </c>
      <c r="M11" s="6" t="n">
        <v>0</v>
      </c>
      <c r="N11" s="6" t="n">
        <v>8844</v>
      </c>
      <c r="O11" s="6">
        <f>IF(OR(I11="On time",I11="Late",I11="Very late"),1,0)</f>
        <v/>
      </c>
      <c r="P11" s="6">
        <f>IF(AND(O11=1,M11=0),1,0)</f>
        <v/>
      </c>
    </row>
    <row r="12">
      <c r="A12" s="10" t="inlineStr">
        <is>
          <t>GRN52121</t>
        </is>
      </c>
      <c r="B12" s="10" t="inlineStr">
        <is>
          <t>PO18352</t>
        </is>
      </c>
      <c r="C12" s="10" t="inlineStr">
        <is>
          <t>SUP2078</t>
        </is>
      </c>
      <c r="D12" s="10">
        <f>INDEX(Suppliers!$B:$B,MATCH(C12,Suppliers!$A:$A,0))</f>
        <v/>
      </c>
      <c r="E12" s="10" t="inlineStr">
        <is>
          <t>Line-haul (road)</t>
        </is>
      </c>
      <c r="F12" s="5" t="n">
        <v>46231</v>
      </c>
      <c r="G12" s="5" t="n">
        <v>46238</v>
      </c>
      <c r="H12" s="5" t="n">
        <v>46238</v>
      </c>
      <c r="I12" s="10" t="inlineStr">
        <is>
          <t>On time</t>
        </is>
      </c>
      <c r="J12" s="6" t="n">
        <v>0</v>
      </c>
      <c r="K12" s="10" t="n"/>
      <c r="L12" s="6" t="n">
        <v>7</v>
      </c>
      <c r="M12" s="6" t="n">
        <v>0</v>
      </c>
      <c r="N12" s="6" t="n">
        <v>3724</v>
      </c>
      <c r="O12" s="6">
        <f>IF(OR(I12="On time",I12="Late",I12="Very late"),1,0)</f>
        <v/>
      </c>
      <c r="P12" s="6">
        <f>IF(AND(O12=1,M12=0),1,0)</f>
        <v/>
      </c>
    </row>
    <row r="13">
      <c r="A13" s="10" t="inlineStr">
        <is>
          <t>GRN52122</t>
        </is>
      </c>
      <c r="B13" s="10" t="inlineStr">
        <is>
          <t>PO18354</t>
        </is>
      </c>
      <c r="C13" s="10" t="inlineStr">
        <is>
          <t>SUP2151</t>
        </is>
      </c>
      <c r="D13" s="10">
        <f>INDEX(Suppliers!$B:$B,MATCH(C13,Suppliers!$A:$A,0))</f>
        <v/>
      </c>
      <c r="E13" s="10" t="inlineStr">
        <is>
          <t>Line-haul (road)</t>
        </is>
      </c>
      <c r="F13" s="5" t="n">
        <v>46225</v>
      </c>
      <c r="G13" s="5" t="n">
        <v>46238</v>
      </c>
      <c r="H13" s="5" t="n">
        <v>46238</v>
      </c>
      <c r="I13" s="10" t="inlineStr">
        <is>
          <t>On time</t>
        </is>
      </c>
      <c r="J13" s="6" t="n">
        <v>0</v>
      </c>
      <c r="K13" s="10" t="n"/>
      <c r="L13" s="6" t="n">
        <v>6</v>
      </c>
      <c r="M13" s="6" t="n">
        <v>0</v>
      </c>
      <c r="N13" s="6" t="n">
        <v>4284</v>
      </c>
      <c r="O13" s="6">
        <f>IF(OR(I13="On time",I13="Late",I13="Very late"),1,0)</f>
        <v/>
      </c>
      <c r="P13" s="6">
        <f>IF(AND(O13=1,M13=0),1,0)</f>
        <v/>
      </c>
    </row>
    <row r="14">
      <c r="A14" s="10" t="inlineStr">
        <is>
          <t>GRN52123</t>
        </is>
      </c>
      <c r="B14" s="10" t="inlineStr">
        <is>
          <t>PO18356</t>
        </is>
      </c>
      <c r="C14" s="10" t="inlineStr">
        <is>
          <t>SUP2189</t>
        </is>
      </c>
      <c r="D14" s="10">
        <f>INDEX(Suppliers!$B:$B,MATCH(C14,Suppliers!$A:$A,0))</f>
        <v/>
      </c>
      <c r="E14" s="10" t="inlineStr">
        <is>
          <t>Container cartage</t>
        </is>
      </c>
      <c r="F14" s="5" t="n">
        <v>46231</v>
      </c>
      <c r="G14" s="5" t="n">
        <v>46238</v>
      </c>
      <c r="H14" s="5" t="n">
        <v>46238</v>
      </c>
      <c r="I14" s="10" t="inlineStr">
        <is>
          <t>On time</t>
        </is>
      </c>
      <c r="J14" s="6" t="n">
        <v>0</v>
      </c>
      <c r="K14" s="10" t="n"/>
      <c r="L14" s="6" t="n">
        <v>11</v>
      </c>
      <c r="M14" s="6" t="n">
        <v>0</v>
      </c>
      <c r="N14" s="6" t="n">
        <v>9581</v>
      </c>
      <c r="O14" s="6">
        <f>IF(OR(I14="On time",I14="Late",I14="Very late"),1,0)</f>
        <v/>
      </c>
      <c r="P14" s="6">
        <f>IF(AND(O14=1,M14=0),1,0)</f>
        <v/>
      </c>
    </row>
    <row r="15">
      <c r="A15" s="10" t="inlineStr">
        <is>
          <t>GRN52124</t>
        </is>
      </c>
      <c r="B15" s="10" t="inlineStr">
        <is>
          <t>PO18357</t>
        </is>
      </c>
      <c r="C15" s="10" t="inlineStr">
        <is>
          <t>SUP2304</t>
        </is>
      </c>
      <c r="D15" s="10">
        <f>INDEX(Suppliers!$B:$B,MATCH(C15,Suppliers!$A:$A,0))</f>
        <v/>
      </c>
      <c r="E15" s="10" t="inlineStr">
        <is>
          <t>Supplier's own truck</t>
        </is>
      </c>
      <c r="F15" s="5" t="n">
        <v>46227</v>
      </c>
      <c r="G15" s="5" t="n">
        <v>46238</v>
      </c>
      <c r="H15" s="5" t="n">
        <v>46239</v>
      </c>
      <c r="I15" s="10" t="inlineStr">
        <is>
          <t>Late</t>
        </is>
      </c>
      <c r="J15" s="6" t="n">
        <v>1</v>
      </c>
      <c r="K15" s="10" t="inlineStr">
        <is>
          <t>Line-haul delay</t>
        </is>
      </c>
      <c r="L15" s="6" t="n">
        <v>16</v>
      </c>
      <c r="M15" s="6" t="n">
        <v>0</v>
      </c>
      <c r="N15" s="6" t="n">
        <v>6304</v>
      </c>
      <c r="O15" s="6">
        <f>IF(OR(I15="On time",I15="Late",I15="Very late"),1,0)</f>
        <v/>
      </c>
      <c r="P15" s="6">
        <f>IF(AND(O15=1,M15=0),1,0)</f>
        <v/>
      </c>
    </row>
    <row r="16">
      <c r="A16" s="10" t="inlineStr">
        <is>
          <t>GRN52125</t>
        </is>
      </c>
      <c r="B16" s="10" t="inlineStr">
        <is>
          <t>PO18358</t>
        </is>
      </c>
      <c r="C16" s="10" t="inlineStr">
        <is>
          <t>SUP2461</t>
        </is>
      </c>
      <c r="D16" s="10">
        <f>INDEX(Suppliers!$B:$B,MATCH(C16,Suppliers!$A:$A,0))</f>
        <v/>
      </c>
      <c r="E16" s="10" t="inlineStr">
        <is>
          <t>Line-haul (road)</t>
        </is>
      </c>
      <c r="F16" s="5" t="n">
        <v>46226</v>
      </c>
      <c r="G16" s="5" t="n">
        <v>46238</v>
      </c>
      <c r="H16" s="5" t="n">
        <v>46238</v>
      </c>
      <c r="I16" s="10" t="inlineStr">
        <is>
          <t>On time</t>
        </is>
      </c>
      <c r="J16" s="6" t="n">
        <v>0</v>
      </c>
      <c r="K16" s="10" t="n"/>
      <c r="L16" s="6" t="n">
        <v>15</v>
      </c>
      <c r="M16" s="6" t="n">
        <v>0</v>
      </c>
      <c r="N16" s="6" t="n">
        <v>9780</v>
      </c>
      <c r="O16" s="6">
        <f>IF(OR(I16="On time",I16="Late",I16="Very late"),1,0)</f>
        <v/>
      </c>
      <c r="P16" s="6">
        <f>IF(AND(O16=1,M16=0),1,0)</f>
        <v/>
      </c>
    </row>
    <row r="17">
      <c r="A17" s="10" t="inlineStr">
        <is>
          <t>GRN52126</t>
        </is>
      </c>
      <c r="B17" s="10" t="inlineStr">
        <is>
          <t>PO18359</t>
        </is>
      </c>
      <c r="C17" s="10" t="inlineStr">
        <is>
          <t>SUP2078</t>
        </is>
      </c>
      <c r="D17" s="10">
        <f>INDEX(Suppliers!$B:$B,MATCH(C17,Suppliers!$A:$A,0))</f>
        <v/>
      </c>
      <c r="E17" s="10" t="inlineStr">
        <is>
          <t>Line-haul (road)</t>
        </is>
      </c>
      <c r="F17" s="5" t="n">
        <v>46233</v>
      </c>
      <c r="G17" s="5" t="n">
        <v>46239</v>
      </c>
      <c r="H17" s="5" t="n">
        <v>46244</v>
      </c>
      <c r="I17" s="10" t="inlineStr">
        <is>
          <t>Very late</t>
        </is>
      </c>
      <c r="J17" s="6" t="n">
        <v>3</v>
      </c>
      <c r="K17" s="10" t="inlineStr">
        <is>
          <t>Line-haul delay</t>
        </is>
      </c>
      <c r="L17" s="6" t="n">
        <v>7</v>
      </c>
      <c r="M17" s="6" t="n">
        <v>0</v>
      </c>
      <c r="N17" s="6" t="n">
        <v>3738</v>
      </c>
      <c r="O17" s="6">
        <f>IF(OR(I17="On time",I17="Late",I17="Very late"),1,0)</f>
        <v/>
      </c>
      <c r="P17" s="6">
        <f>IF(AND(O17=1,M17=0),1,0)</f>
        <v/>
      </c>
    </row>
    <row r="18">
      <c r="A18" s="10" t="inlineStr">
        <is>
          <t>GRN52127</t>
        </is>
      </c>
      <c r="B18" s="10" t="inlineStr">
        <is>
          <t>PO18361</t>
        </is>
      </c>
      <c r="C18" s="10" t="inlineStr">
        <is>
          <t>SUP2189</t>
        </is>
      </c>
      <c r="D18" s="10">
        <f>INDEX(Suppliers!$B:$B,MATCH(C18,Suppliers!$A:$A,0))</f>
        <v/>
      </c>
      <c r="E18" s="10" t="inlineStr">
        <is>
          <t>Container cartage</t>
        </is>
      </c>
      <c r="F18" s="5" t="n">
        <v>46231</v>
      </c>
      <c r="G18" s="5" t="n">
        <v>46239</v>
      </c>
      <c r="H18" s="5" t="n">
        <v>46239</v>
      </c>
      <c r="I18" s="10" t="inlineStr">
        <is>
          <t>On time</t>
        </is>
      </c>
      <c r="J18" s="6" t="n">
        <v>0</v>
      </c>
      <c r="K18" s="10" t="n"/>
      <c r="L18" s="6" t="n">
        <v>28</v>
      </c>
      <c r="M18" s="6" t="n">
        <v>0</v>
      </c>
      <c r="N18" s="6" t="n">
        <v>12292</v>
      </c>
      <c r="O18" s="6">
        <f>IF(OR(I18="On time",I18="Late",I18="Very late"),1,0)</f>
        <v/>
      </c>
      <c r="P18" s="6">
        <f>IF(AND(O18=1,M18=0),1,0)</f>
        <v/>
      </c>
    </row>
    <row r="19">
      <c r="A19" s="10" t="inlineStr">
        <is>
          <t>GRN52128</t>
        </is>
      </c>
      <c r="B19" s="10" t="inlineStr">
        <is>
          <t>PO18363</t>
        </is>
      </c>
      <c r="C19" s="10" t="inlineStr">
        <is>
          <t>SUP2208</t>
        </is>
      </c>
      <c r="D19" s="10">
        <f>INDEX(Suppliers!$B:$B,MATCH(C19,Suppliers!$A:$A,0))</f>
        <v/>
      </c>
      <c r="E19" s="10" t="inlineStr">
        <is>
          <t>Supplier's own truck</t>
        </is>
      </c>
      <c r="F19" s="5" t="n">
        <v>46231</v>
      </c>
      <c r="G19" s="5" t="n">
        <v>46239</v>
      </c>
      <c r="H19" s="5" t="n">
        <v>46240</v>
      </c>
      <c r="I19" s="10" t="inlineStr">
        <is>
          <t>Late</t>
        </is>
      </c>
      <c r="J19" s="6" t="n">
        <v>1</v>
      </c>
      <c r="K19" s="10" t="inlineStr">
        <is>
          <t>Supplier stock shortage</t>
        </is>
      </c>
      <c r="L19" s="6" t="n">
        <v>6</v>
      </c>
      <c r="M19" s="6" t="n">
        <v>0</v>
      </c>
      <c r="N19" s="6" t="n">
        <v>2832</v>
      </c>
      <c r="O19" s="6">
        <f>IF(OR(I19="On time",I19="Late",I19="Very late"),1,0)</f>
        <v/>
      </c>
      <c r="P19" s="6">
        <f>IF(AND(O19=1,M19=0),1,0)</f>
        <v/>
      </c>
    </row>
    <row r="20">
      <c r="A20" s="10" t="inlineStr">
        <is>
          <t>GRN52129</t>
        </is>
      </c>
      <c r="B20" s="10" t="inlineStr">
        <is>
          <t>PO18365</t>
        </is>
      </c>
      <c r="C20" s="10" t="inlineStr">
        <is>
          <t>SUP2336</t>
        </is>
      </c>
      <c r="D20" s="10">
        <f>INDEX(Suppliers!$B:$B,MATCH(C20,Suppliers!$A:$A,0))</f>
        <v/>
      </c>
      <c r="E20" s="10" t="inlineStr">
        <is>
          <t>Line-haul (road)</t>
        </is>
      </c>
      <c r="F20" s="5" t="n">
        <v>46230</v>
      </c>
      <c r="G20" s="5" t="n">
        <v>46239</v>
      </c>
      <c r="H20" s="5" t="n">
        <v>46239</v>
      </c>
      <c r="I20" s="10" t="inlineStr">
        <is>
          <t>On time</t>
        </is>
      </c>
      <c r="J20" s="6" t="n">
        <v>0</v>
      </c>
      <c r="K20" s="10" t="n"/>
      <c r="L20" s="6" t="n">
        <v>11</v>
      </c>
      <c r="M20" s="6" t="n">
        <v>0</v>
      </c>
      <c r="N20" s="6" t="n">
        <v>7007</v>
      </c>
      <c r="O20" s="6">
        <f>IF(OR(I20="On time",I20="Late",I20="Very late"),1,0)</f>
        <v/>
      </c>
      <c r="P20" s="6">
        <f>IF(AND(O20=1,M20=0),1,0)</f>
        <v/>
      </c>
    </row>
    <row r="21">
      <c r="A21" s="10" t="inlineStr">
        <is>
          <t>GRN52130</t>
        </is>
      </c>
      <c r="B21" s="10" t="inlineStr">
        <is>
          <t>PO18367</t>
        </is>
      </c>
      <c r="C21" s="10" t="inlineStr">
        <is>
          <t>SUP2506</t>
        </is>
      </c>
      <c r="D21" s="10">
        <f>INDEX(Suppliers!$B:$B,MATCH(C21,Suppliers!$A:$A,0))</f>
        <v/>
      </c>
      <c r="E21" s="10" t="inlineStr">
        <is>
          <t>Air freight</t>
        </is>
      </c>
      <c r="F21" s="5" t="n">
        <v>46232</v>
      </c>
      <c r="G21" s="5" t="n">
        <v>46239</v>
      </c>
      <c r="H21" s="5" t="n">
        <v>46239</v>
      </c>
      <c r="I21" s="10" t="inlineStr">
        <is>
          <t>On time</t>
        </is>
      </c>
      <c r="J21" s="6" t="n">
        <v>0</v>
      </c>
      <c r="K21" s="10" t="n"/>
      <c r="L21" s="6" t="n">
        <v>10</v>
      </c>
      <c r="M21" s="6" t="n">
        <v>0</v>
      </c>
      <c r="N21" s="6" t="n">
        <v>2000</v>
      </c>
      <c r="O21" s="6">
        <f>IF(OR(I21="On time",I21="Late",I21="Very late"),1,0)</f>
        <v/>
      </c>
      <c r="P21" s="6">
        <f>IF(AND(O21=1,M21=0),1,0)</f>
        <v/>
      </c>
    </row>
    <row r="22">
      <c r="A22" s="10" t="inlineStr">
        <is>
          <t>GRN52131</t>
        </is>
      </c>
      <c r="B22" s="10" t="inlineStr">
        <is>
          <t>PO18368</t>
        </is>
      </c>
      <c r="C22" s="10" t="inlineStr">
        <is>
          <t>SUP2208</t>
        </is>
      </c>
      <c r="D22" s="10">
        <f>INDEX(Suppliers!$B:$B,MATCH(C22,Suppliers!$A:$A,0))</f>
        <v/>
      </c>
      <c r="E22" s="10" t="inlineStr">
        <is>
          <t>Supplier's own truck</t>
        </is>
      </c>
      <c r="F22" s="5" t="n">
        <v>46237</v>
      </c>
      <c r="G22" s="5" t="n">
        <v>46240</v>
      </c>
      <c r="H22" s="5" t="n">
        <v>46240</v>
      </c>
      <c r="I22" s="10" t="inlineStr">
        <is>
          <t>On time</t>
        </is>
      </c>
      <c r="J22" s="6" t="n">
        <v>0</v>
      </c>
      <c r="K22" s="10" t="n"/>
      <c r="L22" s="6" t="n">
        <v>6</v>
      </c>
      <c r="M22" s="6" t="n">
        <v>0</v>
      </c>
      <c r="N22" s="6" t="n">
        <v>4884</v>
      </c>
      <c r="O22" s="6">
        <f>IF(OR(I22="On time",I22="Late",I22="Very late"),1,0)</f>
        <v/>
      </c>
      <c r="P22" s="6">
        <f>IF(AND(O22=1,M22=0),1,0)</f>
        <v/>
      </c>
    </row>
    <row r="23">
      <c r="A23" s="10" t="inlineStr">
        <is>
          <t>GRN52132</t>
        </is>
      </c>
      <c r="B23" s="10" t="inlineStr">
        <is>
          <t>PO18369</t>
        </is>
      </c>
      <c r="C23" s="10" t="inlineStr">
        <is>
          <t>SUP2304</t>
        </is>
      </c>
      <c r="D23" s="10">
        <f>INDEX(Suppliers!$B:$B,MATCH(C23,Suppliers!$A:$A,0))</f>
        <v/>
      </c>
      <c r="E23" s="10" t="inlineStr">
        <is>
          <t>Supplier's own truck</t>
        </is>
      </c>
      <c r="F23" s="5" t="n">
        <v>46232</v>
      </c>
      <c r="G23" s="5" t="n">
        <v>46240</v>
      </c>
      <c r="H23" s="5" t="n">
        <v>46240</v>
      </c>
      <c r="I23" s="10" t="inlineStr">
        <is>
          <t>On time</t>
        </is>
      </c>
      <c r="J23" s="6" t="n">
        <v>0</v>
      </c>
      <c r="K23" s="10" t="n"/>
      <c r="L23" s="6" t="n">
        <v>19</v>
      </c>
      <c r="M23" s="6" t="n">
        <v>0</v>
      </c>
      <c r="N23" s="6" t="n">
        <v>5092</v>
      </c>
      <c r="O23" s="6">
        <f>IF(OR(I23="On time",I23="Late",I23="Very late"),1,0)</f>
        <v/>
      </c>
      <c r="P23" s="6">
        <f>IF(AND(O23=1,M23=0),1,0)</f>
        <v/>
      </c>
    </row>
    <row r="24">
      <c r="A24" s="10" t="inlineStr">
        <is>
          <t>GRN52133</t>
        </is>
      </c>
      <c r="B24" s="10" t="inlineStr">
        <is>
          <t>PO18370</t>
        </is>
      </c>
      <c r="C24" s="10" t="inlineStr">
        <is>
          <t>SUP2422</t>
        </is>
      </c>
      <c r="D24" s="10">
        <f>INDEX(Suppliers!$B:$B,MATCH(C24,Suppliers!$A:$A,0))</f>
        <v/>
      </c>
      <c r="E24" s="10" t="inlineStr">
        <is>
          <t>Line-haul (rail)</t>
        </is>
      </c>
      <c r="F24" s="5" t="n">
        <v>46226</v>
      </c>
      <c r="G24" s="5" t="n">
        <v>46240</v>
      </c>
      <c r="H24" s="5" t="n">
        <v>46240</v>
      </c>
      <c r="I24" s="10" t="inlineStr">
        <is>
          <t>On time</t>
        </is>
      </c>
      <c r="J24" s="6" t="n">
        <v>0</v>
      </c>
      <c r="K24" s="10" t="n"/>
      <c r="L24" s="6" t="n">
        <v>3</v>
      </c>
      <c r="M24" s="6" t="n">
        <v>0</v>
      </c>
      <c r="N24" s="6" t="n">
        <v>2274</v>
      </c>
      <c r="O24" s="6">
        <f>IF(OR(I24="On time",I24="Late",I24="Very late"),1,0)</f>
        <v/>
      </c>
      <c r="P24" s="6">
        <f>IF(AND(O24=1,M24=0),1,0)</f>
        <v/>
      </c>
    </row>
    <row r="25">
      <c r="A25" s="10" t="inlineStr">
        <is>
          <t>GRN52134</t>
        </is>
      </c>
      <c r="B25" s="10" t="inlineStr">
        <is>
          <t>PO18371</t>
        </is>
      </c>
      <c r="C25" s="10" t="inlineStr">
        <is>
          <t>SUP2542</t>
        </is>
      </c>
      <c r="D25" s="10">
        <f>INDEX(Suppliers!$B:$B,MATCH(C25,Suppliers!$A:$A,0))</f>
        <v/>
      </c>
      <c r="E25" s="10" t="inlineStr">
        <is>
          <t>Supplier's own truck</t>
        </is>
      </c>
      <c r="F25" s="5" t="n">
        <v>46232</v>
      </c>
      <c r="G25" s="5" t="n">
        <v>46240</v>
      </c>
      <c r="H25" s="5" t="n">
        <v>46240</v>
      </c>
      <c r="I25" s="10" t="inlineStr">
        <is>
          <t>On time</t>
        </is>
      </c>
      <c r="J25" s="6" t="n">
        <v>0</v>
      </c>
      <c r="K25" s="10" t="n"/>
      <c r="L25" s="6" t="n">
        <v>12</v>
      </c>
      <c r="M25" s="6" t="n">
        <v>0</v>
      </c>
      <c r="N25" s="6" t="n">
        <v>2760</v>
      </c>
      <c r="O25" s="6">
        <f>IF(OR(I25="On time",I25="Late",I25="Very late"),1,0)</f>
        <v/>
      </c>
      <c r="P25" s="6">
        <f>IF(AND(O25=1,M25=0),1,0)</f>
        <v/>
      </c>
    </row>
    <row r="26">
      <c r="A26" s="10" t="inlineStr">
        <is>
          <t>GRN52135</t>
        </is>
      </c>
      <c r="B26" s="10" t="inlineStr">
        <is>
          <t>PO18372</t>
        </is>
      </c>
      <c r="C26" s="10" t="inlineStr">
        <is>
          <t>SUP2189</t>
        </is>
      </c>
      <c r="D26" s="10">
        <f>INDEX(Suppliers!$B:$B,MATCH(C26,Suppliers!$A:$A,0))</f>
        <v/>
      </c>
      <c r="E26" s="10" t="inlineStr">
        <is>
          <t>Container cartage</t>
        </is>
      </c>
      <c r="F26" s="5" t="n">
        <v>46234</v>
      </c>
      <c r="G26" s="5" t="n">
        <v>46241</v>
      </c>
      <c r="H26" s="5" t="n">
        <v>46241</v>
      </c>
      <c r="I26" s="10" t="inlineStr">
        <is>
          <t>On time</t>
        </is>
      </c>
      <c r="J26" s="6" t="n">
        <v>0</v>
      </c>
      <c r="K26" s="10" t="n"/>
      <c r="L26" s="6" t="n">
        <v>23</v>
      </c>
      <c r="M26" s="6" t="n">
        <v>0</v>
      </c>
      <c r="N26" s="6" t="n">
        <v>19113</v>
      </c>
      <c r="O26" s="6">
        <f>IF(OR(I26="On time",I26="Late",I26="Very late"),1,0)</f>
        <v/>
      </c>
      <c r="P26" s="6">
        <f>IF(AND(O26=1,M26=0),1,0)</f>
        <v/>
      </c>
    </row>
    <row r="27">
      <c r="A27" s="10" t="inlineStr">
        <is>
          <t>GRN52136</t>
        </is>
      </c>
      <c r="B27" s="10" t="inlineStr">
        <is>
          <t>PO18373</t>
        </is>
      </c>
      <c r="C27" s="10" t="inlineStr">
        <is>
          <t>SUP2219</t>
        </is>
      </c>
      <c r="D27" s="10">
        <f>INDEX(Suppliers!$B:$B,MATCH(C27,Suppliers!$A:$A,0))</f>
        <v/>
      </c>
      <c r="E27" s="10" t="inlineStr">
        <is>
          <t>Supplier's own truck</t>
        </is>
      </c>
      <c r="F27" s="5" t="n">
        <v>46237</v>
      </c>
      <c r="G27" s="5" t="n">
        <v>46241</v>
      </c>
      <c r="H27" s="5" t="n">
        <v>46241</v>
      </c>
      <c r="I27" s="10" t="inlineStr">
        <is>
          <t>On time</t>
        </is>
      </c>
      <c r="J27" s="6" t="n">
        <v>0</v>
      </c>
      <c r="K27" s="10" t="n"/>
      <c r="L27" s="6" t="n">
        <v>18</v>
      </c>
      <c r="M27" s="6" t="n">
        <v>0</v>
      </c>
      <c r="N27" s="6" t="n">
        <v>8244</v>
      </c>
      <c r="O27" s="6">
        <f>IF(OR(I27="On time",I27="Late",I27="Very late"),1,0)</f>
        <v/>
      </c>
      <c r="P27" s="6">
        <f>IF(AND(O27=1,M27=0),1,0)</f>
        <v/>
      </c>
    </row>
    <row r="28">
      <c r="A28" s="10" t="inlineStr">
        <is>
          <t>GRN52137</t>
        </is>
      </c>
      <c r="B28" s="10" t="inlineStr">
        <is>
          <t>PO18375</t>
        </is>
      </c>
      <c r="C28" s="10" t="inlineStr">
        <is>
          <t>SUP2304</t>
        </is>
      </c>
      <c r="D28" s="10">
        <f>INDEX(Suppliers!$B:$B,MATCH(C28,Suppliers!$A:$A,0))</f>
        <v/>
      </c>
      <c r="E28" s="10" t="inlineStr">
        <is>
          <t>Supplier's own truck</t>
        </is>
      </c>
      <c r="F28" s="5" t="n">
        <v>46238</v>
      </c>
      <c r="G28" s="5" t="n">
        <v>46241</v>
      </c>
      <c r="H28" s="5" t="n">
        <v>46241</v>
      </c>
      <c r="I28" s="10" t="inlineStr">
        <is>
          <t>On time</t>
        </is>
      </c>
      <c r="J28" s="6" t="n">
        <v>0</v>
      </c>
      <c r="K28" s="10" t="n"/>
      <c r="L28" s="6" t="n">
        <v>3</v>
      </c>
      <c r="M28" s="6" t="n">
        <v>0</v>
      </c>
      <c r="N28" s="6" t="n">
        <v>1650</v>
      </c>
      <c r="O28" s="6">
        <f>IF(OR(I28="On time",I28="Late",I28="Very late"),1,0)</f>
        <v/>
      </c>
      <c r="P28" s="6">
        <f>IF(AND(O28=1,M28=0),1,0)</f>
        <v/>
      </c>
    </row>
    <row r="29">
      <c r="A29" s="10" t="inlineStr">
        <is>
          <t>GRN52138</t>
        </is>
      </c>
      <c r="B29" s="10" t="inlineStr">
        <is>
          <t>PO18377</t>
        </is>
      </c>
      <c r="C29" s="10" t="inlineStr">
        <is>
          <t>SUP2480</t>
        </is>
      </c>
      <c r="D29" s="10">
        <f>INDEX(Suppliers!$B:$B,MATCH(C29,Suppliers!$A:$A,0))</f>
        <v/>
      </c>
      <c r="E29" s="10" t="inlineStr">
        <is>
          <t>Supplier's own truck</t>
        </is>
      </c>
      <c r="F29" s="5" t="n">
        <v>46232</v>
      </c>
      <c r="G29" s="5" t="n">
        <v>46241</v>
      </c>
      <c r="H29" s="5" t="n">
        <v>46241</v>
      </c>
      <c r="I29" s="10" t="inlineStr">
        <is>
          <t>On time</t>
        </is>
      </c>
      <c r="J29" s="6" t="n">
        <v>0</v>
      </c>
      <c r="K29" s="10" t="n"/>
      <c r="L29" s="6" t="n">
        <v>22</v>
      </c>
      <c r="M29" s="6" t="n">
        <v>0</v>
      </c>
      <c r="N29" s="6" t="n">
        <v>15774</v>
      </c>
      <c r="O29" s="6">
        <f>IF(OR(I29="On time",I29="Late",I29="Very late"),1,0)</f>
        <v/>
      </c>
      <c r="P29" s="6">
        <f>IF(AND(O29=1,M29=0),1,0)</f>
        <v/>
      </c>
    </row>
    <row r="30">
      <c r="A30" s="10" t="inlineStr">
        <is>
          <t>GRN52139</t>
        </is>
      </c>
      <c r="B30" s="10" t="inlineStr">
        <is>
          <t>PO18378</t>
        </is>
      </c>
      <c r="C30" s="10" t="inlineStr">
        <is>
          <t>SUP2506</t>
        </is>
      </c>
      <c r="D30" s="10">
        <f>INDEX(Suppliers!$B:$B,MATCH(C30,Suppliers!$A:$A,0))</f>
        <v/>
      </c>
      <c r="E30" s="10" t="inlineStr">
        <is>
          <t>Air freight</t>
        </is>
      </c>
      <c r="F30" s="5" t="n">
        <v>46234</v>
      </c>
      <c r="G30" s="5" t="n">
        <v>46241</v>
      </c>
      <c r="H30" s="5" t="n">
        <v>46241</v>
      </c>
      <c r="I30" s="10" t="inlineStr">
        <is>
          <t>On time</t>
        </is>
      </c>
      <c r="J30" s="6" t="n">
        <v>0</v>
      </c>
      <c r="K30" s="10" t="n"/>
      <c r="L30" s="6" t="n">
        <v>29</v>
      </c>
      <c r="M30" s="6" t="n">
        <v>0</v>
      </c>
      <c r="N30" s="6" t="n">
        <v>18821</v>
      </c>
      <c r="O30" s="6">
        <f>IF(OR(I30="On time",I30="Late",I30="Very late"),1,0)</f>
        <v/>
      </c>
      <c r="P30" s="6">
        <f>IF(AND(O30=1,M30=0),1,0)</f>
        <v/>
      </c>
    </row>
    <row r="31">
      <c r="A31" s="10" t="inlineStr">
        <is>
          <t>GRN52140</t>
        </is>
      </c>
      <c r="B31" s="10" t="inlineStr">
        <is>
          <t>PO18379</t>
        </is>
      </c>
      <c r="C31" s="10" t="inlineStr">
        <is>
          <t>SUP2542</t>
        </is>
      </c>
      <c r="D31" s="10">
        <f>INDEX(Suppliers!$B:$B,MATCH(C31,Suppliers!$A:$A,0))</f>
        <v/>
      </c>
      <c r="E31" s="10" t="inlineStr">
        <is>
          <t>Supplier's own truck</t>
        </is>
      </c>
      <c r="F31" s="5" t="n">
        <v>46237</v>
      </c>
      <c r="G31" s="5" t="n">
        <v>46241</v>
      </c>
      <c r="H31" s="5" t="n">
        <v>46241</v>
      </c>
      <c r="I31" s="10" t="inlineStr">
        <is>
          <t>On time</t>
        </is>
      </c>
      <c r="J31" s="6" t="n">
        <v>0</v>
      </c>
      <c r="K31" s="10" t="n"/>
      <c r="L31" s="6" t="n">
        <v>25</v>
      </c>
      <c r="M31" s="6" t="n">
        <v>0</v>
      </c>
      <c r="N31" s="6" t="n">
        <v>17675</v>
      </c>
      <c r="O31" s="6">
        <f>IF(OR(I31="On time",I31="Late",I31="Very late"),1,0)</f>
        <v/>
      </c>
      <c r="P31" s="6">
        <f>IF(AND(O31=1,M31=0),1,0)</f>
        <v/>
      </c>
    </row>
    <row r="32">
      <c r="A32" s="10" t="inlineStr">
        <is>
          <t>GRN52141</t>
        </is>
      </c>
      <c r="B32" s="10" t="inlineStr">
        <is>
          <t>PO18380</t>
        </is>
      </c>
      <c r="C32" s="10" t="inlineStr">
        <is>
          <t>SUP2078</t>
        </is>
      </c>
      <c r="D32" s="10">
        <f>INDEX(Suppliers!$B:$B,MATCH(C32,Suppliers!$A:$A,0))</f>
        <v/>
      </c>
      <c r="E32" s="10" t="inlineStr">
        <is>
          <t>Line-haul (road)</t>
        </is>
      </c>
      <c r="F32" s="5" t="n">
        <v>46233</v>
      </c>
      <c r="G32" s="5" t="n">
        <v>46244</v>
      </c>
      <c r="H32" s="5" t="n">
        <v>46244</v>
      </c>
      <c r="I32" s="10" t="inlineStr">
        <is>
          <t>On time</t>
        </is>
      </c>
      <c r="J32" s="6" t="n">
        <v>0</v>
      </c>
      <c r="K32" s="10" t="n"/>
      <c r="L32" s="6" t="n">
        <v>3</v>
      </c>
      <c r="M32" s="6" t="n">
        <v>0</v>
      </c>
      <c r="N32" s="6" t="n">
        <v>1347</v>
      </c>
      <c r="O32" s="6">
        <f>IF(OR(I32="On time",I32="Late",I32="Very late"),1,0)</f>
        <v/>
      </c>
      <c r="P32" s="6">
        <f>IF(AND(O32=1,M32=0),1,0)</f>
        <v/>
      </c>
    </row>
    <row r="33">
      <c r="A33" s="10" t="inlineStr">
        <is>
          <t>GRN52142</t>
        </is>
      </c>
      <c r="B33" s="10" t="inlineStr">
        <is>
          <t>PO18382</t>
        </is>
      </c>
      <c r="C33" s="10" t="inlineStr">
        <is>
          <t>SUP2151</t>
        </is>
      </c>
      <c r="D33" s="10">
        <f>INDEX(Suppliers!$B:$B,MATCH(C33,Suppliers!$A:$A,0))</f>
        <v/>
      </c>
      <c r="E33" s="10" t="inlineStr">
        <is>
          <t>Line-haul (road)</t>
        </is>
      </c>
      <c r="F33" s="5" t="n">
        <v>46237</v>
      </c>
      <c r="G33" s="5" t="n">
        <v>46244</v>
      </c>
      <c r="H33" s="5" t="n">
        <v>46244</v>
      </c>
      <c r="I33" s="10" t="inlineStr">
        <is>
          <t>On time</t>
        </is>
      </c>
      <c r="J33" s="6" t="n">
        <v>0</v>
      </c>
      <c r="K33" s="10" t="n"/>
      <c r="L33" s="6" t="n">
        <v>8</v>
      </c>
      <c r="M33" s="6" t="n">
        <v>0</v>
      </c>
      <c r="N33" s="6" t="n">
        <v>5800</v>
      </c>
      <c r="O33" s="6">
        <f>IF(OR(I33="On time",I33="Late",I33="Very late"),1,0)</f>
        <v/>
      </c>
      <c r="P33" s="6">
        <f>IF(AND(O33=1,M33=0),1,0)</f>
        <v/>
      </c>
    </row>
    <row r="34">
      <c r="A34" s="10" t="inlineStr">
        <is>
          <t>GRN52143</t>
        </is>
      </c>
      <c r="B34" s="10" t="inlineStr">
        <is>
          <t>PO18383</t>
        </is>
      </c>
      <c r="C34" s="10" t="inlineStr">
        <is>
          <t>SUP2189</t>
        </is>
      </c>
      <c r="D34" s="10">
        <f>INDEX(Suppliers!$B:$B,MATCH(C34,Suppliers!$A:$A,0))</f>
        <v/>
      </c>
      <c r="E34" s="10" t="inlineStr">
        <is>
          <t>Container cartage</t>
        </is>
      </c>
      <c r="F34" s="5" t="n">
        <v>46239</v>
      </c>
      <c r="G34" s="5" t="n">
        <v>46244</v>
      </c>
      <c r="H34" s="5" t="n">
        <v>46244</v>
      </c>
      <c r="I34" s="10" t="inlineStr">
        <is>
          <t>On time</t>
        </is>
      </c>
      <c r="J34" s="6" t="n">
        <v>0</v>
      </c>
      <c r="K34" s="10" t="n"/>
      <c r="L34" s="6" t="n">
        <v>28</v>
      </c>
      <c r="M34" s="6" t="n">
        <v>0</v>
      </c>
      <c r="N34" s="6" t="n">
        <v>22708</v>
      </c>
      <c r="O34" s="6">
        <f>IF(OR(I34="On time",I34="Late",I34="Very late"),1,0)</f>
        <v/>
      </c>
      <c r="P34" s="6">
        <f>IF(AND(O34=1,M34=0),1,0)</f>
        <v/>
      </c>
    </row>
    <row r="35">
      <c r="A35" s="10" t="inlineStr">
        <is>
          <t>GRN52145</t>
        </is>
      </c>
      <c r="B35" s="10" t="inlineStr">
        <is>
          <t>PO18384</t>
        </is>
      </c>
      <c r="C35" s="10" t="inlineStr">
        <is>
          <t>SUP2208</t>
        </is>
      </c>
      <c r="D35" s="10">
        <f>INDEX(Suppliers!$B:$B,MATCH(C35,Suppliers!$A:$A,0))</f>
        <v/>
      </c>
      <c r="E35" s="10" t="inlineStr">
        <is>
          <t>Supplier's own truck</t>
        </is>
      </c>
      <c r="F35" s="5" t="n">
        <v>46233</v>
      </c>
      <c r="G35" s="5" t="n">
        <v>46244</v>
      </c>
      <c r="H35" s="5" t="n">
        <v>46244</v>
      </c>
      <c r="I35" s="10" t="inlineStr">
        <is>
          <t>On time</t>
        </is>
      </c>
      <c r="J35" s="6" t="n">
        <v>0</v>
      </c>
      <c r="K35" s="10" t="n"/>
      <c r="L35" s="6" t="n">
        <v>18</v>
      </c>
      <c r="M35" s="6" t="n">
        <v>0</v>
      </c>
      <c r="N35" s="6" t="n">
        <v>12042</v>
      </c>
      <c r="O35" s="6">
        <f>IF(OR(I35="On time",I35="Late",I35="Very late"),1,0)</f>
        <v/>
      </c>
      <c r="P35" s="6">
        <f>IF(AND(O35=1,M35=0),1,0)</f>
        <v/>
      </c>
    </row>
    <row r="36">
      <c r="A36" s="10" t="inlineStr">
        <is>
          <t>GRN52146</t>
        </is>
      </c>
      <c r="B36" s="10" t="inlineStr">
        <is>
          <t>PO18385</t>
        </is>
      </c>
      <c r="C36" s="10" t="inlineStr">
        <is>
          <t>SUP2304</t>
        </is>
      </c>
      <c r="D36" s="10">
        <f>INDEX(Suppliers!$B:$B,MATCH(C36,Suppliers!$A:$A,0))</f>
        <v/>
      </c>
      <c r="E36" s="10" t="inlineStr">
        <is>
          <t>Supplier's own truck</t>
        </is>
      </c>
      <c r="F36" s="5" t="n">
        <v>46234</v>
      </c>
      <c r="G36" s="5" t="n">
        <v>46244</v>
      </c>
      <c r="H36" s="5" t="n">
        <v>46245</v>
      </c>
      <c r="I36" s="10" t="inlineStr">
        <is>
          <t>Late</t>
        </is>
      </c>
      <c r="J36" s="6" t="n">
        <v>1</v>
      </c>
      <c r="K36" s="10" t="inlineStr">
        <is>
          <t>Booking slot missed</t>
        </is>
      </c>
      <c r="L36" s="6" t="n">
        <v>24</v>
      </c>
      <c r="M36" s="6" t="n">
        <v>0</v>
      </c>
      <c r="N36" s="6" t="n">
        <v>11472</v>
      </c>
      <c r="O36" s="6">
        <f>IF(OR(I36="On time",I36="Late",I36="Very late"),1,0)</f>
        <v/>
      </c>
      <c r="P36" s="6">
        <f>IF(AND(O36=1,M36=0),1,0)</f>
        <v/>
      </c>
    </row>
    <row r="37">
      <c r="A37" s="10" t="inlineStr">
        <is>
          <t>GRN52147</t>
        </is>
      </c>
      <c r="B37" s="10" t="inlineStr">
        <is>
          <t>PO18386</t>
        </is>
      </c>
      <c r="C37" s="10" t="inlineStr">
        <is>
          <t>SUP2422</t>
        </is>
      </c>
      <c r="D37" s="10">
        <f>INDEX(Suppliers!$B:$B,MATCH(C37,Suppliers!$A:$A,0))</f>
        <v/>
      </c>
      <c r="E37" s="10" t="inlineStr">
        <is>
          <t>Line-haul (rail)</t>
        </is>
      </c>
      <c r="F37" s="5" t="n">
        <v>46226</v>
      </c>
      <c r="G37" s="5" t="n">
        <v>46244</v>
      </c>
      <c r="H37" s="5" t="n">
        <v>46244</v>
      </c>
      <c r="I37" s="10" t="inlineStr">
        <is>
          <t>On time</t>
        </is>
      </c>
      <c r="J37" s="6" t="n">
        <v>0</v>
      </c>
      <c r="K37" s="10" t="n"/>
      <c r="L37" s="6" t="n">
        <v>5</v>
      </c>
      <c r="M37" s="6" t="n">
        <v>0</v>
      </c>
      <c r="N37" s="6" t="n">
        <v>2595</v>
      </c>
      <c r="O37" s="6">
        <f>IF(OR(I37="On time",I37="Late",I37="Very late"),1,0)</f>
        <v/>
      </c>
      <c r="P37" s="6">
        <f>IF(AND(O37=1,M37=0),1,0)</f>
        <v/>
      </c>
    </row>
    <row r="38">
      <c r="A38" s="10" t="inlineStr">
        <is>
          <t>GRN52148</t>
        </is>
      </c>
      <c r="B38" s="10" t="inlineStr">
        <is>
          <t>PO18387</t>
        </is>
      </c>
      <c r="C38" s="10" t="inlineStr">
        <is>
          <t>SUP2480</t>
        </is>
      </c>
      <c r="D38" s="10">
        <f>INDEX(Suppliers!$B:$B,MATCH(C38,Suppliers!$A:$A,0))</f>
        <v/>
      </c>
      <c r="E38" s="10" t="inlineStr">
        <is>
          <t>Supplier's own truck</t>
        </is>
      </c>
      <c r="F38" s="5" t="n">
        <v>46237</v>
      </c>
      <c r="G38" s="5" t="n">
        <v>46244</v>
      </c>
      <c r="H38" s="5" t="n">
        <v>46244</v>
      </c>
      <c r="I38" s="10" t="inlineStr">
        <is>
          <t>On time</t>
        </is>
      </c>
      <c r="J38" s="6" t="n">
        <v>0</v>
      </c>
      <c r="K38" s="10" t="n"/>
      <c r="L38" s="6" t="n">
        <v>5</v>
      </c>
      <c r="M38" s="6" t="n">
        <v>0</v>
      </c>
      <c r="N38" s="6" t="n">
        <v>3275</v>
      </c>
      <c r="O38" s="6">
        <f>IF(OR(I38="On time",I38="Late",I38="Very late"),1,0)</f>
        <v/>
      </c>
      <c r="P38" s="6">
        <f>IF(AND(O38=1,M38=0),1,0)</f>
        <v/>
      </c>
    </row>
    <row r="39">
      <c r="A39" s="10" t="inlineStr">
        <is>
          <t>GRN52149</t>
        </is>
      </c>
      <c r="B39" s="10" t="inlineStr">
        <is>
          <t>PO18388</t>
        </is>
      </c>
      <c r="C39" s="10" t="inlineStr">
        <is>
          <t>SUP2189</t>
        </is>
      </c>
      <c r="D39" s="10">
        <f>INDEX(Suppliers!$B:$B,MATCH(C39,Suppliers!$A:$A,0))</f>
        <v/>
      </c>
      <c r="E39" s="10" t="inlineStr">
        <is>
          <t>Container cartage</t>
        </is>
      </c>
      <c r="F39" s="5" t="n">
        <v>46238</v>
      </c>
      <c r="G39" s="5" t="n">
        <v>46245</v>
      </c>
      <c r="H39" s="5" t="n">
        <v>46245</v>
      </c>
      <c r="I39" s="10" t="inlineStr">
        <is>
          <t>On time</t>
        </is>
      </c>
      <c r="J39" s="6" t="n">
        <v>0</v>
      </c>
      <c r="K39" s="10" t="n"/>
      <c r="L39" s="6" t="n">
        <v>15</v>
      </c>
      <c r="M39" s="6" t="n">
        <v>0</v>
      </c>
      <c r="N39" s="6" t="n">
        <v>10710</v>
      </c>
      <c r="O39" s="6">
        <f>IF(OR(I39="On time",I39="Late",I39="Very late"),1,0)</f>
        <v/>
      </c>
      <c r="P39" s="6">
        <f>IF(AND(O39=1,M39=0),1,0)</f>
        <v/>
      </c>
    </row>
    <row r="40">
      <c r="A40" s="10" t="inlineStr">
        <is>
          <t>GRN52150</t>
        </is>
      </c>
      <c r="B40" s="10" t="inlineStr">
        <is>
          <t>PO18389</t>
        </is>
      </c>
      <c r="C40" s="10" t="inlineStr">
        <is>
          <t>SUP2208</t>
        </is>
      </c>
      <c r="D40" s="10">
        <f>INDEX(Suppliers!$B:$B,MATCH(C40,Suppliers!$A:$A,0))</f>
        <v/>
      </c>
      <c r="E40" s="10" t="inlineStr">
        <is>
          <t>Supplier's own truck</t>
        </is>
      </c>
      <c r="F40" s="5" t="n">
        <v>46234</v>
      </c>
      <c r="G40" s="5" t="n">
        <v>46245</v>
      </c>
      <c r="H40" s="5" t="n">
        <v>46245</v>
      </c>
      <c r="I40" s="10" t="inlineStr">
        <is>
          <t>On time</t>
        </is>
      </c>
      <c r="J40" s="6" t="n">
        <v>0</v>
      </c>
      <c r="K40" s="10" t="n"/>
      <c r="L40" s="6" t="n">
        <v>4</v>
      </c>
      <c r="M40" s="6" t="n">
        <v>0</v>
      </c>
      <c r="N40" s="6" t="n">
        <v>2780</v>
      </c>
      <c r="O40" s="6">
        <f>IF(OR(I40="On time",I40="Late",I40="Very late"),1,0)</f>
        <v/>
      </c>
      <c r="P40" s="6">
        <f>IF(AND(O40=1,M40=0),1,0)</f>
        <v/>
      </c>
    </row>
    <row r="41">
      <c r="A41" s="10" t="inlineStr">
        <is>
          <t>GRN52151</t>
        </is>
      </c>
      <c r="B41" s="10" t="inlineStr">
        <is>
          <t>PO18390</t>
        </is>
      </c>
      <c r="C41" s="10" t="inlineStr">
        <is>
          <t>SUP2304</t>
        </is>
      </c>
      <c r="D41" s="10">
        <f>INDEX(Suppliers!$B:$B,MATCH(C41,Suppliers!$A:$A,0))</f>
        <v/>
      </c>
      <c r="E41" s="10" t="inlineStr">
        <is>
          <t>Supplier's own truck</t>
        </is>
      </c>
      <c r="F41" s="5" t="n">
        <v>46239</v>
      </c>
      <c r="G41" s="5" t="n">
        <v>46245</v>
      </c>
      <c r="H41" s="5" t="n">
        <v>46245</v>
      </c>
      <c r="I41" s="10" t="inlineStr">
        <is>
          <t>On time</t>
        </is>
      </c>
      <c r="J41" s="6" t="n">
        <v>0</v>
      </c>
      <c r="K41" s="10" t="n"/>
      <c r="L41" s="6" t="n">
        <v>19</v>
      </c>
      <c r="M41" s="6" t="n">
        <v>3</v>
      </c>
      <c r="N41" s="6" t="n">
        <v>6593</v>
      </c>
      <c r="O41" s="6">
        <f>IF(OR(I41="On time",I41="Late",I41="Very late"),1,0)</f>
        <v/>
      </c>
      <c r="P41" s="6">
        <f>IF(AND(O41=1,M41=0),1,0)</f>
        <v/>
      </c>
    </row>
    <row r="42">
      <c r="A42" s="10" t="inlineStr">
        <is>
          <t>GRN52152</t>
        </is>
      </c>
      <c r="B42" s="10" t="inlineStr">
        <is>
          <t>PO18391</t>
        </is>
      </c>
      <c r="C42" s="10" t="inlineStr">
        <is>
          <t>SUP2422</t>
        </is>
      </c>
      <c r="D42" s="10">
        <f>INDEX(Suppliers!$B:$B,MATCH(C42,Suppliers!$A:$A,0))</f>
        <v/>
      </c>
      <c r="E42" s="10" t="inlineStr">
        <is>
          <t>Line-haul (rail)</t>
        </is>
      </c>
      <c r="F42" s="5" t="n">
        <v>46230</v>
      </c>
      <c r="G42" s="5" t="n">
        <v>46245</v>
      </c>
      <c r="H42" s="5" t="n">
        <v>46245</v>
      </c>
      <c r="I42" s="10" t="inlineStr">
        <is>
          <t>On time</t>
        </is>
      </c>
      <c r="J42" s="6" t="n">
        <v>0</v>
      </c>
      <c r="K42" s="10" t="n"/>
      <c r="L42" s="6" t="n">
        <v>8</v>
      </c>
      <c r="M42" s="6" t="n">
        <v>0</v>
      </c>
      <c r="N42" s="6" t="n">
        <v>2496</v>
      </c>
      <c r="O42" s="6">
        <f>IF(OR(I42="On time",I42="Late",I42="Very late"),1,0)</f>
        <v/>
      </c>
      <c r="P42" s="6">
        <f>IF(AND(O42=1,M42=0),1,0)</f>
        <v/>
      </c>
    </row>
    <row r="43">
      <c r="A43" s="10" t="inlineStr">
        <is>
          <t>GRN52153</t>
        </is>
      </c>
      <c r="B43" s="10" t="inlineStr">
        <is>
          <t>PO18392</t>
        </is>
      </c>
      <c r="C43" s="10" t="inlineStr">
        <is>
          <t>SUP2438</t>
        </is>
      </c>
      <c r="D43" s="10">
        <f>INDEX(Suppliers!$B:$B,MATCH(C43,Suppliers!$A:$A,0))</f>
        <v/>
      </c>
      <c r="E43" s="10" t="inlineStr">
        <is>
          <t>Line-haul (road)</t>
        </is>
      </c>
      <c r="F43" s="5" t="n">
        <v>46239</v>
      </c>
      <c r="G43" s="5" t="n">
        <v>46245</v>
      </c>
      <c r="H43" s="5" t="n">
        <v>46245</v>
      </c>
      <c r="I43" s="10" t="inlineStr">
        <is>
          <t>On time</t>
        </is>
      </c>
      <c r="J43" s="6" t="n">
        <v>0</v>
      </c>
      <c r="K43" s="10" t="n"/>
      <c r="L43" s="6" t="n">
        <v>25</v>
      </c>
      <c r="M43" s="6" t="n">
        <v>0</v>
      </c>
      <c r="N43" s="6" t="n">
        <v>11575</v>
      </c>
      <c r="O43" s="6">
        <f>IF(OR(I43="On time",I43="Late",I43="Very late"),1,0)</f>
        <v/>
      </c>
      <c r="P43" s="6">
        <f>IF(AND(O43=1,M43=0),1,0)</f>
        <v/>
      </c>
    </row>
    <row r="44">
      <c r="A44" s="10" t="inlineStr">
        <is>
          <t>GRN52154</t>
        </is>
      </c>
      <c r="B44" s="10" t="inlineStr">
        <is>
          <t>PO18393</t>
        </is>
      </c>
      <c r="C44" s="10" t="inlineStr">
        <is>
          <t>SUP2480</t>
        </is>
      </c>
      <c r="D44" s="10">
        <f>INDEX(Suppliers!$B:$B,MATCH(C44,Suppliers!$A:$A,0))</f>
        <v/>
      </c>
      <c r="E44" s="10" t="inlineStr">
        <is>
          <t>Supplier's own truck</t>
        </is>
      </c>
      <c r="F44" s="5" t="n">
        <v>46239</v>
      </c>
      <c r="G44" s="5" t="n">
        <v>46245</v>
      </c>
      <c r="H44" s="5" t="n">
        <v>46245</v>
      </c>
      <c r="I44" s="10" t="inlineStr">
        <is>
          <t>On time</t>
        </is>
      </c>
      <c r="J44" s="6" t="n">
        <v>0</v>
      </c>
      <c r="K44" s="10" t="n"/>
      <c r="L44" s="6" t="n">
        <v>18</v>
      </c>
      <c r="M44" s="6" t="n">
        <v>0</v>
      </c>
      <c r="N44" s="6" t="n">
        <v>8406</v>
      </c>
      <c r="O44" s="6">
        <f>IF(OR(I44="On time",I44="Late",I44="Very late"),1,0)</f>
        <v/>
      </c>
      <c r="P44" s="6">
        <f>IF(AND(O44=1,M44=0),1,0)</f>
        <v/>
      </c>
    </row>
    <row r="45">
      <c r="A45" s="10" t="inlineStr">
        <is>
          <t>GRN52155</t>
        </is>
      </c>
      <c r="B45" s="10" t="inlineStr">
        <is>
          <t>PO18395</t>
        </is>
      </c>
      <c r="C45" s="10" t="inlineStr">
        <is>
          <t>SUP2506</t>
        </is>
      </c>
      <c r="D45" s="10">
        <f>INDEX(Suppliers!$B:$B,MATCH(C45,Suppliers!$A:$A,0))</f>
        <v/>
      </c>
      <c r="E45" s="10" t="inlineStr">
        <is>
          <t>Air freight</t>
        </is>
      </c>
      <c r="F45" s="5" t="n">
        <v>46237</v>
      </c>
      <c r="G45" s="5" t="n">
        <v>46245</v>
      </c>
      <c r="H45" s="5" t="n">
        <v>46245</v>
      </c>
      <c r="I45" s="10" t="inlineStr">
        <is>
          <t>On time</t>
        </is>
      </c>
      <c r="J45" s="6" t="n">
        <v>0</v>
      </c>
      <c r="K45" s="10" t="n"/>
      <c r="L45" s="6" t="n">
        <v>25</v>
      </c>
      <c r="M45" s="6" t="n">
        <v>0</v>
      </c>
      <c r="N45" s="6" t="n">
        <v>9150</v>
      </c>
      <c r="O45" s="6">
        <f>IF(OR(I45="On time",I45="Late",I45="Very late"),1,0)</f>
        <v/>
      </c>
      <c r="P45" s="6">
        <f>IF(AND(O45=1,M45=0),1,0)</f>
        <v/>
      </c>
    </row>
    <row r="46">
      <c r="A46" s="10" t="inlineStr">
        <is>
          <t>GRN52156</t>
        </is>
      </c>
      <c r="B46" s="10" t="inlineStr">
        <is>
          <t>PO18396</t>
        </is>
      </c>
      <c r="C46" s="10" t="inlineStr">
        <is>
          <t>SUP2109</t>
        </is>
      </c>
      <c r="D46" s="10">
        <f>INDEX(Suppliers!$B:$B,MATCH(C46,Suppliers!$A:$A,0))</f>
        <v/>
      </c>
      <c r="E46" s="10" t="inlineStr">
        <is>
          <t>Line-haul (road)</t>
        </is>
      </c>
      <c r="F46" s="5" t="n">
        <v>46238</v>
      </c>
      <c r="G46" s="5" t="n">
        <v>46247</v>
      </c>
      <c r="H46" s="5" t="n">
        <v>46247</v>
      </c>
      <c r="I46" s="10" t="inlineStr">
        <is>
          <t>On time</t>
        </is>
      </c>
      <c r="J46" s="6" t="n">
        <v>0</v>
      </c>
      <c r="K46" s="10" t="n"/>
      <c r="L46" s="6" t="n">
        <v>29</v>
      </c>
      <c r="M46" s="6" t="n">
        <v>0</v>
      </c>
      <c r="N46" s="6" t="n">
        <v>21895</v>
      </c>
      <c r="O46" s="6">
        <f>IF(OR(I46="On time",I46="Late",I46="Very late"),1,0)</f>
        <v/>
      </c>
      <c r="P46" s="6">
        <f>IF(AND(O46=1,M46=0),1,0)</f>
        <v/>
      </c>
    </row>
    <row r="47">
      <c r="A47" s="10" t="inlineStr">
        <is>
          <t>GRN52157</t>
        </is>
      </c>
      <c r="B47" s="10" t="inlineStr">
        <is>
          <t>PO18397</t>
        </is>
      </c>
      <c r="C47" s="10" t="inlineStr">
        <is>
          <t>SUP2189</t>
        </is>
      </c>
      <c r="D47" s="10">
        <f>INDEX(Suppliers!$B:$B,MATCH(C47,Suppliers!$A:$A,0))</f>
        <v/>
      </c>
      <c r="E47" s="10" t="inlineStr">
        <is>
          <t>Container cartage</t>
        </is>
      </c>
      <c r="F47" s="5" t="n">
        <v>46240</v>
      </c>
      <c r="G47" s="5" t="n">
        <v>46247</v>
      </c>
      <c r="H47" s="5" t="n">
        <v>46247</v>
      </c>
      <c r="I47" s="10" t="inlineStr">
        <is>
          <t>On time</t>
        </is>
      </c>
      <c r="J47" s="6" t="n">
        <v>0</v>
      </c>
      <c r="K47" s="10" t="n"/>
      <c r="L47" s="6" t="n">
        <v>13</v>
      </c>
      <c r="M47" s="6" t="n">
        <v>0</v>
      </c>
      <c r="N47" s="6" t="n">
        <v>10946</v>
      </c>
      <c r="O47" s="6">
        <f>IF(OR(I47="On time",I47="Late",I47="Very late"),1,0)</f>
        <v/>
      </c>
      <c r="P47" s="6">
        <f>IF(AND(O47=1,M47=0),1,0)</f>
        <v/>
      </c>
    </row>
    <row r="48">
      <c r="A48" s="10" t="inlineStr">
        <is>
          <t>GRN52158</t>
        </is>
      </c>
      <c r="B48" s="10" t="inlineStr">
        <is>
          <t>PO18399</t>
        </is>
      </c>
      <c r="C48" s="10" t="inlineStr">
        <is>
          <t>SUP2208</t>
        </is>
      </c>
      <c r="D48" s="10">
        <f>INDEX(Suppliers!$B:$B,MATCH(C48,Suppliers!$A:$A,0))</f>
        <v/>
      </c>
      <c r="E48" s="10" t="inlineStr">
        <is>
          <t>Supplier's own truck</t>
        </is>
      </c>
      <c r="F48" s="5" t="n">
        <v>46237</v>
      </c>
      <c r="G48" s="5" t="n">
        <v>46247</v>
      </c>
      <c r="H48" s="5" t="n">
        <v>46247</v>
      </c>
      <c r="I48" s="10" t="inlineStr">
        <is>
          <t>On time</t>
        </is>
      </c>
      <c r="J48" s="6" t="n">
        <v>0</v>
      </c>
      <c r="K48" s="10" t="n"/>
      <c r="L48" s="6" t="n">
        <v>25</v>
      </c>
      <c r="M48" s="6" t="n">
        <v>0</v>
      </c>
      <c r="N48" s="6" t="n">
        <v>12400</v>
      </c>
      <c r="O48" s="6">
        <f>IF(OR(I48="On time",I48="Late",I48="Very late"),1,0)</f>
        <v/>
      </c>
      <c r="P48" s="6">
        <f>IF(AND(O48=1,M48=0),1,0)</f>
        <v/>
      </c>
    </row>
    <row r="49">
      <c r="A49" s="10" t="inlineStr">
        <is>
          <t>GRN52159</t>
        </is>
      </c>
      <c r="B49" s="10" t="inlineStr">
        <is>
          <t>PO18400</t>
        </is>
      </c>
      <c r="C49" s="10" t="inlineStr">
        <is>
          <t>SUP2219</t>
        </is>
      </c>
      <c r="D49" s="10">
        <f>INDEX(Suppliers!$B:$B,MATCH(C49,Suppliers!$A:$A,0))</f>
        <v/>
      </c>
      <c r="E49" s="10" t="inlineStr">
        <is>
          <t>Supplier's own truck</t>
        </is>
      </c>
      <c r="F49" s="5" t="n">
        <v>46241</v>
      </c>
      <c r="G49" s="5" t="n">
        <v>46247</v>
      </c>
      <c r="H49" s="5" t="n">
        <v>46247</v>
      </c>
      <c r="I49" s="10" t="inlineStr">
        <is>
          <t>On time</t>
        </is>
      </c>
      <c r="J49" s="6" t="n">
        <v>0</v>
      </c>
      <c r="K49" s="10" t="n"/>
      <c r="L49" s="6" t="n">
        <v>23</v>
      </c>
      <c r="M49" s="6" t="n">
        <v>0</v>
      </c>
      <c r="N49" s="6" t="n">
        <v>4738</v>
      </c>
      <c r="O49" s="6">
        <f>IF(OR(I49="On time",I49="Late",I49="Very late"),1,0)</f>
        <v/>
      </c>
      <c r="P49" s="6">
        <f>IF(AND(O49=1,M49=0),1,0)</f>
        <v/>
      </c>
    </row>
    <row r="50">
      <c r="A50" s="10" t="inlineStr">
        <is>
          <t>GRN52160</t>
        </is>
      </c>
      <c r="B50" s="10" t="inlineStr">
        <is>
          <t>PO18401</t>
        </is>
      </c>
      <c r="C50" s="10" t="inlineStr">
        <is>
          <t>SUP2304</t>
        </is>
      </c>
      <c r="D50" s="10">
        <f>INDEX(Suppliers!$B:$B,MATCH(C50,Suppliers!$A:$A,0))</f>
        <v/>
      </c>
      <c r="E50" s="10" t="inlineStr">
        <is>
          <t>Supplier's own truck</t>
        </is>
      </c>
      <c r="F50" s="5" t="n">
        <v>46237</v>
      </c>
      <c r="G50" s="5" t="n">
        <v>46247</v>
      </c>
      <c r="H50" s="5" t="n">
        <v>46247</v>
      </c>
      <c r="I50" s="10" t="inlineStr">
        <is>
          <t>On time</t>
        </is>
      </c>
      <c r="J50" s="6" t="n">
        <v>0</v>
      </c>
      <c r="K50" s="10" t="n"/>
      <c r="L50" s="6" t="n">
        <v>11</v>
      </c>
      <c r="M50" s="6" t="n">
        <v>0</v>
      </c>
      <c r="N50" s="6" t="n">
        <v>3806</v>
      </c>
      <c r="O50" s="6">
        <f>IF(OR(I50="On time",I50="Late",I50="Very late"),1,0)</f>
        <v/>
      </c>
      <c r="P50" s="6">
        <f>IF(AND(O50=1,M50=0),1,0)</f>
        <v/>
      </c>
    </row>
    <row r="51">
      <c r="A51" s="10" t="inlineStr">
        <is>
          <t>GRN52161</t>
        </is>
      </c>
      <c r="B51" s="10" t="inlineStr">
        <is>
          <t>PO18402</t>
        </is>
      </c>
      <c r="C51" s="10" t="inlineStr">
        <is>
          <t>SUP2422</t>
        </is>
      </c>
      <c r="D51" s="10">
        <f>INDEX(Suppliers!$B:$B,MATCH(C51,Suppliers!$A:$A,0))</f>
        <v/>
      </c>
      <c r="E51" s="10" t="inlineStr">
        <is>
          <t>Line-haul (rail)</t>
        </is>
      </c>
      <c r="F51" s="5" t="n">
        <v>46231</v>
      </c>
      <c r="G51" s="5" t="n">
        <v>46247</v>
      </c>
      <c r="H51" s="5" t="n">
        <v>46248</v>
      </c>
      <c r="I51" s="10" t="inlineStr">
        <is>
          <t>Late</t>
        </is>
      </c>
      <c r="J51" s="6" t="n">
        <v>1</v>
      </c>
      <c r="K51" s="10" t="inlineStr">
        <is>
          <t>Booking slot missed</t>
        </is>
      </c>
      <c r="L51" s="6" t="n">
        <v>6</v>
      </c>
      <c r="M51" s="6" t="n">
        <v>0</v>
      </c>
      <c r="N51" s="6" t="n">
        <v>1272</v>
      </c>
      <c r="O51" s="6">
        <f>IF(OR(I51="On time",I51="Late",I51="Very late"),1,0)</f>
        <v/>
      </c>
      <c r="P51" s="6">
        <f>IF(AND(O51=1,M51=0),1,0)</f>
        <v/>
      </c>
    </row>
    <row r="52">
      <c r="A52" s="10" t="inlineStr">
        <is>
          <t>GRN52162</t>
        </is>
      </c>
      <c r="B52" s="10" t="inlineStr">
        <is>
          <t>PO18404</t>
        </is>
      </c>
      <c r="C52" s="10" t="inlineStr">
        <is>
          <t>SUP2480</t>
        </is>
      </c>
      <c r="D52" s="10">
        <f>INDEX(Suppliers!$B:$B,MATCH(C52,Suppliers!$A:$A,0))</f>
        <v/>
      </c>
      <c r="E52" s="10" t="inlineStr">
        <is>
          <t>Supplier's own truck</t>
        </is>
      </c>
      <c r="F52" s="5" t="n">
        <v>46237</v>
      </c>
      <c r="G52" s="5" t="n">
        <v>46247</v>
      </c>
      <c r="H52" s="5" t="n">
        <v>46247</v>
      </c>
      <c r="I52" s="10" t="inlineStr">
        <is>
          <t>On time</t>
        </is>
      </c>
      <c r="J52" s="6" t="n">
        <v>0</v>
      </c>
      <c r="K52" s="10" t="n"/>
      <c r="L52" s="6" t="n">
        <v>24</v>
      </c>
      <c r="M52" s="6" t="n">
        <v>0</v>
      </c>
      <c r="N52" s="6" t="n">
        <v>16440</v>
      </c>
      <c r="O52" s="6">
        <f>IF(OR(I52="On time",I52="Late",I52="Very late"),1,0)</f>
        <v/>
      </c>
      <c r="P52" s="6">
        <f>IF(AND(O52=1,M52=0),1,0)</f>
        <v/>
      </c>
    </row>
    <row r="53">
      <c r="A53" s="10" t="inlineStr">
        <is>
          <t>GRN52163</t>
        </is>
      </c>
      <c r="B53" s="10" t="inlineStr">
        <is>
          <t>PO18406</t>
        </is>
      </c>
      <c r="C53" s="10" t="inlineStr">
        <is>
          <t>SUP2078</t>
        </is>
      </c>
      <c r="D53" s="10">
        <f>INDEX(Suppliers!$B:$B,MATCH(C53,Suppliers!$A:$A,0))</f>
        <v/>
      </c>
      <c r="E53" s="10" t="inlineStr">
        <is>
          <t>Line-haul (road)</t>
        </is>
      </c>
      <c r="F53" s="5" t="n">
        <v>46241</v>
      </c>
      <c r="G53" s="5" t="n">
        <v>46248</v>
      </c>
      <c r="H53" s="5" t="n">
        <v>46248</v>
      </c>
      <c r="I53" s="10" t="inlineStr">
        <is>
          <t>On time</t>
        </is>
      </c>
      <c r="J53" s="6" t="n">
        <v>0</v>
      </c>
      <c r="K53" s="10" t="n"/>
      <c r="L53" s="6" t="n">
        <v>25</v>
      </c>
      <c r="M53" s="6" t="n">
        <v>0</v>
      </c>
      <c r="N53" s="6" t="n">
        <v>22200</v>
      </c>
      <c r="O53" s="6">
        <f>IF(OR(I53="On time",I53="Late",I53="Very late"),1,0)</f>
        <v/>
      </c>
      <c r="P53" s="6">
        <f>IF(AND(O53=1,M53=0),1,0)</f>
        <v/>
      </c>
    </row>
    <row r="54">
      <c r="A54" s="10" t="inlineStr">
        <is>
          <t>GRN52164</t>
        </is>
      </c>
      <c r="B54" s="10" t="inlineStr">
        <is>
          <t>PO18407</t>
        </is>
      </c>
      <c r="C54" s="10" t="inlineStr">
        <is>
          <t>SUP2219</t>
        </is>
      </c>
      <c r="D54" s="10">
        <f>INDEX(Suppliers!$B:$B,MATCH(C54,Suppliers!$A:$A,0))</f>
        <v/>
      </c>
      <c r="E54" s="10" t="inlineStr">
        <is>
          <t>Supplier's own truck</t>
        </is>
      </c>
      <c r="F54" s="5" t="n">
        <v>46240</v>
      </c>
      <c r="G54" s="5" t="n">
        <v>46248</v>
      </c>
      <c r="H54" s="5" t="n">
        <v>46248</v>
      </c>
      <c r="I54" s="10" t="inlineStr">
        <is>
          <t>On time</t>
        </is>
      </c>
      <c r="J54" s="6" t="n">
        <v>0</v>
      </c>
      <c r="K54" s="10" t="n"/>
      <c r="L54" s="6" t="n">
        <v>29</v>
      </c>
      <c r="M54" s="6" t="n">
        <v>0</v>
      </c>
      <c r="N54" s="6" t="n">
        <v>14094</v>
      </c>
      <c r="O54" s="6">
        <f>IF(OR(I54="On time",I54="Late",I54="Very late"),1,0)</f>
        <v/>
      </c>
      <c r="P54" s="6">
        <f>IF(AND(O54=1,M54=0),1,0)</f>
        <v/>
      </c>
    </row>
    <row r="55">
      <c r="A55" s="10" t="inlineStr">
        <is>
          <t>GRN52165</t>
        </is>
      </c>
      <c r="B55" s="10" t="inlineStr">
        <is>
          <t>PO18408</t>
        </is>
      </c>
      <c r="C55" s="10" t="inlineStr">
        <is>
          <t>SUP2461</t>
        </is>
      </c>
      <c r="D55" s="10">
        <f>INDEX(Suppliers!$B:$B,MATCH(C55,Suppliers!$A:$A,0))</f>
        <v/>
      </c>
      <c r="E55" s="10" t="inlineStr">
        <is>
          <t>Line-haul (road)</t>
        </is>
      </c>
      <c r="F55" s="5" t="n">
        <v>46239</v>
      </c>
      <c r="G55" s="5" t="n">
        <v>46248</v>
      </c>
      <c r="H55" s="5" t="n">
        <v>46248</v>
      </c>
      <c r="I55" s="10" t="inlineStr">
        <is>
          <t>On time</t>
        </is>
      </c>
      <c r="J55" s="6" t="n">
        <v>0</v>
      </c>
      <c r="K55" s="10" t="n"/>
      <c r="L55" s="6" t="n">
        <v>29</v>
      </c>
      <c r="M55" s="6" t="n">
        <v>0</v>
      </c>
      <c r="N55" s="6" t="n">
        <v>20503</v>
      </c>
      <c r="O55" s="6">
        <f>IF(OR(I55="On time",I55="Late",I55="Very late"),1,0)</f>
        <v/>
      </c>
      <c r="P55" s="6">
        <f>IF(AND(O55=1,M55=0),1,0)</f>
        <v/>
      </c>
    </row>
    <row r="56">
      <c r="A56" s="10" t="inlineStr">
        <is>
          <t>GRN52166</t>
        </is>
      </c>
      <c r="B56" s="10" t="inlineStr">
        <is>
          <t>PO18409</t>
        </is>
      </c>
      <c r="C56" s="10" t="inlineStr">
        <is>
          <t>SUP2506</t>
        </is>
      </c>
      <c r="D56" s="10">
        <f>INDEX(Suppliers!$B:$B,MATCH(C56,Suppliers!$A:$A,0))</f>
        <v/>
      </c>
      <c r="E56" s="10" t="inlineStr">
        <is>
          <t>Air freight</t>
        </is>
      </c>
      <c r="F56" s="5" t="n">
        <v>46239</v>
      </c>
      <c r="G56" s="5" t="n">
        <v>46248</v>
      </c>
      <c r="H56" s="5" t="n">
        <v>46248</v>
      </c>
      <c r="I56" s="10" t="inlineStr">
        <is>
          <t>On time</t>
        </is>
      </c>
      <c r="J56" s="6" t="n">
        <v>0</v>
      </c>
      <c r="K56" s="10" t="n"/>
      <c r="L56" s="6" t="n">
        <v>15</v>
      </c>
      <c r="M56" s="6" t="n">
        <v>0</v>
      </c>
      <c r="N56" s="6" t="n">
        <v>8220</v>
      </c>
      <c r="O56" s="6">
        <f>IF(OR(I56="On time",I56="Late",I56="Very late"),1,0)</f>
        <v/>
      </c>
      <c r="P56" s="6">
        <f>IF(AND(O56=1,M56=0),1,0)</f>
        <v/>
      </c>
    </row>
    <row r="57">
      <c r="A57" s="10" t="inlineStr">
        <is>
          <t>GRN52167</t>
        </is>
      </c>
      <c r="B57" s="10" t="inlineStr">
        <is>
          <t>PO18410</t>
        </is>
      </c>
      <c r="C57" s="10" t="inlineStr">
        <is>
          <t>SUP2109</t>
        </is>
      </c>
      <c r="D57" s="10">
        <f>INDEX(Suppliers!$B:$B,MATCH(C57,Suppliers!$A:$A,0))</f>
        <v/>
      </c>
      <c r="E57" s="10" t="inlineStr">
        <is>
          <t>Line-haul (road)</t>
        </is>
      </c>
      <c r="F57" s="5" t="n">
        <v>46239</v>
      </c>
      <c r="G57" s="5" t="n">
        <v>46251</v>
      </c>
      <c r="H57" s="5" t="n">
        <v>46251</v>
      </c>
      <c r="I57" s="10" t="inlineStr">
        <is>
          <t>On time</t>
        </is>
      </c>
      <c r="J57" s="6" t="n">
        <v>0</v>
      </c>
      <c r="K57" s="10" t="n"/>
      <c r="L57" s="6" t="n">
        <v>8</v>
      </c>
      <c r="M57" s="6" t="n">
        <v>0</v>
      </c>
      <c r="N57" s="6" t="n">
        <v>2208</v>
      </c>
      <c r="O57" s="6">
        <f>IF(OR(I57="On time",I57="Late",I57="Very late"),1,0)</f>
        <v/>
      </c>
      <c r="P57" s="6">
        <f>IF(AND(O57=1,M57=0),1,0)</f>
        <v/>
      </c>
    </row>
    <row r="58">
      <c r="A58" s="10" t="inlineStr">
        <is>
          <t>GRN52168</t>
        </is>
      </c>
      <c r="B58" s="10" t="inlineStr">
        <is>
          <t>PO18411</t>
        </is>
      </c>
      <c r="C58" s="10" t="inlineStr">
        <is>
          <t>SUP2219</t>
        </is>
      </c>
      <c r="D58" s="10">
        <f>INDEX(Suppliers!$B:$B,MATCH(C58,Suppliers!$A:$A,0))</f>
        <v/>
      </c>
      <c r="E58" s="10" t="inlineStr">
        <is>
          <t>Supplier's own truck</t>
        </is>
      </c>
      <c r="F58" s="5" t="n">
        <v>46239</v>
      </c>
      <c r="G58" s="5" t="n">
        <v>46251</v>
      </c>
      <c r="H58" s="5" t="n">
        <v>46251</v>
      </c>
      <c r="I58" s="10" t="inlineStr">
        <is>
          <t>On time</t>
        </is>
      </c>
      <c r="J58" s="6" t="n">
        <v>0</v>
      </c>
      <c r="K58" s="10" t="n"/>
      <c r="L58" s="6" t="n">
        <v>13</v>
      </c>
      <c r="M58" s="6" t="n">
        <v>0</v>
      </c>
      <c r="N58" s="6" t="n">
        <v>5226</v>
      </c>
      <c r="O58" s="6">
        <f>IF(OR(I58="On time",I58="Late",I58="Very late"),1,0)</f>
        <v/>
      </c>
      <c r="P58" s="6">
        <f>IF(AND(O58=1,M58=0),1,0)</f>
        <v/>
      </c>
    </row>
    <row r="59">
      <c r="A59" s="10" t="inlineStr">
        <is>
          <t>GRN52169</t>
        </is>
      </c>
      <c r="B59" s="10" t="inlineStr">
        <is>
          <t>PO18412</t>
        </is>
      </c>
      <c r="C59" s="10" t="inlineStr">
        <is>
          <t>SUP2438</t>
        </is>
      </c>
      <c r="D59" s="10">
        <f>INDEX(Suppliers!$B:$B,MATCH(C59,Suppliers!$A:$A,0))</f>
        <v/>
      </c>
      <c r="E59" s="10" t="inlineStr">
        <is>
          <t>Line-haul (road)</t>
        </is>
      </c>
      <c r="F59" s="5" t="n">
        <v>46244</v>
      </c>
      <c r="G59" s="5" t="n">
        <v>46251</v>
      </c>
      <c r="H59" s="5" t="n">
        <v>46251</v>
      </c>
      <c r="I59" s="10" t="inlineStr">
        <is>
          <t>On time</t>
        </is>
      </c>
      <c r="J59" s="6" t="n">
        <v>0</v>
      </c>
      <c r="K59" s="10" t="n"/>
      <c r="L59" s="6" t="n">
        <v>27</v>
      </c>
      <c r="M59" s="6" t="n">
        <v>0</v>
      </c>
      <c r="N59" s="6" t="n">
        <v>17604</v>
      </c>
      <c r="O59" s="6">
        <f>IF(OR(I59="On time",I59="Late",I59="Very late"),1,0)</f>
        <v/>
      </c>
      <c r="P59" s="6">
        <f>IF(AND(O59=1,M59=0),1,0)</f>
        <v/>
      </c>
    </row>
    <row r="60">
      <c r="A60" s="10" t="inlineStr">
        <is>
          <t>GRN52170</t>
        </is>
      </c>
      <c r="B60" s="10" t="inlineStr">
        <is>
          <t>PO18414</t>
        </is>
      </c>
      <c r="C60" s="10" t="inlineStr">
        <is>
          <t>SUP2480</t>
        </is>
      </c>
      <c r="D60" s="10">
        <f>INDEX(Suppliers!$B:$B,MATCH(C60,Suppliers!$A:$A,0))</f>
        <v/>
      </c>
      <c r="E60" s="10" t="inlineStr">
        <is>
          <t>Supplier's own truck</t>
        </is>
      </c>
      <c r="F60" s="5" t="n">
        <v>46245</v>
      </c>
      <c r="G60" s="5" t="n">
        <v>46251</v>
      </c>
      <c r="H60" s="5" t="n">
        <v>46251</v>
      </c>
      <c r="I60" s="10" t="inlineStr">
        <is>
          <t>On time</t>
        </is>
      </c>
      <c r="J60" s="6" t="n">
        <v>0</v>
      </c>
      <c r="K60" s="10" t="n"/>
      <c r="L60" s="6" t="n">
        <v>27</v>
      </c>
      <c r="M60" s="6" t="n">
        <v>0</v>
      </c>
      <c r="N60" s="6" t="n">
        <v>5346</v>
      </c>
      <c r="O60" s="6">
        <f>IF(OR(I60="On time",I60="Late",I60="Very late"),1,0)</f>
        <v/>
      </c>
      <c r="P60" s="6">
        <f>IF(AND(O60=1,M60=0),1,0)</f>
        <v/>
      </c>
    </row>
    <row r="61">
      <c r="A61" s="10" t="inlineStr">
        <is>
          <t>GRN52171</t>
        </is>
      </c>
      <c r="B61" s="10" t="inlineStr">
        <is>
          <t>PO18415</t>
        </is>
      </c>
      <c r="C61" s="10" t="inlineStr">
        <is>
          <t>SUP2506</t>
        </is>
      </c>
      <c r="D61" s="10">
        <f>INDEX(Suppliers!$B:$B,MATCH(C61,Suppliers!$A:$A,0))</f>
        <v/>
      </c>
      <c r="E61" s="10" t="inlineStr">
        <is>
          <t>Air freight</t>
        </is>
      </c>
      <c r="F61" s="5" t="n">
        <v>46241</v>
      </c>
      <c r="G61" s="5" t="n">
        <v>46251</v>
      </c>
      <c r="H61" s="5" t="n">
        <v>46251</v>
      </c>
      <c r="I61" s="10" t="inlineStr">
        <is>
          <t>On time</t>
        </is>
      </c>
      <c r="J61" s="6" t="n">
        <v>0</v>
      </c>
      <c r="K61" s="10" t="n"/>
      <c r="L61" s="6" t="n">
        <v>25</v>
      </c>
      <c r="M61" s="6" t="n">
        <v>0</v>
      </c>
      <c r="N61" s="6" t="n">
        <v>10950</v>
      </c>
      <c r="O61" s="6">
        <f>IF(OR(I61="On time",I61="Late",I61="Very late"),1,0)</f>
        <v/>
      </c>
      <c r="P61" s="6">
        <f>IF(AND(O61=1,M61=0),1,0)</f>
        <v/>
      </c>
    </row>
    <row r="62">
      <c r="A62" s="10" t="inlineStr">
        <is>
          <t>GRN52172</t>
        </is>
      </c>
      <c r="B62" s="10" t="inlineStr">
        <is>
          <t>PO18417</t>
        </is>
      </c>
      <c r="C62" s="10" t="inlineStr">
        <is>
          <t>SUP2542</t>
        </is>
      </c>
      <c r="D62" s="10">
        <f>INDEX(Suppliers!$B:$B,MATCH(C62,Suppliers!$A:$A,0))</f>
        <v/>
      </c>
      <c r="E62" s="10" t="inlineStr">
        <is>
          <t>Supplier's own truck</t>
        </is>
      </c>
      <c r="F62" s="5" t="n">
        <v>46240</v>
      </c>
      <c r="G62" s="5" t="n">
        <v>46251</v>
      </c>
      <c r="H62" s="5" t="n">
        <v>46251</v>
      </c>
      <c r="I62" s="10" t="inlineStr">
        <is>
          <t>On time</t>
        </is>
      </c>
      <c r="J62" s="6" t="n">
        <v>0</v>
      </c>
      <c r="K62" s="10" t="n"/>
      <c r="L62" s="6" t="n">
        <v>25</v>
      </c>
      <c r="M62" s="6" t="n">
        <v>2</v>
      </c>
      <c r="N62" s="6" t="n">
        <v>10350</v>
      </c>
      <c r="O62" s="6">
        <f>IF(OR(I62="On time",I62="Late",I62="Very late"),1,0)</f>
        <v/>
      </c>
      <c r="P62" s="6">
        <f>IF(AND(O62=1,M62=0),1,0)</f>
        <v/>
      </c>
    </row>
    <row r="63">
      <c r="A63" s="10" t="inlineStr">
        <is>
          <t>GRN52173</t>
        </is>
      </c>
      <c r="B63" s="10" t="inlineStr">
        <is>
          <t>PO18418</t>
        </is>
      </c>
      <c r="C63" s="10" t="inlineStr">
        <is>
          <t>SUP2304</t>
        </is>
      </c>
      <c r="D63" s="10">
        <f>INDEX(Suppliers!$B:$B,MATCH(C63,Suppliers!$A:$A,0))</f>
        <v/>
      </c>
      <c r="E63" s="10" t="inlineStr">
        <is>
          <t>Supplier's own truck</t>
        </is>
      </c>
      <c r="F63" s="5" t="n">
        <v>46240</v>
      </c>
      <c r="G63" s="5" t="n">
        <v>46252</v>
      </c>
      <c r="H63" s="5" t="n">
        <v>46252</v>
      </c>
      <c r="I63" s="10" t="inlineStr">
        <is>
          <t>On time</t>
        </is>
      </c>
      <c r="J63" s="6" t="n">
        <v>0</v>
      </c>
      <c r="K63" s="10" t="n"/>
      <c r="L63" s="6" t="n">
        <v>16</v>
      </c>
      <c r="M63" s="6" t="n">
        <v>0</v>
      </c>
      <c r="N63" s="6" t="n">
        <v>14176</v>
      </c>
      <c r="O63" s="6">
        <f>IF(OR(I63="On time",I63="Late",I63="Very late"),1,0)</f>
        <v/>
      </c>
      <c r="P63" s="6">
        <f>IF(AND(O63=1,M63=0),1,0)</f>
        <v/>
      </c>
    </row>
    <row r="64">
      <c r="A64" s="10" t="inlineStr">
        <is>
          <t>GRN52174</t>
        </is>
      </c>
      <c r="B64" s="10" t="inlineStr">
        <is>
          <t>PO18420</t>
        </is>
      </c>
      <c r="C64" s="10" t="inlineStr">
        <is>
          <t>SUP2336</t>
        </is>
      </c>
      <c r="D64" s="10">
        <f>INDEX(Suppliers!$B:$B,MATCH(C64,Suppliers!$A:$A,0))</f>
        <v/>
      </c>
      <c r="E64" s="10" t="inlineStr">
        <is>
          <t>Line-haul (road)</t>
        </is>
      </c>
      <c r="F64" s="5" t="n">
        <v>46237</v>
      </c>
      <c r="G64" s="5" t="n">
        <v>46252</v>
      </c>
      <c r="H64" s="5" t="n">
        <v>46252</v>
      </c>
      <c r="I64" s="10" t="inlineStr">
        <is>
          <t>On time</t>
        </is>
      </c>
      <c r="J64" s="6" t="n">
        <v>0</v>
      </c>
      <c r="K64" s="10" t="n"/>
      <c r="L64" s="6" t="n">
        <v>20</v>
      </c>
      <c r="M64" s="6" t="n">
        <v>0</v>
      </c>
      <c r="N64" s="6" t="n">
        <v>7600</v>
      </c>
      <c r="O64" s="6">
        <f>IF(OR(I64="On time",I64="Late",I64="Very late"),1,0)</f>
        <v/>
      </c>
      <c r="P64" s="6">
        <f>IF(AND(O64=1,M64=0),1,0)</f>
        <v/>
      </c>
    </row>
    <row r="65">
      <c r="A65" s="10" t="inlineStr">
        <is>
          <t>GRN52175</t>
        </is>
      </c>
      <c r="B65" s="10" t="inlineStr">
        <is>
          <t>PO18421</t>
        </is>
      </c>
      <c r="C65" s="10" t="inlineStr">
        <is>
          <t>SUP2461</t>
        </is>
      </c>
      <c r="D65" s="10">
        <f>INDEX(Suppliers!$B:$B,MATCH(C65,Suppliers!$A:$A,0))</f>
        <v/>
      </c>
      <c r="E65" s="10" t="inlineStr">
        <is>
          <t>Line-haul (road)</t>
        </is>
      </c>
      <c r="F65" s="5" t="n">
        <v>46238</v>
      </c>
      <c r="G65" s="5" t="n">
        <v>46252</v>
      </c>
      <c r="H65" s="5" t="n">
        <v>46252</v>
      </c>
      <c r="I65" s="10" t="inlineStr">
        <is>
          <t>On time</t>
        </is>
      </c>
      <c r="J65" s="6" t="n">
        <v>0</v>
      </c>
      <c r="K65" s="10" t="n"/>
      <c r="L65" s="6" t="n">
        <v>9</v>
      </c>
      <c r="M65" s="6" t="n">
        <v>0</v>
      </c>
      <c r="N65" s="6" t="n">
        <v>1692</v>
      </c>
      <c r="O65" s="6">
        <f>IF(OR(I65="On time",I65="Late",I65="Very late"),1,0)</f>
        <v/>
      </c>
      <c r="P65" s="6">
        <f>IF(AND(O65=1,M65=0),1,0)</f>
        <v/>
      </c>
    </row>
    <row r="66">
      <c r="A66" s="10" t="inlineStr">
        <is>
          <t>GRN52176</t>
        </is>
      </c>
      <c r="B66" s="10" t="inlineStr">
        <is>
          <t>PO18422</t>
        </is>
      </c>
      <c r="C66" s="10" t="inlineStr">
        <is>
          <t>SUP2109</t>
        </is>
      </c>
      <c r="D66" s="10">
        <f>INDEX(Suppliers!$B:$B,MATCH(C66,Suppliers!$A:$A,0))</f>
        <v/>
      </c>
      <c r="E66" s="10" t="inlineStr">
        <is>
          <t>Line-haul (road)</t>
        </is>
      </c>
      <c r="F66" s="5" t="n">
        <v>46244</v>
      </c>
      <c r="G66" s="5" t="n">
        <v>46253</v>
      </c>
      <c r="H66" s="5" t="n">
        <v>46253</v>
      </c>
      <c r="I66" s="10" t="inlineStr">
        <is>
          <t>On time</t>
        </is>
      </c>
      <c r="J66" s="6" t="n">
        <v>0</v>
      </c>
      <c r="K66" s="10" t="n"/>
      <c r="L66" s="6" t="n">
        <v>3</v>
      </c>
      <c r="M66" s="6" t="n">
        <v>0</v>
      </c>
      <c r="N66" s="6" t="n">
        <v>1404</v>
      </c>
      <c r="O66" s="6">
        <f>IF(OR(I66="On time",I66="Late",I66="Very late"),1,0)</f>
        <v/>
      </c>
      <c r="P66" s="6">
        <f>IF(AND(O66=1,M66=0),1,0)</f>
        <v/>
      </c>
    </row>
    <row r="67">
      <c r="A67" s="10" t="inlineStr">
        <is>
          <t>GRN52177</t>
        </is>
      </c>
      <c r="B67" s="10" t="inlineStr">
        <is>
          <t>PO18423</t>
        </is>
      </c>
      <c r="C67" s="10" t="inlineStr">
        <is>
          <t>SUP2208</t>
        </is>
      </c>
      <c r="D67" s="10">
        <f>INDEX(Suppliers!$B:$B,MATCH(C67,Suppliers!$A:$A,0))</f>
        <v/>
      </c>
      <c r="E67" s="10" t="inlineStr">
        <is>
          <t>Supplier's own truck</t>
        </is>
      </c>
      <c r="F67" s="5" t="n">
        <v>46247</v>
      </c>
      <c r="G67" s="5" t="n">
        <v>46253</v>
      </c>
      <c r="H67" s="5" t="n">
        <v>46253</v>
      </c>
      <c r="I67" s="10" t="inlineStr">
        <is>
          <t>On time</t>
        </is>
      </c>
      <c r="J67" s="6" t="n">
        <v>0</v>
      </c>
      <c r="K67" s="10" t="n"/>
      <c r="L67" s="6" t="n">
        <v>6</v>
      </c>
      <c r="M67" s="6" t="n">
        <v>0</v>
      </c>
      <c r="N67" s="6" t="n">
        <v>3612</v>
      </c>
      <c r="O67" s="6">
        <f>IF(OR(I67="On time",I67="Late",I67="Very late"),1,0)</f>
        <v/>
      </c>
      <c r="P67" s="6">
        <f>IF(AND(O67=1,M67=0),1,0)</f>
        <v/>
      </c>
    </row>
    <row r="68">
      <c r="A68" s="10" t="inlineStr">
        <is>
          <t>GRN52178</t>
        </is>
      </c>
      <c r="B68" s="10" t="inlineStr">
        <is>
          <t>PO18425</t>
        </is>
      </c>
      <c r="C68" s="10" t="inlineStr">
        <is>
          <t>SUP2219</t>
        </is>
      </c>
      <c r="D68" s="10">
        <f>INDEX(Suppliers!$B:$B,MATCH(C68,Suppliers!$A:$A,0))</f>
        <v/>
      </c>
      <c r="E68" s="10" t="inlineStr">
        <is>
          <t>Supplier's own truck</t>
        </is>
      </c>
      <c r="F68" s="5" t="n">
        <v>46247</v>
      </c>
      <c r="G68" s="5" t="n">
        <v>46253</v>
      </c>
      <c r="H68" s="5" t="n">
        <v>46253</v>
      </c>
      <c r="I68" s="10" t="inlineStr">
        <is>
          <t>On time</t>
        </is>
      </c>
      <c r="J68" s="6" t="n">
        <v>0</v>
      </c>
      <c r="K68" s="10" t="n"/>
      <c r="L68" s="6" t="n">
        <v>23</v>
      </c>
      <c r="M68" s="6" t="n">
        <v>0</v>
      </c>
      <c r="N68" s="6" t="n">
        <v>4830</v>
      </c>
      <c r="O68" s="6">
        <f>IF(OR(I68="On time",I68="Late",I68="Very late"),1,0)</f>
        <v/>
      </c>
      <c r="P68" s="6">
        <f>IF(AND(O68=1,M68=0),1,0)</f>
        <v/>
      </c>
    </row>
    <row r="69">
      <c r="A69" s="10" t="inlineStr">
        <is>
          <t>GRN52179</t>
        </is>
      </c>
      <c r="B69" s="10" t="inlineStr">
        <is>
          <t>PO18427</t>
        </is>
      </c>
      <c r="C69" s="10" t="inlineStr">
        <is>
          <t>SUP2461</t>
        </is>
      </c>
      <c r="D69" s="10">
        <f>INDEX(Suppliers!$B:$B,MATCH(C69,Suppliers!$A:$A,0))</f>
        <v/>
      </c>
      <c r="E69" s="10" t="inlineStr">
        <is>
          <t>Line-haul (road)</t>
        </is>
      </c>
      <c r="F69" s="5" t="n">
        <v>46245</v>
      </c>
      <c r="G69" s="5" t="n">
        <v>46253</v>
      </c>
      <c r="H69" s="5" t="n">
        <v>46253</v>
      </c>
      <c r="I69" s="10" t="inlineStr">
        <is>
          <t>On time</t>
        </is>
      </c>
      <c r="J69" s="6" t="n">
        <v>0</v>
      </c>
      <c r="K69" s="10" t="n"/>
      <c r="L69" s="6" t="n">
        <v>11</v>
      </c>
      <c r="M69" s="6" t="n">
        <v>0</v>
      </c>
      <c r="N69" s="6" t="n">
        <v>7744</v>
      </c>
      <c r="O69" s="6">
        <f>IF(OR(I69="On time",I69="Late",I69="Very late"),1,0)</f>
        <v/>
      </c>
      <c r="P69" s="6">
        <f>IF(AND(O69=1,M69=0),1,0)</f>
        <v/>
      </c>
    </row>
    <row r="70">
      <c r="A70" s="10" t="inlineStr">
        <is>
          <t>GRN52180</t>
        </is>
      </c>
      <c r="B70" s="10" t="inlineStr">
        <is>
          <t>PO18429</t>
        </is>
      </c>
      <c r="C70" s="10" t="inlineStr">
        <is>
          <t>SUP2506</t>
        </is>
      </c>
      <c r="D70" s="10">
        <f>INDEX(Suppliers!$B:$B,MATCH(C70,Suppliers!$A:$A,0))</f>
        <v/>
      </c>
      <c r="E70" s="10" t="inlineStr">
        <is>
          <t>Air freight</t>
        </is>
      </c>
      <c r="F70" s="5" t="n">
        <v>46248</v>
      </c>
      <c r="G70" s="5" t="n">
        <v>46253</v>
      </c>
      <c r="H70" s="5" t="n">
        <v>46253</v>
      </c>
      <c r="I70" s="10" t="inlineStr">
        <is>
          <t>On time</t>
        </is>
      </c>
      <c r="J70" s="6" t="n">
        <v>0</v>
      </c>
      <c r="K70" s="10" t="n"/>
      <c r="L70" s="6" t="n">
        <v>7</v>
      </c>
      <c r="M70" s="6" t="n">
        <v>0</v>
      </c>
      <c r="N70" s="6" t="n">
        <v>1848</v>
      </c>
      <c r="O70" s="6">
        <f>IF(OR(I70="On time",I70="Late",I70="Very late"),1,0)</f>
        <v/>
      </c>
      <c r="P70" s="6">
        <f>IF(AND(O70=1,M70=0),1,0)</f>
        <v/>
      </c>
    </row>
    <row r="71">
      <c r="A71" s="10" t="inlineStr">
        <is>
          <t>GRN52181</t>
        </is>
      </c>
      <c r="B71" s="10" t="inlineStr">
        <is>
          <t>PO18431</t>
        </is>
      </c>
      <c r="C71" s="10" t="inlineStr">
        <is>
          <t>SUP2542</t>
        </is>
      </c>
      <c r="D71" s="10">
        <f>INDEX(Suppliers!$B:$B,MATCH(C71,Suppliers!$A:$A,0))</f>
        <v/>
      </c>
      <c r="E71" s="10" t="inlineStr">
        <is>
          <t>Supplier's own truck</t>
        </is>
      </c>
      <c r="F71" s="5" t="n">
        <v>46244</v>
      </c>
      <c r="G71" s="5" t="n">
        <v>46253</v>
      </c>
      <c r="H71" s="5" t="n">
        <v>46253</v>
      </c>
      <c r="I71" s="10" t="inlineStr">
        <is>
          <t>On time</t>
        </is>
      </c>
      <c r="J71" s="6" t="n">
        <v>0</v>
      </c>
      <c r="K71" s="10" t="n"/>
      <c r="L71" s="6" t="n">
        <v>16</v>
      </c>
      <c r="M71" s="6" t="n">
        <v>0</v>
      </c>
      <c r="N71" s="6" t="n">
        <v>13280</v>
      </c>
      <c r="O71" s="6">
        <f>IF(OR(I71="On time",I71="Late",I71="Very late"),1,0)</f>
        <v/>
      </c>
      <c r="P71" s="6">
        <f>IF(AND(O71=1,M71=0),1,0)</f>
        <v/>
      </c>
    </row>
    <row r="72">
      <c r="A72" s="10" t="inlineStr">
        <is>
          <t>GRN52182</t>
        </is>
      </c>
      <c r="B72" s="10" t="inlineStr">
        <is>
          <t>PO18432</t>
        </is>
      </c>
      <c r="C72" s="10" t="inlineStr">
        <is>
          <t>SUP2078</t>
        </is>
      </c>
      <c r="D72" s="10">
        <f>INDEX(Suppliers!$B:$B,MATCH(C72,Suppliers!$A:$A,0))</f>
        <v/>
      </c>
      <c r="E72" s="10" t="inlineStr">
        <is>
          <t>Line-haul (road)</t>
        </is>
      </c>
      <c r="F72" s="5" t="n">
        <v>46244</v>
      </c>
      <c r="G72" s="5" t="n">
        <v>46254</v>
      </c>
      <c r="H72" s="5" t="n">
        <v>46254</v>
      </c>
      <c r="I72" s="10" t="inlineStr">
        <is>
          <t>On time</t>
        </is>
      </c>
      <c r="J72" s="6" t="n">
        <v>0</v>
      </c>
      <c r="K72" s="10" t="n"/>
      <c r="L72" s="6" t="n">
        <v>18</v>
      </c>
      <c r="M72" s="6" t="n">
        <v>0</v>
      </c>
      <c r="N72" s="6" t="n">
        <v>10368</v>
      </c>
      <c r="O72" s="6">
        <f>IF(OR(I72="On time",I72="Late",I72="Very late"),1,0)</f>
        <v/>
      </c>
      <c r="P72" s="6">
        <f>IF(AND(O72=1,M72=0),1,0)</f>
        <v/>
      </c>
    </row>
    <row r="73">
      <c r="A73" s="10" t="inlineStr">
        <is>
          <t>GRN52183</t>
        </is>
      </c>
      <c r="B73" s="10" t="inlineStr">
        <is>
          <t>PO18433</t>
        </is>
      </c>
      <c r="C73" s="10" t="inlineStr">
        <is>
          <t>SUP2109</t>
        </is>
      </c>
      <c r="D73" s="10">
        <f>INDEX(Suppliers!$B:$B,MATCH(C73,Suppliers!$A:$A,0))</f>
        <v/>
      </c>
      <c r="E73" s="10" t="inlineStr">
        <is>
          <t>Line-haul (road)</t>
        </is>
      </c>
      <c r="F73" s="5" t="n">
        <v>46240</v>
      </c>
      <c r="G73" s="5" t="n">
        <v>46254</v>
      </c>
      <c r="H73" s="5" t="n">
        <v>46254</v>
      </c>
      <c r="I73" s="10" t="inlineStr">
        <is>
          <t>On time</t>
        </is>
      </c>
      <c r="J73" s="6" t="n">
        <v>0</v>
      </c>
      <c r="K73" s="10" t="n"/>
      <c r="L73" s="6" t="n">
        <v>21</v>
      </c>
      <c r="M73" s="6" t="n">
        <v>0</v>
      </c>
      <c r="N73" s="6" t="n">
        <v>12117</v>
      </c>
      <c r="O73" s="6">
        <f>IF(OR(I73="On time",I73="Late",I73="Very late"),1,0)</f>
        <v/>
      </c>
      <c r="P73" s="6">
        <f>IF(AND(O73=1,M73=0),1,0)</f>
        <v/>
      </c>
    </row>
    <row r="74">
      <c r="A74" s="10" t="inlineStr">
        <is>
          <t>GRN52184</t>
        </is>
      </c>
      <c r="B74" s="10" t="inlineStr">
        <is>
          <t>PO18435</t>
        </is>
      </c>
      <c r="C74" s="10" t="inlineStr">
        <is>
          <t>SUP2189</t>
        </is>
      </c>
      <c r="D74" s="10">
        <f>INDEX(Suppliers!$B:$B,MATCH(C74,Suppliers!$A:$A,0))</f>
        <v/>
      </c>
      <c r="E74" s="10" t="inlineStr">
        <is>
          <t>Container cartage</t>
        </is>
      </c>
      <c r="F74" s="5" t="n">
        <v>46248</v>
      </c>
      <c r="G74" s="5" t="n">
        <v>46254</v>
      </c>
      <c r="H74" s="5" t="n">
        <v>46254</v>
      </c>
      <c r="I74" s="10" t="inlineStr">
        <is>
          <t>On time</t>
        </is>
      </c>
      <c r="J74" s="6" t="n">
        <v>0</v>
      </c>
      <c r="K74" s="10" t="n"/>
      <c r="L74" s="6" t="n">
        <v>25</v>
      </c>
      <c r="M74" s="6" t="n">
        <v>0</v>
      </c>
      <c r="N74" s="6" t="n">
        <v>14200</v>
      </c>
      <c r="O74" s="6">
        <f>IF(OR(I74="On time",I74="Late",I74="Very late"),1,0)</f>
        <v/>
      </c>
      <c r="P74" s="6">
        <f>IF(AND(O74=1,M74=0),1,0)</f>
        <v/>
      </c>
    </row>
    <row r="75">
      <c r="A75" s="10" t="inlineStr">
        <is>
          <t>GRN52185</t>
        </is>
      </c>
      <c r="B75" s="10" t="inlineStr">
        <is>
          <t>PO18436</t>
        </is>
      </c>
      <c r="C75" s="10" t="inlineStr">
        <is>
          <t>SUP2208</t>
        </is>
      </c>
      <c r="D75" s="10">
        <f>INDEX(Suppliers!$B:$B,MATCH(C75,Suppliers!$A:$A,0))</f>
        <v/>
      </c>
      <c r="E75" s="10" t="inlineStr">
        <is>
          <t>Supplier's own truck</t>
        </is>
      </c>
      <c r="F75" s="5" t="n">
        <v>46248</v>
      </c>
      <c r="G75" s="5" t="n">
        <v>46254</v>
      </c>
      <c r="H75" s="5" t="n">
        <v>46254</v>
      </c>
      <c r="I75" s="10" t="inlineStr">
        <is>
          <t>On time</t>
        </is>
      </c>
      <c r="J75" s="6" t="n">
        <v>0</v>
      </c>
      <c r="K75" s="10" t="n"/>
      <c r="L75" s="6" t="n">
        <v>15</v>
      </c>
      <c r="M75" s="6" t="n">
        <v>0</v>
      </c>
      <c r="N75" s="6" t="n">
        <v>4050</v>
      </c>
      <c r="O75" s="6">
        <f>IF(OR(I75="On time",I75="Late",I75="Very late"),1,0)</f>
        <v/>
      </c>
      <c r="P75" s="6">
        <f>IF(AND(O75=1,M75=0),1,0)</f>
        <v/>
      </c>
    </row>
    <row r="76">
      <c r="A76" s="10" t="inlineStr">
        <is>
          <t>GRN52186</t>
        </is>
      </c>
      <c r="B76" s="10" t="inlineStr">
        <is>
          <t>PO18437</t>
        </is>
      </c>
      <c r="C76" s="10" t="inlineStr">
        <is>
          <t>SUP2219</t>
        </is>
      </c>
      <c r="D76" s="10">
        <f>INDEX(Suppliers!$B:$B,MATCH(C76,Suppliers!$A:$A,0))</f>
        <v/>
      </c>
      <c r="E76" s="10" t="inlineStr">
        <is>
          <t>Supplier's own truck</t>
        </is>
      </c>
      <c r="F76" s="5" t="n">
        <v>46247</v>
      </c>
      <c r="G76" s="5" t="n">
        <v>46254</v>
      </c>
      <c r="H76" s="5" t="n">
        <v>46254</v>
      </c>
      <c r="I76" s="10" t="inlineStr">
        <is>
          <t>On time</t>
        </is>
      </c>
      <c r="J76" s="6" t="n">
        <v>0</v>
      </c>
      <c r="K76" s="10" t="n"/>
      <c r="L76" s="6" t="n">
        <v>28</v>
      </c>
      <c r="M76" s="6" t="n">
        <v>0</v>
      </c>
      <c r="N76" s="6" t="n">
        <v>13216</v>
      </c>
      <c r="O76" s="6">
        <f>IF(OR(I76="On time",I76="Late",I76="Very late"),1,0)</f>
        <v/>
      </c>
      <c r="P76" s="6">
        <f>IF(AND(O76=1,M76=0),1,0)</f>
        <v/>
      </c>
    </row>
    <row r="77">
      <c r="A77" s="10" t="inlineStr">
        <is>
          <t>GRN52187</t>
        </is>
      </c>
      <c r="B77" s="10" t="inlineStr">
        <is>
          <t>PO18438</t>
        </is>
      </c>
      <c r="C77" s="10" t="inlineStr">
        <is>
          <t>SUP2304</t>
        </is>
      </c>
      <c r="D77" s="10">
        <f>INDEX(Suppliers!$B:$B,MATCH(C77,Suppliers!$A:$A,0))</f>
        <v/>
      </c>
      <c r="E77" s="10" t="inlineStr">
        <is>
          <t>Supplier's own truck</t>
        </is>
      </c>
      <c r="F77" s="5" t="n">
        <v>46244</v>
      </c>
      <c r="G77" s="5" t="n">
        <v>46254</v>
      </c>
      <c r="H77" s="5" t="n">
        <v>46254</v>
      </c>
      <c r="I77" s="10" t="inlineStr">
        <is>
          <t>On time</t>
        </is>
      </c>
      <c r="J77" s="6" t="n">
        <v>0</v>
      </c>
      <c r="K77" s="10" t="n"/>
      <c r="L77" s="6" t="n">
        <v>5</v>
      </c>
      <c r="M77" s="6" t="n">
        <v>0</v>
      </c>
      <c r="N77" s="6" t="n">
        <v>1565</v>
      </c>
      <c r="O77" s="6">
        <f>IF(OR(I77="On time",I77="Late",I77="Very late"),1,0)</f>
        <v/>
      </c>
      <c r="P77" s="6">
        <f>IF(AND(O77=1,M77=0),1,0)</f>
        <v/>
      </c>
    </row>
    <row r="78">
      <c r="A78" s="10" t="inlineStr">
        <is>
          <t>GRN52188</t>
        </is>
      </c>
      <c r="B78" s="10" t="inlineStr">
        <is>
          <t>PO18439</t>
        </is>
      </c>
      <c r="C78" s="10" t="inlineStr">
        <is>
          <t>SUP2336</t>
        </is>
      </c>
      <c r="D78" s="10">
        <f>INDEX(Suppliers!$B:$B,MATCH(C78,Suppliers!$A:$A,0))</f>
        <v/>
      </c>
      <c r="E78" s="10" t="inlineStr">
        <is>
          <t>Line-haul (road)</t>
        </is>
      </c>
      <c r="F78" s="5" t="n">
        <v>46240</v>
      </c>
      <c r="G78" s="5" t="n">
        <v>46254</v>
      </c>
      <c r="H78" s="5" t="n">
        <v>46254</v>
      </c>
      <c r="I78" s="10" t="inlineStr">
        <is>
          <t>On time</t>
        </is>
      </c>
      <c r="J78" s="6" t="n">
        <v>0</v>
      </c>
      <c r="K78" s="10" t="n"/>
      <c r="L78" s="6" t="n">
        <v>7</v>
      </c>
      <c r="M78" s="6" t="n">
        <v>0</v>
      </c>
      <c r="N78" s="6" t="n">
        <v>4424</v>
      </c>
      <c r="O78" s="6">
        <f>IF(OR(I78="On time",I78="Late",I78="Very late"),1,0)</f>
        <v/>
      </c>
      <c r="P78" s="6">
        <f>IF(AND(O78=1,M78=0),1,0)</f>
        <v/>
      </c>
    </row>
    <row r="79">
      <c r="A79" s="10" t="inlineStr">
        <is>
          <t>GRN52189</t>
        </is>
      </c>
      <c r="B79" s="10" t="inlineStr">
        <is>
          <t>PO18441</t>
        </is>
      </c>
      <c r="C79" s="10" t="inlineStr">
        <is>
          <t>SUP2438</t>
        </is>
      </c>
      <c r="D79" s="10">
        <f>INDEX(Suppliers!$B:$B,MATCH(C79,Suppliers!$A:$A,0))</f>
        <v/>
      </c>
      <c r="E79" s="10" t="inlineStr">
        <is>
          <t>Line-haul (road)</t>
        </is>
      </c>
      <c r="F79" s="5" t="n">
        <v>46244</v>
      </c>
      <c r="G79" s="5" t="n">
        <v>46254</v>
      </c>
      <c r="H79" s="5" t="n">
        <v>46254</v>
      </c>
      <c r="I79" s="10" t="inlineStr">
        <is>
          <t>On time</t>
        </is>
      </c>
      <c r="J79" s="6" t="n">
        <v>0</v>
      </c>
      <c r="K79" s="10" t="n"/>
      <c r="L79" s="6" t="n">
        <v>28</v>
      </c>
      <c r="M79" s="6" t="n">
        <v>0</v>
      </c>
      <c r="N79" s="6" t="n">
        <v>24892</v>
      </c>
      <c r="O79" s="6">
        <f>IF(OR(I79="On time",I79="Late",I79="Very late"),1,0)</f>
        <v/>
      </c>
      <c r="P79" s="6">
        <f>IF(AND(O79=1,M79=0),1,0)</f>
        <v/>
      </c>
    </row>
    <row r="80">
      <c r="A80" s="10" t="inlineStr">
        <is>
          <t>GRN52190</t>
        </is>
      </c>
      <c r="B80" s="10" t="inlineStr">
        <is>
          <t>PO18443</t>
        </is>
      </c>
      <c r="C80" s="10" t="inlineStr">
        <is>
          <t>SUP2461</t>
        </is>
      </c>
      <c r="D80" s="10">
        <f>INDEX(Suppliers!$B:$B,MATCH(C80,Suppliers!$A:$A,0))</f>
        <v/>
      </c>
      <c r="E80" s="10" t="inlineStr">
        <is>
          <t>Line-haul (road)</t>
        </is>
      </c>
      <c r="F80" s="5" t="n">
        <v>46244</v>
      </c>
      <c r="G80" s="5" t="n">
        <v>46254</v>
      </c>
      <c r="H80" s="5" t="n">
        <v>46254</v>
      </c>
      <c r="I80" s="10" t="inlineStr">
        <is>
          <t>On time</t>
        </is>
      </c>
      <c r="J80" s="6" t="n">
        <v>0</v>
      </c>
      <c r="K80" s="10" t="n"/>
      <c r="L80" s="6" t="n">
        <v>25</v>
      </c>
      <c r="M80" s="6" t="n">
        <v>0</v>
      </c>
      <c r="N80" s="6" t="n">
        <v>5575</v>
      </c>
      <c r="O80" s="6">
        <f>IF(OR(I80="On time",I80="Late",I80="Very late"),1,0)</f>
        <v/>
      </c>
      <c r="P80" s="6">
        <f>IF(AND(O80=1,M80=0),1,0)</f>
        <v/>
      </c>
    </row>
    <row r="81">
      <c r="A81" s="10" t="inlineStr">
        <is>
          <t>GRN52191</t>
        </is>
      </c>
      <c r="B81" s="10" t="inlineStr">
        <is>
          <t>PO18444</t>
        </is>
      </c>
      <c r="C81" s="10" t="inlineStr">
        <is>
          <t>SUP2542</t>
        </is>
      </c>
      <c r="D81" s="10">
        <f>INDEX(Suppliers!$B:$B,MATCH(C81,Suppliers!$A:$A,0))</f>
        <v/>
      </c>
      <c r="E81" s="10" t="inlineStr">
        <is>
          <t>Supplier's own truck</t>
        </is>
      </c>
      <c r="F81" s="5" t="n">
        <v>46248</v>
      </c>
      <c r="G81" s="5" t="n">
        <v>46254</v>
      </c>
      <c r="H81" s="5" t="n">
        <v>46254</v>
      </c>
      <c r="I81" s="10" t="inlineStr">
        <is>
          <t>On time</t>
        </is>
      </c>
      <c r="J81" s="6" t="n">
        <v>0</v>
      </c>
      <c r="K81" s="10" t="n"/>
      <c r="L81" s="6" t="n">
        <v>8</v>
      </c>
      <c r="M81" s="6" t="n">
        <v>0</v>
      </c>
      <c r="N81" s="6" t="n">
        <v>3048</v>
      </c>
      <c r="O81" s="6">
        <f>IF(OR(I81="On time",I81="Late",I81="Very late"),1,0)</f>
        <v/>
      </c>
      <c r="P81" s="6">
        <f>IF(AND(O81=1,M81=0),1,0)</f>
        <v/>
      </c>
    </row>
    <row r="82">
      <c r="A82" s="10" t="inlineStr">
        <is>
          <t>GRN52192</t>
        </is>
      </c>
      <c r="B82" s="10" t="inlineStr">
        <is>
          <t>PO18446</t>
        </is>
      </c>
      <c r="C82" s="10" t="inlineStr">
        <is>
          <t>SUP2078</t>
        </is>
      </c>
      <c r="D82" s="10">
        <f>INDEX(Suppliers!$B:$B,MATCH(C82,Suppliers!$A:$A,0))</f>
        <v/>
      </c>
      <c r="E82" s="10" t="inlineStr">
        <is>
          <t>Line-haul (road)</t>
        </is>
      </c>
      <c r="F82" s="5" t="n">
        <v>46248</v>
      </c>
      <c r="G82" s="5" t="n">
        <v>46255</v>
      </c>
      <c r="H82" s="5" t="n">
        <v>46255</v>
      </c>
      <c r="I82" s="10" t="inlineStr">
        <is>
          <t>On time</t>
        </is>
      </c>
      <c r="J82" s="6" t="n">
        <v>0</v>
      </c>
      <c r="K82" s="10" t="n"/>
      <c r="L82" s="6" t="n">
        <v>9</v>
      </c>
      <c r="M82" s="6" t="n">
        <v>3</v>
      </c>
      <c r="N82" s="6" t="n">
        <v>6813</v>
      </c>
      <c r="O82" s="6">
        <f>IF(OR(I82="On time",I82="Late",I82="Very late"),1,0)</f>
        <v/>
      </c>
      <c r="P82" s="6">
        <f>IF(AND(O82=1,M82=0),1,0)</f>
        <v/>
      </c>
    </row>
    <row r="83">
      <c r="A83" s="10" t="inlineStr">
        <is>
          <t>GRN52193</t>
        </is>
      </c>
      <c r="B83" s="10" t="inlineStr">
        <is>
          <t>PO18448</t>
        </is>
      </c>
      <c r="C83" s="10" t="inlineStr">
        <is>
          <t>SUP2151</t>
        </is>
      </c>
      <c r="D83" s="10">
        <f>INDEX(Suppliers!$B:$B,MATCH(C83,Suppliers!$A:$A,0))</f>
        <v/>
      </c>
      <c r="E83" s="10" t="inlineStr">
        <is>
          <t>Line-haul (road)</t>
        </is>
      </c>
      <c r="F83" s="5" t="n">
        <v>46245</v>
      </c>
      <c r="G83" s="5" t="n">
        <v>46255</v>
      </c>
      <c r="H83" s="5" t="n">
        <v>46255</v>
      </c>
      <c r="I83" s="10" t="inlineStr">
        <is>
          <t>On time</t>
        </is>
      </c>
      <c r="J83" s="6" t="n">
        <v>0</v>
      </c>
      <c r="K83" s="10" t="n"/>
      <c r="L83" s="6" t="n">
        <v>8</v>
      </c>
      <c r="M83" s="6" t="n">
        <v>0</v>
      </c>
      <c r="N83" s="6" t="n">
        <v>4168</v>
      </c>
      <c r="O83" s="6">
        <f>IF(OR(I83="On time",I83="Late",I83="Very late"),1,0)</f>
        <v/>
      </c>
      <c r="P83" s="6">
        <f>IF(AND(O83=1,M83=0),1,0)</f>
        <v/>
      </c>
    </row>
    <row r="84">
      <c r="A84" s="10" t="inlineStr">
        <is>
          <t>GRN52194</t>
        </is>
      </c>
      <c r="B84" s="10" t="inlineStr">
        <is>
          <t>PO18449</t>
        </is>
      </c>
      <c r="C84" s="10" t="inlineStr">
        <is>
          <t>SUP2219</t>
        </is>
      </c>
      <c r="D84" s="10">
        <f>INDEX(Suppliers!$B:$B,MATCH(C84,Suppliers!$A:$A,0))</f>
        <v/>
      </c>
      <c r="E84" s="10" t="inlineStr">
        <is>
          <t>Supplier's own truck</t>
        </is>
      </c>
      <c r="F84" s="5" t="n">
        <v>46251</v>
      </c>
      <c r="G84" s="5" t="n">
        <v>46255</v>
      </c>
      <c r="H84" s="5" t="n">
        <v>46255</v>
      </c>
      <c r="I84" s="10" t="inlineStr">
        <is>
          <t>On time</t>
        </is>
      </c>
      <c r="J84" s="6" t="n">
        <v>0</v>
      </c>
      <c r="K84" s="10" t="n"/>
      <c r="L84" s="6" t="n">
        <v>3</v>
      </c>
      <c r="M84" s="6" t="n">
        <v>0</v>
      </c>
      <c r="N84" s="6" t="n">
        <v>1782</v>
      </c>
      <c r="O84" s="6">
        <f>IF(OR(I84="On time",I84="Late",I84="Very late"),1,0)</f>
        <v/>
      </c>
      <c r="P84" s="6">
        <f>IF(AND(O84=1,M84=0),1,0)</f>
        <v/>
      </c>
    </row>
    <row r="85">
      <c r="A85" s="10" t="inlineStr">
        <is>
          <t>GRN52195</t>
        </is>
      </c>
      <c r="B85" s="10" t="inlineStr">
        <is>
          <t>PO18450</t>
        </is>
      </c>
      <c r="C85" s="10" t="inlineStr">
        <is>
          <t>SUP2304</t>
        </is>
      </c>
      <c r="D85" s="10">
        <f>INDEX(Suppliers!$B:$B,MATCH(C85,Suppliers!$A:$A,0))</f>
        <v/>
      </c>
      <c r="E85" s="10" t="inlineStr">
        <is>
          <t>Supplier's own truck</t>
        </is>
      </c>
      <c r="F85" s="5" t="n">
        <v>46245</v>
      </c>
      <c r="G85" s="5" t="n">
        <v>46255</v>
      </c>
      <c r="H85" s="5" t="n">
        <v>46255</v>
      </c>
      <c r="I85" s="10" t="inlineStr">
        <is>
          <t>On time</t>
        </is>
      </c>
      <c r="J85" s="6" t="n">
        <v>0</v>
      </c>
      <c r="K85" s="10" t="n"/>
      <c r="L85" s="6" t="n">
        <v>14</v>
      </c>
      <c r="M85" s="6" t="n">
        <v>0</v>
      </c>
      <c r="N85" s="6" t="n">
        <v>10388</v>
      </c>
      <c r="O85" s="6">
        <f>IF(OR(I85="On time",I85="Late",I85="Very late"),1,0)</f>
        <v/>
      </c>
      <c r="P85" s="6">
        <f>IF(AND(O85=1,M85=0),1,0)</f>
        <v/>
      </c>
    </row>
    <row r="86">
      <c r="A86" s="10" t="inlineStr">
        <is>
          <t>GRN52196</t>
        </is>
      </c>
      <c r="B86" s="10" t="inlineStr">
        <is>
          <t>PO18451</t>
        </is>
      </c>
      <c r="C86" s="10" t="inlineStr">
        <is>
          <t>SUP2422</t>
        </is>
      </c>
      <c r="D86" s="10">
        <f>INDEX(Suppliers!$B:$B,MATCH(C86,Suppliers!$A:$A,0))</f>
        <v/>
      </c>
      <c r="E86" s="10" t="inlineStr">
        <is>
          <t>Line-haul (rail)</t>
        </is>
      </c>
      <c r="F86" s="5" t="n">
        <v>46239</v>
      </c>
      <c r="G86" s="5" t="n">
        <v>46255</v>
      </c>
      <c r="H86" s="5" t="n">
        <v>46255</v>
      </c>
      <c r="I86" s="10" t="inlineStr">
        <is>
          <t>On time</t>
        </is>
      </c>
      <c r="J86" s="6" t="n">
        <v>0</v>
      </c>
      <c r="K86" s="10" t="n"/>
      <c r="L86" s="6" t="n">
        <v>6</v>
      </c>
      <c r="M86" s="6" t="n">
        <v>0</v>
      </c>
      <c r="N86" s="6" t="n">
        <v>1758</v>
      </c>
      <c r="O86" s="6">
        <f>IF(OR(I86="On time",I86="Late",I86="Very late"),1,0)</f>
        <v/>
      </c>
      <c r="P86" s="6">
        <f>IF(AND(O86=1,M86=0),1,0)</f>
        <v/>
      </c>
    </row>
    <row r="87">
      <c r="A87" s="10" t="inlineStr">
        <is>
          <t>GRN52197</t>
        </is>
      </c>
      <c r="B87" s="10" t="inlineStr">
        <is>
          <t>PO18452</t>
        </is>
      </c>
      <c r="C87" s="10" t="inlineStr">
        <is>
          <t>SUP2480</t>
        </is>
      </c>
      <c r="D87" s="10">
        <f>INDEX(Suppliers!$B:$B,MATCH(C87,Suppliers!$A:$A,0))</f>
        <v/>
      </c>
      <c r="E87" s="10" t="inlineStr">
        <is>
          <t>Supplier's own truck</t>
        </is>
      </c>
      <c r="F87" s="5" t="n">
        <v>46247</v>
      </c>
      <c r="G87" s="5" t="n">
        <v>46255</v>
      </c>
      <c r="H87" s="5" t="n">
        <v>46258</v>
      </c>
      <c r="I87" s="10" t="inlineStr">
        <is>
          <t>Late</t>
        </is>
      </c>
      <c r="J87" s="6" t="n">
        <v>1</v>
      </c>
      <c r="K87" s="10" t="inlineStr">
        <is>
          <t>Supplier stock shortage</t>
        </is>
      </c>
      <c r="L87" s="6" t="n">
        <v>21</v>
      </c>
      <c r="M87" s="6" t="n">
        <v>0</v>
      </c>
      <c r="N87" s="6" t="n">
        <v>18690</v>
      </c>
      <c r="O87" s="6">
        <f>IF(OR(I87="On time",I87="Late",I87="Very late"),1,0)</f>
        <v/>
      </c>
      <c r="P87" s="6">
        <f>IF(AND(O87=1,M87=0),1,0)</f>
        <v/>
      </c>
    </row>
    <row r="88">
      <c r="A88" s="10" t="inlineStr">
        <is>
          <t>GRN52198</t>
        </is>
      </c>
      <c r="B88" s="10" t="inlineStr">
        <is>
          <t>PO18453</t>
        </is>
      </c>
      <c r="C88" s="10" t="inlineStr">
        <is>
          <t>SUP2506</t>
        </is>
      </c>
      <c r="D88" s="10">
        <f>INDEX(Suppliers!$B:$B,MATCH(C88,Suppliers!$A:$A,0))</f>
        <v/>
      </c>
      <c r="E88" s="10" t="inlineStr">
        <is>
          <t>Air freight</t>
        </is>
      </c>
      <c r="F88" s="5" t="n">
        <v>46247</v>
      </c>
      <c r="G88" s="5" t="n">
        <v>46255</v>
      </c>
      <c r="H88" s="5" t="n">
        <v>46255</v>
      </c>
      <c r="I88" s="10" t="inlineStr">
        <is>
          <t>On time</t>
        </is>
      </c>
      <c r="J88" s="6" t="n">
        <v>0</v>
      </c>
      <c r="K88" s="10" t="n"/>
      <c r="L88" s="6" t="n">
        <v>24</v>
      </c>
      <c r="M88" s="6" t="n">
        <v>0</v>
      </c>
      <c r="N88" s="6" t="n">
        <v>18576</v>
      </c>
      <c r="O88" s="6">
        <f>IF(OR(I88="On time",I88="Late",I88="Very late"),1,0)</f>
        <v/>
      </c>
      <c r="P88" s="6">
        <f>IF(AND(O88=1,M88=0),1,0)</f>
        <v/>
      </c>
    </row>
    <row r="89">
      <c r="A89" s="10" t="inlineStr">
        <is>
          <t>GRN52199</t>
        </is>
      </c>
      <c r="B89" s="10" t="inlineStr">
        <is>
          <t>PO18454</t>
        </is>
      </c>
      <c r="C89" s="10" t="inlineStr">
        <is>
          <t>SUP2542</t>
        </is>
      </c>
      <c r="D89" s="10">
        <f>INDEX(Suppliers!$B:$B,MATCH(C89,Suppliers!$A:$A,0))</f>
        <v/>
      </c>
      <c r="E89" s="10" t="inlineStr">
        <is>
          <t>Supplier's own truck</t>
        </is>
      </c>
      <c r="F89" s="5" t="n">
        <v>46245</v>
      </c>
      <c r="G89" s="5" t="n">
        <v>46255</v>
      </c>
      <c r="H89" s="5" t="n">
        <v>46255</v>
      </c>
      <c r="I89" s="10" t="inlineStr">
        <is>
          <t>On time</t>
        </is>
      </c>
      <c r="J89" s="6" t="n">
        <v>0</v>
      </c>
      <c r="K89" s="10" t="n"/>
      <c r="L89" s="6" t="n">
        <v>25</v>
      </c>
      <c r="M89" s="6" t="n">
        <v>0</v>
      </c>
      <c r="N89" s="6" t="n">
        <v>10375</v>
      </c>
      <c r="O89" s="6">
        <f>IF(OR(I89="On time",I89="Late",I89="Very late"),1,0)</f>
        <v/>
      </c>
      <c r="P89" s="6">
        <f>IF(AND(O89=1,M89=0),1,0)</f>
        <v/>
      </c>
    </row>
    <row r="90">
      <c r="A90" s="10" t="inlineStr">
        <is>
          <t>GRN52200</t>
        </is>
      </c>
      <c r="B90" s="10" t="inlineStr">
        <is>
          <t>PO18455</t>
        </is>
      </c>
      <c r="C90" s="10" t="inlineStr">
        <is>
          <t>SUP2078</t>
        </is>
      </c>
      <c r="D90" s="10">
        <f>INDEX(Suppliers!$B:$B,MATCH(C90,Suppliers!$A:$A,0))</f>
        <v/>
      </c>
      <c r="E90" s="10" t="inlineStr">
        <is>
          <t>Line-haul (road)</t>
        </is>
      </c>
      <c r="F90" s="5" t="n">
        <v>46245</v>
      </c>
      <c r="G90" s="5" t="n">
        <v>46258</v>
      </c>
      <c r="H90" s="5" t="n">
        <v>46258</v>
      </c>
      <c r="I90" s="10" t="inlineStr">
        <is>
          <t>On time</t>
        </is>
      </c>
      <c r="J90" s="6" t="n">
        <v>0</v>
      </c>
      <c r="K90" s="10" t="n"/>
      <c r="L90" s="6" t="n">
        <v>13</v>
      </c>
      <c r="M90" s="6" t="n">
        <v>0</v>
      </c>
      <c r="N90" s="6" t="n">
        <v>9386</v>
      </c>
      <c r="O90" s="6">
        <f>IF(OR(I90="On time",I90="Late",I90="Very late"),1,0)</f>
        <v/>
      </c>
      <c r="P90" s="6">
        <f>IF(AND(O90=1,M90=0),1,0)</f>
        <v/>
      </c>
    </row>
    <row r="91">
      <c r="A91" s="10" t="inlineStr">
        <is>
          <t>GRN52201</t>
        </is>
      </c>
      <c r="B91" s="10" t="inlineStr">
        <is>
          <t>PO18456</t>
        </is>
      </c>
      <c r="C91" s="10" t="inlineStr">
        <is>
          <t>SUP2189</t>
        </is>
      </c>
      <c r="D91" s="10">
        <f>INDEX(Suppliers!$B:$B,MATCH(C91,Suppliers!$A:$A,0))</f>
        <v/>
      </c>
      <c r="E91" s="10" t="inlineStr">
        <is>
          <t>Container cartage</t>
        </is>
      </c>
      <c r="F91" s="5" t="n">
        <v>46253</v>
      </c>
      <c r="G91" s="5" t="n">
        <v>46258</v>
      </c>
      <c r="H91" s="5" t="n">
        <v>46258</v>
      </c>
      <c r="I91" s="10" t="inlineStr">
        <is>
          <t>On time</t>
        </is>
      </c>
      <c r="J91" s="6" t="n">
        <v>0</v>
      </c>
      <c r="K91" s="10" t="n"/>
      <c r="L91" s="6" t="n">
        <v>26</v>
      </c>
      <c r="M91" s="6" t="n">
        <v>0</v>
      </c>
      <c r="N91" s="6" t="n">
        <v>20124</v>
      </c>
      <c r="O91" s="6">
        <f>IF(OR(I91="On time",I91="Late",I91="Very late"),1,0)</f>
        <v/>
      </c>
      <c r="P91" s="6">
        <f>IF(AND(O91=1,M91=0),1,0)</f>
        <v/>
      </c>
    </row>
    <row r="92">
      <c r="A92" s="10" t="inlineStr">
        <is>
          <t>GRN52202</t>
        </is>
      </c>
      <c r="B92" s="10" t="inlineStr">
        <is>
          <t>PO18458</t>
        </is>
      </c>
      <c r="C92" s="10" t="inlineStr">
        <is>
          <t>SUP2208</t>
        </is>
      </c>
      <c r="D92" s="10">
        <f>INDEX(Suppliers!$B:$B,MATCH(C92,Suppliers!$A:$A,0))</f>
        <v/>
      </c>
      <c r="E92" s="10" t="inlineStr">
        <is>
          <t>Supplier's own truck</t>
        </is>
      </c>
      <c r="F92" s="5" t="n">
        <v>46253</v>
      </c>
      <c r="G92" s="5" t="n">
        <v>46258</v>
      </c>
      <c r="H92" s="5" t="n">
        <v>46258</v>
      </c>
      <c r="I92" s="10" t="inlineStr">
        <is>
          <t>On time</t>
        </is>
      </c>
      <c r="J92" s="6" t="n">
        <v>0</v>
      </c>
      <c r="K92" s="10" t="n"/>
      <c r="L92" s="6" t="n">
        <v>24</v>
      </c>
      <c r="M92" s="6" t="n">
        <v>0</v>
      </c>
      <c r="N92" s="6" t="n">
        <v>13536</v>
      </c>
      <c r="O92" s="6">
        <f>IF(OR(I92="On time",I92="Late",I92="Very late"),1,0)</f>
        <v/>
      </c>
      <c r="P92" s="6">
        <f>IF(AND(O92=1,M92=0),1,0)</f>
        <v/>
      </c>
    </row>
    <row r="93">
      <c r="A93" s="10" t="inlineStr">
        <is>
          <t>GRN52203</t>
        </is>
      </c>
      <c r="B93" s="10" t="inlineStr">
        <is>
          <t>PO18459</t>
        </is>
      </c>
      <c r="C93" s="10" t="inlineStr">
        <is>
          <t>SUP2304</t>
        </is>
      </c>
      <c r="D93" s="10">
        <f>INDEX(Suppliers!$B:$B,MATCH(C93,Suppliers!$A:$A,0))</f>
        <v/>
      </c>
      <c r="E93" s="10" t="inlineStr">
        <is>
          <t>Supplier's own truck</t>
        </is>
      </c>
      <c r="F93" s="5" t="n">
        <v>46252</v>
      </c>
      <c r="G93" s="5" t="n">
        <v>46258</v>
      </c>
      <c r="H93" s="5" t="n">
        <v>46258</v>
      </c>
      <c r="I93" s="10" t="inlineStr">
        <is>
          <t>On time</t>
        </is>
      </c>
      <c r="J93" s="6" t="n">
        <v>0</v>
      </c>
      <c r="K93" s="10" t="n"/>
      <c r="L93" s="6" t="n">
        <v>27</v>
      </c>
      <c r="M93" s="6" t="n">
        <v>0</v>
      </c>
      <c r="N93" s="6" t="n">
        <v>15579</v>
      </c>
      <c r="O93" s="6">
        <f>IF(OR(I93="On time",I93="Late",I93="Very late"),1,0)</f>
        <v/>
      </c>
      <c r="P93" s="6">
        <f>IF(AND(O93=1,M93=0),1,0)</f>
        <v/>
      </c>
    </row>
    <row r="94">
      <c r="A94" s="10" t="inlineStr">
        <is>
          <t>GRN52204</t>
        </is>
      </c>
      <c r="B94" s="10" t="inlineStr">
        <is>
          <t>PO18461</t>
        </is>
      </c>
      <c r="C94" s="10" t="inlineStr">
        <is>
          <t>SUP2461</t>
        </is>
      </c>
      <c r="D94" s="10">
        <f>INDEX(Suppliers!$B:$B,MATCH(C94,Suppliers!$A:$A,0))</f>
        <v/>
      </c>
      <c r="E94" s="10" t="inlineStr">
        <is>
          <t>Line-haul (road)</t>
        </is>
      </c>
      <c r="F94" s="5" t="n">
        <v>46244</v>
      </c>
      <c r="G94" s="5" t="n">
        <v>46258</v>
      </c>
      <c r="H94" s="5" t="n">
        <v>46258</v>
      </c>
      <c r="I94" s="10" t="inlineStr">
        <is>
          <t>On time</t>
        </is>
      </c>
      <c r="J94" s="6" t="n">
        <v>0</v>
      </c>
      <c r="K94" s="10" t="n"/>
      <c r="L94" s="6" t="n">
        <v>11</v>
      </c>
      <c r="M94" s="6" t="n">
        <v>0</v>
      </c>
      <c r="N94" s="6" t="n">
        <v>3168</v>
      </c>
      <c r="O94" s="6">
        <f>IF(OR(I94="On time",I94="Late",I94="Very late"),1,0)</f>
        <v/>
      </c>
      <c r="P94" s="6">
        <f>IF(AND(O94=1,M94=0),1,0)</f>
        <v/>
      </c>
    </row>
    <row r="95">
      <c r="A95" s="10" t="inlineStr">
        <is>
          <t>GRN52205</t>
        </is>
      </c>
      <c r="B95" s="10" t="inlineStr">
        <is>
          <t>PO18462</t>
        </is>
      </c>
      <c r="C95" s="10" t="inlineStr">
        <is>
          <t>SUP2480</t>
        </is>
      </c>
      <c r="D95" s="10">
        <f>INDEX(Suppliers!$B:$B,MATCH(C95,Suppliers!$A:$A,0))</f>
        <v/>
      </c>
      <c r="E95" s="10" t="inlineStr">
        <is>
          <t>Supplier's own truck</t>
        </is>
      </c>
      <c r="F95" s="5" t="n">
        <v>46253</v>
      </c>
      <c r="G95" s="5" t="n">
        <v>46258</v>
      </c>
      <c r="H95" s="5" t="n">
        <v>46258</v>
      </c>
      <c r="I95" s="10" t="inlineStr">
        <is>
          <t>On time</t>
        </is>
      </c>
      <c r="J95" s="6" t="n">
        <v>0</v>
      </c>
      <c r="K95" s="10" t="n"/>
      <c r="L95" s="6" t="n">
        <v>10</v>
      </c>
      <c r="M95" s="6" t="n">
        <v>0</v>
      </c>
      <c r="N95" s="6" t="n">
        <v>4720</v>
      </c>
      <c r="O95" s="6">
        <f>IF(OR(I95="On time",I95="Late",I95="Very late"),1,0)</f>
        <v/>
      </c>
      <c r="P95" s="6">
        <f>IF(AND(O95=1,M95=0),1,0)</f>
        <v/>
      </c>
    </row>
    <row r="96">
      <c r="A96" s="10" t="inlineStr">
        <is>
          <t>GRN52206</t>
        </is>
      </c>
      <c r="B96" s="10" t="inlineStr">
        <is>
          <t>PO18464</t>
        </is>
      </c>
      <c r="C96" s="10" t="inlineStr">
        <is>
          <t>SUP2506</t>
        </is>
      </c>
      <c r="D96" s="10">
        <f>INDEX(Suppliers!$B:$B,MATCH(C96,Suppliers!$A:$A,0))</f>
        <v/>
      </c>
      <c r="E96" s="10" t="inlineStr">
        <is>
          <t>Air freight</t>
        </is>
      </c>
      <c r="F96" s="5" t="n">
        <v>46247</v>
      </c>
      <c r="G96" s="5" t="n">
        <v>46258</v>
      </c>
      <c r="H96" s="5" t="n">
        <v>46258</v>
      </c>
      <c r="I96" s="10" t="inlineStr">
        <is>
          <t>On time</t>
        </is>
      </c>
      <c r="J96" s="6" t="n">
        <v>0</v>
      </c>
      <c r="K96" s="10" t="n"/>
      <c r="L96" s="6" t="n">
        <v>9</v>
      </c>
      <c r="M96" s="6" t="n">
        <v>0</v>
      </c>
      <c r="N96" s="6" t="n">
        <v>3195</v>
      </c>
      <c r="O96" s="6">
        <f>IF(OR(I96="On time",I96="Late",I96="Very late"),1,0)</f>
        <v/>
      </c>
      <c r="P96" s="6">
        <f>IF(AND(O96=1,M96=0),1,0)</f>
        <v/>
      </c>
    </row>
    <row r="97">
      <c r="A97" s="10" t="inlineStr">
        <is>
          <t>GRN52207</t>
        </is>
      </c>
      <c r="B97" s="10" t="inlineStr">
        <is>
          <t>PO18465</t>
        </is>
      </c>
      <c r="C97" s="10" t="inlineStr">
        <is>
          <t>SUP2542</t>
        </is>
      </c>
      <c r="D97" s="10">
        <f>INDEX(Suppliers!$B:$B,MATCH(C97,Suppliers!$A:$A,0))</f>
        <v/>
      </c>
      <c r="E97" s="10" t="inlineStr">
        <is>
          <t>Supplier's own truck</t>
        </is>
      </c>
      <c r="F97" s="5" t="n">
        <v>46247</v>
      </c>
      <c r="G97" s="5" t="n">
        <v>46258</v>
      </c>
      <c r="H97" s="5" t="n">
        <v>46258</v>
      </c>
      <c r="I97" s="10" t="inlineStr">
        <is>
          <t>On time</t>
        </is>
      </c>
      <c r="J97" s="6" t="n">
        <v>0</v>
      </c>
      <c r="K97" s="10" t="n"/>
      <c r="L97" s="6" t="n">
        <v>20</v>
      </c>
      <c r="M97" s="6" t="n">
        <v>0</v>
      </c>
      <c r="N97" s="6" t="n">
        <v>16020</v>
      </c>
      <c r="O97" s="6">
        <f>IF(OR(I97="On time",I97="Late",I97="Very late"),1,0)</f>
        <v/>
      </c>
      <c r="P97" s="6">
        <f>IF(AND(O97=1,M97=0),1,0)</f>
        <v/>
      </c>
    </row>
    <row r="98">
      <c r="A98" s="10" t="inlineStr">
        <is>
          <t>GRN52208</t>
        </is>
      </c>
      <c r="B98" s="10" t="inlineStr">
        <is>
          <t>PO18467</t>
        </is>
      </c>
      <c r="C98" s="10" t="inlineStr">
        <is>
          <t>SUP2189</t>
        </is>
      </c>
      <c r="D98" s="10">
        <f>INDEX(Suppliers!$B:$B,MATCH(C98,Suppliers!$A:$A,0))</f>
        <v/>
      </c>
      <c r="E98" s="10" t="inlineStr">
        <is>
          <t>Container cartage</t>
        </is>
      </c>
      <c r="F98" s="5" t="n">
        <v>46248</v>
      </c>
      <c r="G98" s="5" t="n">
        <v>46259</v>
      </c>
      <c r="H98" s="5" t="n">
        <v>46259</v>
      </c>
      <c r="I98" s="10" t="inlineStr">
        <is>
          <t>On time</t>
        </is>
      </c>
      <c r="J98" s="6" t="n">
        <v>0</v>
      </c>
      <c r="K98" s="10" t="n"/>
      <c r="L98" s="6" t="n">
        <v>23</v>
      </c>
      <c r="M98" s="6" t="n">
        <v>0</v>
      </c>
      <c r="N98" s="6" t="n">
        <v>8326</v>
      </c>
      <c r="O98" s="6">
        <f>IF(OR(I98="On time",I98="Late",I98="Very late"),1,0)</f>
        <v/>
      </c>
      <c r="P98" s="6">
        <f>IF(AND(O98=1,M98=0),1,0)</f>
        <v/>
      </c>
    </row>
    <row r="99">
      <c r="A99" s="10" t="inlineStr">
        <is>
          <t>GRN52209</t>
        </is>
      </c>
      <c r="B99" s="10" t="inlineStr">
        <is>
          <t>PO18468</t>
        </is>
      </c>
      <c r="C99" s="10" t="inlineStr">
        <is>
          <t>SUP2304</t>
        </is>
      </c>
      <c r="D99" s="10">
        <f>INDEX(Suppliers!$B:$B,MATCH(C99,Suppliers!$A:$A,0))</f>
        <v/>
      </c>
      <c r="E99" s="10" t="inlineStr">
        <is>
          <t>Supplier's own truck</t>
        </is>
      </c>
      <c r="F99" s="5" t="n">
        <v>46253</v>
      </c>
      <c r="G99" s="5" t="n">
        <v>46259</v>
      </c>
      <c r="H99" s="5" t="n">
        <v>46259</v>
      </c>
      <c r="I99" s="10" t="inlineStr">
        <is>
          <t>On time</t>
        </is>
      </c>
      <c r="J99" s="6" t="n">
        <v>0</v>
      </c>
      <c r="K99" s="10" t="n"/>
      <c r="L99" s="6" t="n">
        <v>13</v>
      </c>
      <c r="M99" s="6" t="n">
        <v>0</v>
      </c>
      <c r="N99" s="6" t="n">
        <v>4056</v>
      </c>
      <c r="O99" s="6">
        <f>IF(OR(I99="On time",I99="Late",I99="Very late"),1,0)</f>
        <v/>
      </c>
      <c r="P99" s="6">
        <f>IF(AND(O99=1,M99=0),1,0)</f>
        <v/>
      </c>
    </row>
    <row r="100">
      <c r="A100" s="10" t="inlineStr">
        <is>
          <t>GRN52210</t>
        </is>
      </c>
      <c r="B100" s="10" t="inlineStr">
        <is>
          <t>PO18470</t>
        </is>
      </c>
      <c r="C100" s="10" t="inlineStr">
        <is>
          <t>SUP2461</t>
        </is>
      </c>
      <c r="D100" s="10">
        <f>INDEX(Suppliers!$B:$B,MATCH(C100,Suppliers!$A:$A,0))</f>
        <v/>
      </c>
      <c r="E100" s="10" t="inlineStr">
        <is>
          <t>Line-haul (road)</t>
        </is>
      </c>
      <c r="F100" s="5" t="n">
        <v>46247</v>
      </c>
      <c r="G100" s="5" t="n">
        <v>46259</v>
      </c>
      <c r="H100" s="5" t="n">
        <v>46259</v>
      </c>
      <c r="I100" s="10" t="inlineStr">
        <is>
          <t>On time</t>
        </is>
      </c>
      <c r="J100" s="6" t="n">
        <v>0</v>
      </c>
      <c r="K100" s="10" t="n"/>
      <c r="L100" s="6" t="n">
        <v>3</v>
      </c>
      <c r="M100" s="6" t="n">
        <v>0</v>
      </c>
      <c r="N100" s="6" t="n">
        <v>1383</v>
      </c>
      <c r="O100" s="6">
        <f>IF(OR(I100="On time",I100="Late",I100="Very late"),1,0)</f>
        <v/>
      </c>
      <c r="P100" s="6">
        <f>IF(AND(O100=1,M100=0),1,0)</f>
        <v/>
      </c>
    </row>
    <row r="101">
      <c r="A101" s="10" t="inlineStr">
        <is>
          <t>GRN52211</t>
        </is>
      </c>
      <c r="B101" s="10" t="inlineStr">
        <is>
          <t>PO18472</t>
        </is>
      </c>
      <c r="C101" s="10" t="inlineStr">
        <is>
          <t>SUP2480</t>
        </is>
      </c>
      <c r="D101" s="10">
        <f>INDEX(Suppliers!$B:$B,MATCH(C101,Suppliers!$A:$A,0))</f>
        <v/>
      </c>
      <c r="E101" s="10" t="inlineStr">
        <is>
          <t>Supplier's own truck</t>
        </is>
      </c>
      <c r="F101" s="5" t="n">
        <v>46253</v>
      </c>
      <c r="G101" s="5" t="n">
        <v>46259</v>
      </c>
      <c r="H101" s="5" t="n">
        <v>46259</v>
      </c>
      <c r="I101" s="10" t="inlineStr">
        <is>
          <t>On time</t>
        </is>
      </c>
      <c r="J101" s="6" t="n">
        <v>0</v>
      </c>
      <c r="K101" s="10" t="n"/>
      <c r="L101" s="6" t="n">
        <v>14</v>
      </c>
      <c r="M101" s="6" t="n">
        <v>0</v>
      </c>
      <c r="N101" s="6" t="n">
        <v>10472</v>
      </c>
      <c r="O101" s="6">
        <f>IF(OR(I101="On time",I101="Late",I101="Very late"),1,0)</f>
        <v/>
      </c>
      <c r="P101" s="6">
        <f>IF(AND(O101=1,M101=0),1,0)</f>
        <v/>
      </c>
    </row>
    <row r="102">
      <c r="A102" s="10" t="inlineStr">
        <is>
          <t>GRN52212</t>
        </is>
      </c>
      <c r="B102" s="10" t="inlineStr">
        <is>
          <t>PO18473</t>
        </is>
      </c>
      <c r="C102" s="10" t="inlineStr">
        <is>
          <t>SUP2542</t>
        </is>
      </c>
      <c r="D102" s="10">
        <f>INDEX(Suppliers!$B:$B,MATCH(C102,Suppliers!$A:$A,0))</f>
        <v/>
      </c>
      <c r="E102" s="10" t="inlineStr">
        <is>
          <t>Supplier's own truck</t>
        </is>
      </c>
      <c r="F102" s="5" t="n">
        <v>46252</v>
      </c>
      <c r="G102" s="5" t="n">
        <v>46259</v>
      </c>
      <c r="H102" s="5" t="n">
        <v>46259</v>
      </c>
      <c r="I102" s="10" t="inlineStr">
        <is>
          <t>On time</t>
        </is>
      </c>
      <c r="J102" s="6" t="n">
        <v>0</v>
      </c>
      <c r="K102" s="10" t="n"/>
      <c r="L102" s="6" t="n">
        <v>28</v>
      </c>
      <c r="M102" s="6" t="n">
        <v>0</v>
      </c>
      <c r="N102" s="6" t="n">
        <v>8820</v>
      </c>
      <c r="O102" s="6">
        <f>IF(OR(I102="On time",I102="Late",I102="Very late"),1,0)</f>
        <v/>
      </c>
      <c r="P102" s="6">
        <f>IF(AND(O102=1,M102=0),1,0)</f>
        <v/>
      </c>
    </row>
    <row r="103">
      <c r="A103" s="10" t="inlineStr">
        <is>
          <t>GRN52213</t>
        </is>
      </c>
      <c r="B103" s="10" t="inlineStr">
        <is>
          <t>PO18474</t>
        </is>
      </c>
      <c r="C103" s="10" t="inlineStr">
        <is>
          <t>SUP2109</t>
        </is>
      </c>
      <c r="D103" s="10">
        <f>INDEX(Suppliers!$B:$B,MATCH(C103,Suppliers!$A:$A,0))</f>
        <v/>
      </c>
      <c r="E103" s="10" t="inlineStr">
        <is>
          <t>Line-haul (road)</t>
        </is>
      </c>
      <c r="F103" s="5" t="n">
        <v>46253</v>
      </c>
      <c r="G103" s="5" t="n">
        <v>46260</v>
      </c>
      <c r="H103" s="5" t="n">
        <v>46260</v>
      </c>
      <c r="I103" s="10" t="inlineStr">
        <is>
          <t>On time</t>
        </is>
      </c>
      <c r="J103" s="6" t="n">
        <v>0</v>
      </c>
      <c r="K103" s="10" t="n"/>
      <c r="L103" s="6" t="n">
        <v>9</v>
      </c>
      <c r="M103" s="6" t="n">
        <v>0</v>
      </c>
      <c r="N103" s="6" t="n">
        <v>5499</v>
      </c>
      <c r="O103" s="6">
        <f>IF(OR(I103="On time",I103="Late",I103="Very late"),1,0)</f>
        <v/>
      </c>
      <c r="P103" s="6">
        <f>IF(AND(O103=1,M103=0),1,0)</f>
        <v/>
      </c>
    </row>
    <row r="104">
      <c r="A104" s="10" t="inlineStr">
        <is>
          <t>GRN52214</t>
        </is>
      </c>
      <c r="B104" s="10" t="inlineStr">
        <is>
          <t>PO18476</t>
        </is>
      </c>
      <c r="C104" s="10" t="inlineStr">
        <is>
          <t>SUP2189</t>
        </is>
      </c>
      <c r="D104" s="10">
        <f>INDEX(Suppliers!$B:$B,MATCH(C104,Suppliers!$A:$A,0))</f>
        <v/>
      </c>
      <c r="E104" s="10" t="inlineStr">
        <is>
          <t>Container cartage</t>
        </is>
      </c>
      <c r="F104" s="5" t="n">
        <v>46252</v>
      </c>
      <c r="G104" s="5" t="n">
        <v>46260</v>
      </c>
      <c r="H104" s="5" t="n">
        <v>46260</v>
      </c>
      <c r="I104" s="10" t="inlineStr">
        <is>
          <t>On time</t>
        </is>
      </c>
      <c r="J104" s="6" t="n">
        <v>0</v>
      </c>
      <c r="K104" s="10" t="n"/>
      <c r="L104" s="6" t="n">
        <v>26</v>
      </c>
      <c r="M104" s="6" t="n">
        <v>1</v>
      </c>
      <c r="N104" s="6" t="n">
        <v>6422</v>
      </c>
      <c r="O104" s="6">
        <f>IF(OR(I104="On time",I104="Late",I104="Very late"),1,0)</f>
        <v/>
      </c>
      <c r="P104" s="6">
        <f>IF(AND(O104=1,M104=0),1,0)</f>
        <v/>
      </c>
    </row>
    <row r="105">
      <c r="A105" s="10" t="inlineStr">
        <is>
          <t>GRN52215</t>
        </is>
      </c>
      <c r="B105" s="10" t="inlineStr">
        <is>
          <t>PO18478</t>
        </is>
      </c>
      <c r="C105" s="10" t="inlineStr">
        <is>
          <t>SUP2219</t>
        </is>
      </c>
      <c r="D105" s="10">
        <f>INDEX(Suppliers!$B:$B,MATCH(C105,Suppliers!$A:$A,0))</f>
        <v/>
      </c>
      <c r="E105" s="10" t="inlineStr">
        <is>
          <t>Supplier's own truck</t>
        </is>
      </c>
      <c r="F105" s="5" t="n">
        <v>46254</v>
      </c>
      <c r="G105" s="5" t="n">
        <v>46260</v>
      </c>
      <c r="H105" s="5" t="n">
        <v>46260</v>
      </c>
      <c r="I105" s="10" t="inlineStr">
        <is>
          <t>On time</t>
        </is>
      </c>
      <c r="J105" s="6" t="n">
        <v>0</v>
      </c>
      <c r="K105" s="10" t="n"/>
      <c r="L105" s="6" t="n">
        <v>11</v>
      </c>
      <c r="M105" s="6" t="n">
        <v>0</v>
      </c>
      <c r="N105" s="6" t="n">
        <v>6380</v>
      </c>
      <c r="O105" s="6">
        <f>IF(OR(I105="On time",I105="Late",I105="Very late"),1,0)</f>
        <v/>
      </c>
      <c r="P105" s="6">
        <f>IF(AND(O105=1,M105=0),1,0)</f>
        <v/>
      </c>
    </row>
    <row r="106">
      <c r="A106" s="10" t="inlineStr">
        <is>
          <t>GRN52216</t>
        </is>
      </c>
      <c r="B106" s="10" t="inlineStr">
        <is>
          <t>PO18479</t>
        </is>
      </c>
      <c r="C106" s="10" t="inlineStr">
        <is>
          <t>SUP2304</t>
        </is>
      </c>
      <c r="D106" s="10">
        <f>INDEX(Suppliers!$B:$B,MATCH(C106,Suppliers!$A:$A,0))</f>
        <v/>
      </c>
      <c r="E106" s="10" t="inlineStr">
        <is>
          <t>Supplier's own truck</t>
        </is>
      </c>
      <c r="F106" s="5" t="n">
        <v>46254</v>
      </c>
      <c r="G106" s="5" t="n">
        <v>46260</v>
      </c>
      <c r="H106" s="5" t="n">
        <v>46260</v>
      </c>
      <c r="I106" s="10" t="inlineStr">
        <is>
          <t>On time</t>
        </is>
      </c>
      <c r="J106" s="6" t="n">
        <v>0</v>
      </c>
      <c r="K106" s="10" t="n"/>
      <c r="L106" s="6" t="n">
        <v>26</v>
      </c>
      <c r="M106" s="6" t="n">
        <v>0</v>
      </c>
      <c r="N106" s="6" t="n">
        <v>10764</v>
      </c>
      <c r="O106" s="6">
        <f>IF(OR(I106="On time",I106="Late",I106="Very late"),1,0)</f>
        <v/>
      </c>
      <c r="P106" s="6">
        <f>IF(AND(O106=1,M106=0),1,0)</f>
        <v/>
      </c>
    </row>
    <row r="107">
      <c r="A107" s="10" t="inlineStr">
        <is>
          <t>GRN52217</t>
        </is>
      </c>
      <c r="B107" s="10" t="inlineStr">
        <is>
          <t>PO18480</t>
        </is>
      </c>
      <c r="C107" s="10" t="inlineStr">
        <is>
          <t>SUP2506</t>
        </is>
      </c>
      <c r="D107" s="10">
        <f>INDEX(Suppliers!$B:$B,MATCH(C107,Suppliers!$A:$A,0))</f>
        <v/>
      </c>
      <c r="E107" s="10" t="inlineStr">
        <is>
          <t>Air freight</t>
        </is>
      </c>
      <c r="F107" s="5" t="n">
        <v>46251</v>
      </c>
      <c r="G107" s="5" t="n">
        <v>46260</v>
      </c>
      <c r="H107" s="5" t="n">
        <v>46260</v>
      </c>
      <c r="I107" s="10" t="inlineStr">
        <is>
          <t>On time</t>
        </is>
      </c>
      <c r="J107" s="6" t="n">
        <v>0</v>
      </c>
      <c r="K107" s="10" t="n"/>
      <c r="L107" s="6" t="n">
        <v>25</v>
      </c>
      <c r="M107" s="6" t="n">
        <v>0</v>
      </c>
      <c r="N107" s="6" t="n">
        <v>13200</v>
      </c>
      <c r="O107" s="6">
        <f>IF(OR(I107="On time",I107="Late",I107="Very late"),1,0)</f>
        <v/>
      </c>
      <c r="P107" s="6">
        <f>IF(AND(O107=1,M107=0),1,0)</f>
        <v/>
      </c>
    </row>
    <row r="108">
      <c r="A108" s="10" t="inlineStr">
        <is>
          <t>GRN52218</t>
        </is>
      </c>
      <c r="B108" s="10" t="inlineStr">
        <is>
          <t>PO18481</t>
        </is>
      </c>
      <c r="C108" s="10" t="inlineStr">
        <is>
          <t>SUP2542</t>
        </is>
      </c>
      <c r="D108" s="10">
        <f>INDEX(Suppliers!$B:$B,MATCH(C108,Suppliers!$A:$A,0))</f>
        <v/>
      </c>
      <c r="E108" s="10" t="inlineStr">
        <is>
          <t>Supplier's own truck</t>
        </is>
      </c>
      <c r="F108" s="5" t="n">
        <v>46252</v>
      </c>
      <c r="G108" s="5" t="n">
        <v>46260</v>
      </c>
      <c r="H108" s="5" t="n">
        <v>46260</v>
      </c>
      <c r="I108" s="10" t="inlineStr">
        <is>
          <t>On time</t>
        </is>
      </c>
      <c r="J108" s="6" t="n">
        <v>0</v>
      </c>
      <c r="K108" s="10" t="n"/>
      <c r="L108" s="6" t="n">
        <v>30</v>
      </c>
      <c r="M108" s="6" t="n">
        <v>0</v>
      </c>
      <c r="N108" s="6" t="n">
        <v>16740</v>
      </c>
      <c r="O108" s="6">
        <f>IF(OR(I108="On time",I108="Late",I108="Very late"),1,0)</f>
        <v/>
      </c>
      <c r="P108" s="6">
        <f>IF(AND(O108=1,M108=0),1,0)</f>
        <v/>
      </c>
    </row>
    <row r="109">
      <c r="A109" s="10" t="inlineStr">
        <is>
          <t>GRN52219</t>
        </is>
      </c>
      <c r="B109" s="10" t="inlineStr">
        <is>
          <t>PO18482</t>
        </is>
      </c>
      <c r="C109" s="10" t="inlineStr">
        <is>
          <t>SUP2078</t>
        </is>
      </c>
      <c r="D109" s="10">
        <f>INDEX(Suppliers!$B:$B,MATCH(C109,Suppliers!$A:$A,0))</f>
        <v/>
      </c>
      <c r="E109" s="10" t="inlineStr">
        <is>
          <t>Line-haul (road)</t>
        </is>
      </c>
      <c r="F109" s="5" t="n">
        <v>46255</v>
      </c>
      <c r="G109" s="5" t="n">
        <v>46261</v>
      </c>
      <c r="H109" s="5" t="n">
        <v>46261</v>
      </c>
      <c r="I109" s="10" t="inlineStr">
        <is>
          <t>On time</t>
        </is>
      </c>
      <c r="J109" s="6" t="n">
        <v>0</v>
      </c>
      <c r="K109" s="10" t="n"/>
      <c r="L109" s="6" t="n">
        <v>30</v>
      </c>
      <c r="M109" s="6" t="n">
        <v>0</v>
      </c>
      <c r="N109" s="6" t="n">
        <v>6510</v>
      </c>
      <c r="O109" s="6">
        <f>IF(OR(I109="On time",I109="Late",I109="Very late"),1,0)</f>
        <v/>
      </c>
      <c r="P109" s="6">
        <f>IF(AND(O109=1,M109=0),1,0)</f>
        <v/>
      </c>
    </row>
    <row r="110">
      <c r="A110" s="10" t="inlineStr">
        <is>
          <t>GRN52220</t>
        </is>
      </c>
      <c r="B110" s="10" t="inlineStr">
        <is>
          <t>PO18483</t>
        </is>
      </c>
      <c r="C110" s="10" t="inlineStr">
        <is>
          <t>SUP2189</t>
        </is>
      </c>
      <c r="D110" s="10">
        <f>INDEX(Suppliers!$B:$B,MATCH(C110,Suppliers!$A:$A,0))</f>
        <v/>
      </c>
      <c r="E110" s="10" t="inlineStr">
        <is>
          <t>Container cartage</t>
        </is>
      </c>
      <c r="F110" s="5" t="n">
        <v>46252</v>
      </c>
      <c r="G110" s="5" t="n">
        <v>46261</v>
      </c>
      <c r="H110" s="5" t="n">
        <v>46261</v>
      </c>
      <c r="I110" s="10" t="inlineStr">
        <is>
          <t>On time</t>
        </is>
      </c>
      <c r="J110" s="6" t="n">
        <v>0</v>
      </c>
      <c r="K110" s="10" t="n"/>
      <c r="L110" s="6" t="n">
        <v>12</v>
      </c>
      <c r="M110" s="6" t="n">
        <v>0</v>
      </c>
      <c r="N110" s="6" t="n">
        <v>3648</v>
      </c>
      <c r="O110" s="6">
        <f>IF(OR(I110="On time",I110="Late",I110="Very late"),1,0)</f>
        <v/>
      </c>
      <c r="P110" s="6">
        <f>IF(AND(O110=1,M110=0),1,0)</f>
        <v/>
      </c>
    </row>
    <row r="111">
      <c r="A111" s="10" t="inlineStr">
        <is>
          <t>GRN52221</t>
        </is>
      </c>
      <c r="B111" s="10" t="inlineStr">
        <is>
          <t>PO18484</t>
        </is>
      </c>
      <c r="C111" s="10" t="inlineStr">
        <is>
          <t>SUP2219</t>
        </is>
      </c>
      <c r="D111" s="10">
        <f>INDEX(Suppliers!$B:$B,MATCH(C111,Suppliers!$A:$A,0))</f>
        <v/>
      </c>
      <c r="E111" s="10" t="inlineStr">
        <is>
          <t>Supplier's own truck</t>
        </is>
      </c>
      <c r="F111" s="5" t="n">
        <v>46252</v>
      </c>
      <c r="G111" s="5" t="n">
        <v>46261</v>
      </c>
      <c r="H111" s="5" t="n">
        <v>46261</v>
      </c>
      <c r="I111" s="10" t="inlineStr">
        <is>
          <t>On time</t>
        </is>
      </c>
      <c r="J111" s="6" t="n">
        <v>0</v>
      </c>
      <c r="K111" s="10" t="n"/>
      <c r="L111" s="6" t="n">
        <v>26</v>
      </c>
      <c r="M111" s="6" t="n">
        <v>0</v>
      </c>
      <c r="N111" s="6" t="n">
        <v>9802</v>
      </c>
      <c r="O111" s="6">
        <f>IF(OR(I111="On time",I111="Late",I111="Very late"),1,0)</f>
        <v/>
      </c>
      <c r="P111" s="6">
        <f>IF(AND(O111=1,M111=0),1,0)</f>
        <v/>
      </c>
    </row>
    <row r="112">
      <c r="A112" s="10" t="inlineStr">
        <is>
          <t>GRN52222</t>
        </is>
      </c>
      <c r="B112" s="10" t="inlineStr">
        <is>
          <t>PO18485</t>
        </is>
      </c>
      <c r="C112" s="10" t="inlineStr">
        <is>
          <t>SUP2336</t>
        </is>
      </c>
      <c r="D112" s="10">
        <f>INDEX(Suppliers!$B:$B,MATCH(C112,Suppliers!$A:$A,0))</f>
        <v/>
      </c>
      <c r="E112" s="10" t="inlineStr">
        <is>
          <t>Line-haul (road)</t>
        </is>
      </c>
      <c r="F112" s="5" t="n">
        <v>46247</v>
      </c>
      <c r="G112" s="5" t="n">
        <v>46261</v>
      </c>
      <c r="H112" s="5" t="n">
        <v>46261</v>
      </c>
      <c r="I112" s="10" t="inlineStr">
        <is>
          <t>On time</t>
        </is>
      </c>
      <c r="J112" s="6" t="n">
        <v>0</v>
      </c>
      <c r="K112" s="10" t="n"/>
      <c r="L112" s="6" t="n">
        <v>3</v>
      </c>
      <c r="M112" s="6" t="n">
        <v>0</v>
      </c>
      <c r="N112" s="6" t="n">
        <v>1134</v>
      </c>
      <c r="O112" s="6">
        <f>IF(OR(I112="On time",I112="Late",I112="Very late"),1,0)</f>
        <v/>
      </c>
      <c r="P112" s="6">
        <f>IF(AND(O112=1,M112=0),1,0)</f>
        <v/>
      </c>
    </row>
    <row r="113">
      <c r="A113" s="10" t="inlineStr">
        <is>
          <t>GRN52223</t>
        </is>
      </c>
      <c r="B113" s="10" t="inlineStr">
        <is>
          <t>PO18486</t>
        </is>
      </c>
      <c r="C113" s="10" t="inlineStr">
        <is>
          <t>SUP2480</t>
        </is>
      </c>
      <c r="D113" s="10">
        <f>INDEX(Suppliers!$B:$B,MATCH(C113,Suppliers!$A:$A,0))</f>
        <v/>
      </c>
      <c r="E113" s="10" t="inlineStr">
        <is>
          <t>Supplier's own truck</t>
        </is>
      </c>
      <c r="F113" s="5" t="n">
        <v>46258</v>
      </c>
      <c r="G113" s="5" t="n">
        <v>46261</v>
      </c>
      <c r="H113" s="5" t="n">
        <v>46261</v>
      </c>
      <c r="I113" s="10" t="inlineStr">
        <is>
          <t>On time</t>
        </is>
      </c>
      <c r="J113" s="6" t="n">
        <v>0</v>
      </c>
      <c r="K113" s="10" t="n"/>
      <c r="L113" s="6" t="n">
        <v>7</v>
      </c>
      <c r="M113" s="6" t="n">
        <v>0</v>
      </c>
      <c r="N113" s="6" t="n">
        <v>3703</v>
      </c>
      <c r="O113" s="6">
        <f>IF(OR(I113="On time",I113="Late",I113="Very late"),1,0)</f>
        <v/>
      </c>
      <c r="P113" s="6">
        <f>IF(AND(O113=1,M113=0),1,0)</f>
        <v/>
      </c>
    </row>
    <row r="114">
      <c r="A114" s="10" t="inlineStr">
        <is>
          <t>GRN52224</t>
        </is>
      </c>
      <c r="B114" s="10" t="inlineStr">
        <is>
          <t>PO18487</t>
        </is>
      </c>
      <c r="C114" s="10" t="inlineStr">
        <is>
          <t>SUP2506</t>
        </is>
      </c>
      <c r="D114" s="10">
        <f>INDEX(Suppliers!$B:$B,MATCH(C114,Suppliers!$A:$A,0))</f>
        <v/>
      </c>
      <c r="E114" s="10" t="inlineStr">
        <is>
          <t>Air freight</t>
        </is>
      </c>
      <c r="F114" s="5" t="n">
        <v>46254</v>
      </c>
      <c r="G114" s="5" t="n">
        <v>46261</v>
      </c>
      <c r="H114" s="5" t="n">
        <v>46261</v>
      </c>
      <c r="I114" s="10" t="inlineStr">
        <is>
          <t>On time</t>
        </is>
      </c>
      <c r="J114" s="6" t="n">
        <v>0</v>
      </c>
      <c r="K114" s="10" t="n"/>
      <c r="L114" s="6" t="n">
        <v>27</v>
      </c>
      <c r="M114" s="6" t="n">
        <v>0</v>
      </c>
      <c r="N114" s="6" t="n">
        <v>17442</v>
      </c>
      <c r="O114" s="6">
        <f>IF(OR(I114="On time",I114="Late",I114="Very late"),1,0)</f>
        <v/>
      </c>
      <c r="P114" s="6">
        <f>IF(AND(O114=1,M114=0),1,0)</f>
        <v/>
      </c>
    </row>
    <row r="115">
      <c r="A115" s="10" t="inlineStr">
        <is>
          <t>GRN52226</t>
        </is>
      </c>
      <c r="B115" s="10" t="inlineStr">
        <is>
          <t>PO18488</t>
        </is>
      </c>
      <c r="C115" s="10" t="inlineStr">
        <is>
          <t>SUP2542</t>
        </is>
      </c>
      <c r="D115" s="10">
        <f>INDEX(Suppliers!$B:$B,MATCH(C115,Suppliers!$A:$A,0))</f>
        <v/>
      </c>
      <c r="E115" s="10" t="inlineStr">
        <is>
          <t>Supplier's own truck</t>
        </is>
      </c>
      <c r="F115" s="5" t="n">
        <v>46255</v>
      </c>
      <c r="G115" s="5" t="n">
        <v>46261</v>
      </c>
      <c r="H115" s="5" t="n">
        <v>46265</v>
      </c>
      <c r="I115" s="10" t="inlineStr">
        <is>
          <t>Very late</t>
        </is>
      </c>
      <c r="J115" s="6" t="n">
        <v>2</v>
      </c>
      <c r="K115" s="10" t="inlineStr">
        <is>
          <t>Port / customs hold</t>
        </is>
      </c>
      <c r="L115" s="6" t="n">
        <v>23</v>
      </c>
      <c r="M115" s="6" t="n">
        <v>3</v>
      </c>
      <c r="N115" s="6" t="n">
        <v>12604</v>
      </c>
      <c r="O115" s="6">
        <f>IF(OR(I115="On time",I115="Late",I115="Very late"),1,0)</f>
        <v/>
      </c>
      <c r="P115" s="6">
        <f>IF(AND(O115=1,M115=0),1,0)</f>
        <v/>
      </c>
    </row>
    <row r="116">
      <c r="A116" s="10" t="inlineStr">
        <is>
          <t>GRN52227</t>
        </is>
      </c>
      <c r="B116" s="10" t="inlineStr">
        <is>
          <t>PO18489</t>
        </is>
      </c>
      <c r="C116" s="10" t="inlineStr">
        <is>
          <t>SUP2109</t>
        </is>
      </c>
      <c r="D116" s="10">
        <f>INDEX(Suppliers!$B:$B,MATCH(C116,Suppliers!$A:$A,0))</f>
        <v/>
      </c>
      <c r="E116" s="10" t="inlineStr">
        <is>
          <t>Line-haul (road)</t>
        </is>
      </c>
      <c r="F116" s="5" t="n">
        <v>46251</v>
      </c>
      <c r="G116" s="5" t="n">
        <v>46262</v>
      </c>
      <c r="H116" s="5" t="n">
        <v>46262</v>
      </c>
      <c r="I116" s="10" t="inlineStr">
        <is>
          <t>On time</t>
        </is>
      </c>
      <c r="J116" s="6" t="n">
        <v>0</v>
      </c>
      <c r="K116" s="10" t="n"/>
      <c r="L116" s="6" t="n">
        <v>23</v>
      </c>
      <c r="M116" s="6" t="n">
        <v>0</v>
      </c>
      <c r="N116" s="6" t="n">
        <v>20355</v>
      </c>
      <c r="O116" s="6">
        <f>IF(OR(I116="On time",I116="Late",I116="Very late"),1,0)</f>
        <v/>
      </c>
      <c r="P116" s="6">
        <f>IF(AND(O116=1,M116=0),1,0)</f>
        <v/>
      </c>
    </row>
    <row r="117">
      <c r="A117" s="10" t="inlineStr">
        <is>
          <t>GRN52228</t>
        </is>
      </c>
      <c r="B117" s="10" t="inlineStr">
        <is>
          <t>PO18490</t>
        </is>
      </c>
      <c r="C117" s="10" t="inlineStr">
        <is>
          <t>SUP2151</t>
        </is>
      </c>
      <c r="D117" s="10">
        <f>INDEX(Suppliers!$B:$B,MATCH(C117,Suppliers!$A:$A,0))</f>
        <v/>
      </c>
      <c r="E117" s="10" t="inlineStr">
        <is>
          <t>Line-haul (road)</t>
        </is>
      </c>
      <c r="F117" s="5" t="n">
        <v>46255</v>
      </c>
      <c r="G117" s="5" t="n">
        <v>46262</v>
      </c>
      <c r="H117" s="5" t="n">
        <v>46262</v>
      </c>
      <c r="I117" s="10" t="inlineStr">
        <is>
          <t>On time</t>
        </is>
      </c>
      <c r="J117" s="6" t="n">
        <v>0</v>
      </c>
      <c r="K117" s="10" t="n"/>
      <c r="L117" s="6" t="n">
        <v>13</v>
      </c>
      <c r="M117" s="6" t="n">
        <v>0</v>
      </c>
      <c r="N117" s="6" t="n">
        <v>7826</v>
      </c>
      <c r="O117" s="6">
        <f>IF(OR(I117="On time",I117="Late",I117="Very late"),1,0)</f>
        <v/>
      </c>
      <c r="P117" s="6">
        <f>IF(AND(O117=1,M117=0),1,0)</f>
        <v/>
      </c>
    </row>
    <row r="118">
      <c r="A118" s="10" t="inlineStr">
        <is>
          <t>GRN52229</t>
        </is>
      </c>
      <c r="B118" s="10" t="inlineStr">
        <is>
          <t>PO18491</t>
        </is>
      </c>
      <c r="C118" s="10" t="inlineStr">
        <is>
          <t>SUP2336</t>
        </is>
      </c>
      <c r="D118" s="10">
        <f>INDEX(Suppliers!$B:$B,MATCH(C118,Suppliers!$A:$A,0))</f>
        <v/>
      </c>
      <c r="E118" s="10" t="inlineStr">
        <is>
          <t>Line-haul (road)</t>
        </is>
      </c>
      <c r="F118" s="5" t="n">
        <v>46248</v>
      </c>
      <c r="G118" s="5" t="n">
        <v>46262</v>
      </c>
      <c r="H118" s="5" t="n">
        <v>46262</v>
      </c>
      <c r="I118" s="10" t="inlineStr">
        <is>
          <t>On time</t>
        </is>
      </c>
      <c r="J118" s="6" t="n">
        <v>0</v>
      </c>
      <c r="K118" s="10" t="n"/>
      <c r="L118" s="6" t="n">
        <v>24</v>
      </c>
      <c r="M118" s="6" t="n">
        <v>0</v>
      </c>
      <c r="N118" s="6" t="n">
        <v>11040</v>
      </c>
      <c r="O118" s="6">
        <f>IF(OR(I118="On time",I118="Late",I118="Very late"),1,0)</f>
        <v/>
      </c>
      <c r="P118" s="6">
        <f>IF(AND(O118=1,M118=0),1,0)</f>
        <v/>
      </c>
    </row>
    <row r="119">
      <c r="A119" s="10" t="inlineStr">
        <is>
          <t>GRN52230</t>
        </is>
      </c>
      <c r="B119" s="10" t="inlineStr">
        <is>
          <t>PO18493</t>
        </is>
      </c>
      <c r="C119" s="10" t="inlineStr">
        <is>
          <t>SUP2480</t>
        </is>
      </c>
      <c r="D119" s="10">
        <f>INDEX(Suppliers!$B:$B,MATCH(C119,Suppliers!$A:$A,0))</f>
        <v/>
      </c>
      <c r="E119" s="10" t="inlineStr">
        <is>
          <t>Supplier's own truck</t>
        </is>
      </c>
      <c r="F119" s="5" t="n">
        <v>46255</v>
      </c>
      <c r="G119" s="5" t="n">
        <v>46262</v>
      </c>
      <c r="H119" s="5" t="n">
        <v>46262</v>
      </c>
      <c r="I119" s="10" t="inlineStr">
        <is>
          <t>On time</t>
        </is>
      </c>
      <c r="J119" s="6" t="n">
        <v>0</v>
      </c>
      <c r="K119" s="10" t="n"/>
      <c r="L119" s="6" t="n">
        <v>25</v>
      </c>
      <c r="M119" s="6" t="n">
        <v>0</v>
      </c>
      <c r="N119" s="6" t="n">
        <v>15050</v>
      </c>
      <c r="O119" s="6">
        <f>IF(OR(I119="On time",I119="Late",I119="Very late"),1,0)</f>
        <v/>
      </c>
      <c r="P119" s="6">
        <f>IF(AND(O119=1,M119=0),1,0)</f>
        <v/>
      </c>
    </row>
    <row r="120">
      <c r="A120" s="10" t="inlineStr">
        <is>
          <t>GRN52231</t>
        </is>
      </c>
      <c r="B120" s="10" t="inlineStr">
        <is>
          <t>PO18494</t>
        </is>
      </c>
      <c r="C120" s="10" t="inlineStr">
        <is>
          <t>SUP2506</t>
        </is>
      </c>
      <c r="D120" s="10">
        <f>INDEX(Suppliers!$B:$B,MATCH(C120,Suppliers!$A:$A,0))</f>
        <v/>
      </c>
      <c r="E120" s="10" t="inlineStr">
        <is>
          <t>Air freight</t>
        </is>
      </c>
      <c r="F120" s="5" t="n">
        <v>46258</v>
      </c>
      <c r="G120" s="5" t="n">
        <v>46262</v>
      </c>
      <c r="H120" s="5" t="n">
        <v>46262</v>
      </c>
      <c r="I120" s="10" t="inlineStr">
        <is>
          <t>On time</t>
        </is>
      </c>
      <c r="J120" s="6" t="n">
        <v>0</v>
      </c>
      <c r="K120" s="10" t="n"/>
      <c r="L120" s="6" t="n">
        <v>10</v>
      </c>
      <c r="M120" s="6" t="n">
        <v>0</v>
      </c>
      <c r="N120" s="6" t="n">
        <v>2190</v>
      </c>
      <c r="O120" s="6">
        <f>IF(OR(I120="On time",I120="Late",I120="Very late"),1,0)</f>
        <v/>
      </c>
      <c r="P120" s="6">
        <f>IF(AND(O120=1,M120=0),1,0)</f>
        <v/>
      </c>
    </row>
    <row r="121">
      <c r="A121" s="10" t="inlineStr">
        <is>
          <t>GRN52232</t>
        </is>
      </c>
      <c r="B121" s="10" t="inlineStr">
        <is>
          <t>PO18496</t>
        </is>
      </c>
      <c r="C121" s="10" t="inlineStr">
        <is>
          <t>SUP2304</t>
        </is>
      </c>
      <c r="D121" s="10">
        <f>INDEX(Suppliers!$B:$B,MATCH(C121,Suppliers!$A:$A,0))</f>
        <v/>
      </c>
      <c r="E121" s="10" t="inlineStr">
        <is>
          <t>Supplier's own truck</t>
        </is>
      </c>
      <c r="F121" s="5" t="n">
        <v>46254</v>
      </c>
      <c r="G121" s="5" t="n">
        <v>46265</v>
      </c>
      <c r="H121" s="5" t="n">
        <v>46265</v>
      </c>
      <c r="I121" s="10" t="inlineStr">
        <is>
          <t>On time</t>
        </is>
      </c>
      <c r="J121" s="6" t="n">
        <v>0</v>
      </c>
      <c r="K121" s="10" t="n"/>
      <c r="L121" s="6" t="n">
        <v>30</v>
      </c>
      <c r="M121" s="6" t="n">
        <v>0</v>
      </c>
      <c r="N121" s="6" t="n">
        <v>18600</v>
      </c>
      <c r="O121" s="6">
        <f>IF(OR(I121="On time",I121="Late",I121="Very late"),1,0)</f>
        <v/>
      </c>
      <c r="P121" s="6">
        <f>IF(AND(O121=1,M121=0),1,0)</f>
        <v/>
      </c>
    </row>
    <row r="122">
      <c r="A122" s="10" t="inlineStr">
        <is>
          <t>GRN52233</t>
        </is>
      </c>
      <c r="B122" s="10" t="inlineStr">
        <is>
          <t>PO18497</t>
        </is>
      </c>
      <c r="C122" s="10" t="inlineStr">
        <is>
          <t>SUP2461</t>
        </is>
      </c>
      <c r="D122" s="10">
        <f>INDEX(Suppliers!$B:$B,MATCH(C122,Suppliers!$A:$A,0))</f>
        <v/>
      </c>
      <c r="E122" s="10" t="inlineStr">
        <is>
          <t>Line-haul (road)</t>
        </is>
      </c>
      <c r="F122" s="5" t="n">
        <v>46254</v>
      </c>
      <c r="G122" s="5" t="n">
        <v>46265</v>
      </c>
      <c r="H122" s="5" t="n">
        <v>46265</v>
      </c>
      <c r="I122" s="10" t="inlineStr">
        <is>
          <t>On time</t>
        </is>
      </c>
      <c r="J122" s="6" t="n">
        <v>0</v>
      </c>
      <c r="K122" s="10" t="n"/>
      <c r="L122" s="6" t="n">
        <v>21</v>
      </c>
      <c r="M122" s="6" t="n">
        <v>0</v>
      </c>
      <c r="N122" s="6" t="n">
        <v>17409</v>
      </c>
      <c r="O122" s="6">
        <f>IF(OR(I122="On time",I122="Late",I122="Very late"),1,0)</f>
        <v/>
      </c>
      <c r="P122" s="6">
        <f>IF(AND(O122=1,M122=0),1,0)</f>
        <v/>
      </c>
    </row>
    <row r="123">
      <c r="A123" s="10" t="inlineStr">
        <is>
          <t>GRN52234</t>
        </is>
      </c>
      <c r="B123" s="10" t="inlineStr">
        <is>
          <t>PO18499</t>
        </is>
      </c>
      <c r="C123" s="10" t="inlineStr">
        <is>
          <t>SUP2480</t>
        </is>
      </c>
      <c r="D123" s="10">
        <f>INDEX(Suppliers!$B:$B,MATCH(C123,Suppliers!$A:$A,0))</f>
        <v/>
      </c>
      <c r="E123" s="10" t="inlineStr">
        <is>
          <t>Supplier's own truck</t>
        </is>
      </c>
      <c r="F123" s="5" t="n">
        <v>46255</v>
      </c>
      <c r="G123" s="5" t="n">
        <v>46265</v>
      </c>
      <c r="H123" s="5" t="n">
        <v>46265</v>
      </c>
      <c r="I123" s="10" t="inlineStr">
        <is>
          <t>On time</t>
        </is>
      </c>
      <c r="J123" s="6" t="n">
        <v>0</v>
      </c>
      <c r="K123" s="10" t="n"/>
      <c r="L123" s="6" t="n">
        <v>28</v>
      </c>
      <c r="M123" s="6" t="n">
        <v>0</v>
      </c>
      <c r="N123" s="6" t="n">
        <v>23548</v>
      </c>
      <c r="O123" s="6">
        <f>IF(OR(I123="On time",I123="Late",I123="Very late"),1,0)</f>
        <v/>
      </c>
      <c r="P123" s="6">
        <f>IF(AND(O123=1,M123=0),1,0)</f>
        <v/>
      </c>
    </row>
    <row r="124">
      <c r="A124" s="10" t="inlineStr">
        <is>
          <t>GRN52235</t>
        </is>
      </c>
      <c r="B124" s="10" t="inlineStr">
        <is>
          <t>PO18500</t>
        </is>
      </c>
      <c r="C124" s="10" t="inlineStr">
        <is>
          <t>SUP2189</t>
        </is>
      </c>
      <c r="D124" s="10">
        <f>INDEX(Suppliers!$B:$B,MATCH(C124,Suppliers!$A:$A,0))</f>
        <v/>
      </c>
      <c r="E124" s="10" t="inlineStr">
        <is>
          <t>Container cartage</t>
        </is>
      </c>
      <c r="F124" s="5" t="n">
        <v>46260</v>
      </c>
      <c r="G124" s="5" t="n">
        <v>46266</v>
      </c>
      <c r="H124" s="5" t="n">
        <v>46266</v>
      </c>
      <c r="I124" s="10" t="inlineStr">
        <is>
          <t>On time</t>
        </is>
      </c>
      <c r="J124" s="6" t="n">
        <v>0</v>
      </c>
      <c r="K124" s="10" t="n"/>
      <c r="L124" s="6" t="n">
        <v>17</v>
      </c>
      <c r="M124" s="6" t="n">
        <v>0</v>
      </c>
      <c r="N124" s="6" t="n">
        <v>9146</v>
      </c>
      <c r="O124" s="6">
        <f>IF(OR(I124="On time",I124="Late",I124="Very late"),1,0)</f>
        <v/>
      </c>
      <c r="P124" s="6">
        <f>IF(AND(O124=1,M124=0),1,0)</f>
        <v/>
      </c>
    </row>
    <row r="125">
      <c r="A125" s="10" t="inlineStr">
        <is>
          <t>GRN52236</t>
        </is>
      </c>
      <c r="B125" s="10" t="inlineStr">
        <is>
          <t>PO18502</t>
        </is>
      </c>
      <c r="C125" s="10" t="inlineStr">
        <is>
          <t>SUP2304</t>
        </is>
      </c>
      <c r="D125" s="10">
        <f>INDEX(Suppliers!$B:$B,MATCH(C125,Suppliers!$A:$A,0))</f>
        <v/>
      </c>
      <c r="E125" s="10" t="inlineStr">
        <is>
          <t>Supplier's own truck</t>
        </is>
      </c>
      <c r="F125" s="5" t="n">
        <v>46261</v>
      </c>
      <c r="G125" s="5" t="n">
        <v>46266</v>
      </c>
      <c r="H125" s="5" t="n">
        <v>46266</v>
      </c>
      <c r="I125" s="10" t="inlineStr">
        <is>
          <t>On time</t>
        </is>
      </c>
      <c r="J125" s="6" t="n">
        <v>0</v>
      </c>
      <c r="K125" s="10" t="n"/>
      <c r="L125" s="6" t="n">
        <v>21</v>
      </c>
      <c r="M125" s="6" t="n">
        <v>0</v>
      </c>
      <c r="N125" s="6" t="n">
        <v>15834</v>
      </c>
      <c r="O125" s="6">
        <f>IF(OR(I125="On time",I125="Late",I125="Very late"),1,0)</f>
        <v/>
      </c>
      <c r="P125" s="6">
        <f>IF(AND(O125=1,M125=0),1,0)</f>
        <v/>
      </c>
    </row>
    <row r="126">
      <c r="A126" s="10" t="inlineStr">
        <is>
          <t>GRN52237</t>
        </is>
      </c>
      <c r="B126" s="10" t="inlineStr">
        <is>
          <t>PO18504</t>
        </is>
      </c>
      <c r="C126" s="10" t="inlineStr">
        <is>
          <t>SUP2336</t>
        </is>
      </c>
      <c r="D126" s="10">
        <f>INDEX(Suppliers!$B:$B,MATCH(C126,Suppliers!$A:$A,0))</f>
        <v/>
      </c>
      <c r="E126" s="10" t="inlineStr">
        <is>
          <t>Line-haul (road)</t>
        </is>
      </c>
      <c r="F126" s="5" t="n">
        <v>46253</v>
      </c>
      <c r="G126" s="5" t="n">
        <v>46266</v>
      </c>
      <c r="H126" s="5" t="n">
        <v>46266</v>
      </c>
      <c r="I126" s="10" t="inlineStr">
        <is>
          <t>On time</t>
        </is>
      </c>
      <c r="J126" s="6" t="n">
        <v>0</v>
      </c>
      <c r="K126" s="10" t="n"/>
      <c r="L126" s="6" t="n">
        <v>19</v>
      </c>
      <c r="M126" s="6" t="n">
        <v>0</v>
      </c>
      <c r="N126" s="6" t="n">
        <v>15846</v>
      </c>
      <c r="O126" s="6">
        <f>IF(OR(I126="On time",I126="Late",I126="Very late"),1,0)</f>
        <v/>
      </c>
      <c r="P126" s="6">
        <f>IF(AND(O126=1,M126=0),1,0)</f>
        <v/>
      </c>
    </row>
    <row r="127">
      <c r="A127" s="10" t="inlineStr">
        <is>
          <t>GRN52238</t>
        </is>
      </c>
      <c r="B127" s="10" t="inlineStr">
        <is>
          <t>PO18505</t>
        </is>
      </c>
      <c r="C127" s="10" t="inlineStr">
        <is>
          <t>SUP2438</t>
        </is>
      </c>
      <c r="D127" s="10">
        <f>INDEX(Suppliers!$B:$B,MATCH(C127,Suppliers!$A:$A,0))</f>
        <v/>
      </c>
      <c r="E127" s="10" t="inlineStr">
        <is>
          <t>Line-haul (road)</t>
        </is>
      </c>
      <c r="F127" s="5" t="n">
        <v>46258</v>
      </c>
      <c r="G127" s="5" t="n">
        <v>46266</v>
      </c>
      <c r="H127" s="5" t="n">
        <v>46266</v>
      </c>
      <c r="I127" s="10" t="inlineStr">
        <is>
          <t>On time</t>
        </is>
      </c>
      <c r="J127" s="6" t="n">
        <v>0</v>
      </c>
      <c r="K127" s="10" t="n"/>
      <c r="L127" s="6" t="n">
        <v>5</v>
      </c>
      <c r="M127" s="6" t="n">
        <v>0</v>
      </c>
      <c r="N127" s="6" t="n">
        <v>3730</v>
      </c>
      <c r="O127" s="6">
        <f>IF(OR(I127="On time",I127="Late",I127="Very late"),1,0)</f>
        <v/>
      </c>
      <c r="P127" s="6">
        <f>IF(AND(O127=1,M127=0),1,0)</f>
        <v/>
      </c>
    </row>
    <row r="128">
      <c r="A128" s="10" t="inlineStr">
        <is>
          <t>GRN52239</t>
        </is>
      </c>
      <c r="B128" s="10" t="inlineStr">
        <is>
          <t>PO18506</t>
        </is>
      </c>
      <c r="C128" s="10" t="inlineStr">
        <is>
          <t>SUP2461</t>
        </is>
      </c>
      <c r="D128" s="10">
        <f>INDEX(Suppliers!$B:$B,MATCH(C128,Suppliers!$A:$A,0))</f>
        <v/>
      </c>
      <c r="E128" s="10" t="inlineStr">
        <is>
          <t>Line-haul (road)</t>
        </is>
      </c>
      <c r="F128" s="5" t="n">
        <v>46254</v>
      </c>
      <c r="G128" s="5" t="n">
        <v>46266</v>
      </c>
      <c r="H128" s="5" t="n">
        <v>46266</v>
      </c>
      <c r="I128" s="10" t="inlineStr">
        <is>
          <t>On time</t>
        </is>
      </c>
      <c r="J128" s="6" t="n">
        <v>0</v>
      </c>
      <c r="K128" s="10" t="n"/>
      <c r="L128" s="6" t="n">
        <v>7</v>
      </c>
      <c r="M128" s="6" t="n">
        <v>0</v>
      </c>
      <c r="N128" s="6" t="n">
        <v>4459</v>
      </c>
      <c r="O128" s="6">
        <f>IF(OR(I128="On time",I128="Late",I128="Very late"),1,0)</f>
        <v/>
      </c>
      <c r="P128" s="6">
        <f>IF(AND(O128=1,M128=0),1,0)</f>
        <v/>
      </c>
    </row>
    <row r="129">
      <c r="A129" s="10" t="inlineStr">
        <is>
          <t>GRN52240</t>
        </is>
      </c>
      <c r="B129" s="10" t="inlineStr">
        <is>
          <t>PO18507</t>
        </is>
      </c>
      <c r="C129" s="10" t="inlineStr">
        <is>
          <t>SUP2480</t>
        </is>
      </c>
      <c r="D129" s="10">
        <f>INDEX(Suppliers!$B:$B,MATCH(C129,Suppliers!$A:$A,0))</f>
        <v/>
      </c>
      <c r="E129" s="10" t="inlineStr">
        <is>
          <t>Supplier's own truck</t>
        </is>
      </c>
      <c r="F129" s="5" t="n">
        <v>46261</v>
      </c>
      <c r="G129" s="5" t="n">
        <v>46266</v>
      </c>
      <c r="H129" s="5" t="n">
        <v>46266</v>
      </c>
      <c r="I129" s="10" t="inlineStr">
        <is>
          <t>On time</t>
        </is>
      </c>
      <c r="J129" s="6" t="n">
        <v>0</v>
      </c>
      <c r="K129" s="10" t="n"/>
      <c r="L129" s="6" t="n">
        <v>18</v>
      </c>
      <c r="M129" s="6" t="n">
        <v>0</v>
      </c>
      <c r="N129" s="6" t="n">
        <v>7776</v>
      </c>
      <c r="O129" s="6">
        <f>IF(OR(I129="On time",I129="Late",I129="Very late"),1,0)</f>
        <v/>
      </c>
      <c r="P129" s="6">
        <f>IF(AND(O129=1,M129=0),1,0)</f>
        <v/>
      </c>
    </row>
    <row r="130">
      <c r="A130" s="10" t="inlineStr">
        <is>
          <t>GRN52241</t>
        </is>
      </c>
      <c r="B130" s="10" t="inlineStr">
        <is>
          <t>PO18509</t>
        </is>
      </c>
      <c r="C130" s="10" t="inlineStr">
        <is>
          <t>SUP2506</t>
        </is>
      </c>
      <c r="D130" s="10">
        <f>INDEX(Suppliers!$B:$B,MATCH(C130,Suppliers!$A:$A,0))</f>
        <v/>
      </c>
      <c r="E130" s="10" t="inlineStr">
        <is>
          <t>Air freight</t>
        </is>
      </c>
      <c r="F130" s="5" t="n">
        <v>46260</v>
      </c>
      <c r="G130" s="5" t="n">
        <v>46266</v>
      </c>
      <c r="H130" s="5" t="n">
        <v>46266</v>
      </c>
      <c r="I130" s="10" t="inlineStr">
        <is>
          <t>On time</t>
        </is>
      </c>
      <c r="J130" s="6" t="n">
        <v>0</v>
      </c>
      <c r="K130" s="10" t="n"/>
      <c r="L130" s="6" t="n">
        <v>28</v>
      </c>
      <c r="M130" s="6" t="n">
        <v>0</v>
      </c>
      <c r="N130" s="6" t="n">
        <v>22372</v>
      </c>
      <c r="O130" s="6">
        <f>IF(OR(I130="On time",I130="Late",I130="Very late"),1,0)</f>
        <v/>
      </c>
      <c r="P130" s="6">
        <f>IF(AND(O130=1,M130=0),1,0)</f>
        <v/>
      </c>
    </row>
    <row r="131">
      <c r="A131" s="10" t="inlineStr">
        <is>
          <t>GRN52242</t>
        </is>
      </c>
      <c r="B131" s="10" t="inlineStr">
        <is>
          <t>PO18511</t>
        </is>
      </c>
      <c r="C131" s="10" t="inlineStr">
        <is>
          <t>SUP2542</t>
        </is>
      </c>
      <c r="D131" s="10">
        <f>INDEX(Suppliers!$B:$B,MATCH(C131,Suppliers!$A:$A,0))</f>
        <v/>
      </c>
      <c r="E131" s="10" t="inlineStr">
        <is>
          <t>Supplier's own truck</t>
        </is>
      </c>
      <c r="F131" s="5" t="n">
        <v>46255</v>
      </c>
      <c r="G131" s="5" t="n">
        <v>46266</v>
      </c>
      <c r="H131" s="5" t="n">
        <v>46266</v>
      </c>
      <c r="I131" s="10" t="inlineStr">
        <is>
          <t>On time</t>
        </is>
      </c>
      <c r="J131" s="6" t="n">
        <v>0</v>
      </c>
      <c r="K131" s="10" t="n"/>
      <c r="L131" s="6" t="n">
        <v>3</v>
      </c>
      <c r="M131" s="6" t="n">
        <v>0</v>
      </c>
      <c r="N131" s="6" t="n">
        <v>2508</v>
      </c>
      <c r="O131" s="6">
        <f>IF(OR(I131="On time",I131="Late",I131="Very late"),1,0)</f>
        <v/>
      </c>
      <c r="P131" s="6">
        <f>IF(AND(O131=1,M131=0),1,0)</f>
        <v/>
      </c>
    </row>
    <row r="132">
      <c r="A132" s="10" t="inlineStr">
        <is>
          <t>GRN52243</t>
        </is>
      </c>
      <c r="B132" s="10" t="inlineStr">
        <is>
          <t>PO18512</t>
        </is>
      </c>
      <c r="C132" s="10" t="inlineStr">
        <is>
          <t>SUP2078</t>
        </is>
      </c>
      <c r="D132" s="10">
        <f>INDEX(Suppliers!$B:$B,MATCH(C132,Suppliers!$A:$A,0))</f>
        <v/>
      </c>
      <c r="E132" s="10" t="inlineStr">
        <is>
          <t>Line-haul (road)</t>
        </is>
      </c>
      <c r="F132" s="5" t="n">
        <v>46255</v>
      </c>
      <c r="G132" s="5" t="n">
        <v>46267</v>
      </c>
      <c r="H132" s="5" t="n">
        <v>46267</v>
      </c>
      <c r="I132" s="10" t="inlineStr">
        <is>
          <t>On time</t>
        </is>
      </c>
      <c r="J132" s="6" t="n">
        <v>0</v>
      </c>
      <c r="K132" s="10" t="n"/>
      <c r="L132" s="6" t="n">
        <v>23</v>
      </c>
      <c r="M132" s="6" t="n">
        <v>0</v>
      </c>
      <c r="N132" s="6" t="n">
        <v>15709</v>
      </c>
      <c r="O132" s="6">
        <f>IF(OR(I132="On time",I132="Late",I132="Very late"),1,0)</f>
        <v/>
      </c>
      <c r="P132" s="6">
        <f>IF(AND(O132=1,M132=0),1,0)</f>
        <v/>
      </c>
    </row>
    <row r="133">
      <c r="A133" s="10" t="inlineStr">
        <is>
          <t>GRN52244</t>
        </is>
      </c>
      <c r="B133" s="10" t="inlineStr">
        <is>
          <t>PO18513</t>
        </is>
      </c>
      <c r="C133" s="10" t="inlineStr">
        <is>
          <t>SUP2208</t>
        </is>
      </c>
      <c r="D133" s="10">
        <f>INDEX(Suppliers!$B:$B,MATCH(C133,Suppliers!$A:$A,0))</f>
        <v/>
      </c>
      <c r="E133" s="10" t="inlineStr">
        <is>
          <t>Supplier's own truck</t>
        </is>
      </c>
      <c r="F133" s="5" t="n">
        <v>46262</v>
      </c>
      <c r="G133" s="5" t="n">
        <v>46267</v>
      </c>
      <c r="H133" s="5" t="n">
        <v>46267</v>
      </c>
      <c r="I133" s="10" t="inlineStr">
        <is>
          <t>On time</t>
        </is>
      </c>
      <c r="J133" s="6" t="n">
        <v>0</v>
      </c>
      <c r="K133" s="10" t="n"/>
      <c r="L133" s="6" t="n">
        <v>12</v>
      </c>
      <c r="M133" s="6" t="n">
        <v>0</v>
      </c>
      <c r="N133" s="6" t="n">
        <v>4752</v>
      </c>
      <c r="O133" s="6">
        <f>IF(OR(I133="On time",I133="Late",I133="Very late"),1,0)</f>
        <v/>
      </c>
      <c r="P133" s="6">
        <f>IF(AND(O133=1,M133=0),1,0)</f>
        <v/>
      </c>
    </row>
    <row r="134">
      <c r="A134" s="10" t="inlineStr">
        <is>
          <t>GRN52245</t>
        </is>
      </c>
      <c r="B134" s="10" t="inlineStr">
        <is>
          <t>PO18514</t>
        </is>
      </c>
      <c r="C134" s="10" t="inlineStr">
        <is>
          <t>SUP2461</t>
        </is>
      </c>
      <c r="D134" s="10">
        <f>INDEX(Suppliers!$B:$B,MATCH(C134,Suppliers!$A:$A,0))</f>
        <v/>
      </c>
      <c r="E134" s="10" t="inlineStr">
        <is>
          <t>Line-haul (road)</t>
        </is>
      </c>
      <c r="F134" s="5" t="n">
        <v>46259</v>
      </c>
      <c r="G134" s="5" t="n">
        <v>46267</v>
      </c>
      <c r="H134" s="5" t="n">
        <v>46267</v>
      </c>
      <c r="I134" s="10" t="inlineStr">
        <is>
          <t>On time</t>
        </is>
      </c>
      <c r="J134" s="6" t="n">
        <v>0</v>
      </c>
      <c r="K134" s="10" t="n"/>
      <c r="L134" s="6" t="n">
        <v>9</v>
      </c>
      <c r="M134" s="6" t="n">
        <v>0</v>
      </c>
      <c r="N134" s="6" t="n">
        <v>5166</v>
      </c>
      <c r="O134" s="6">
        <f>IF(OR(I134="On time",I134="Late",I134="Very late"),1,0)</f>
        <v/>
      </c>
      <c r="P134" s="6">
        <f>IF(AND(O134=1,M134=0),1,0)</f>
        <v/>
      </c>
    </row>
    <row r="135">
      <c r="A135" s="10" t="inlineStr">
        <is>
          <t>GRN52246</t>
        </is>
      </c>
      <c r="B135" s="10" t="inlineStr">
        <is>
          <t>PO18515</t>
        </is>
      </c>
      <c r="C135" s="10" t="inlineStr">
        <is>
          <t>SUP2480</t>
        </is>
      </c>
      <c r="D135" s="10">
        <f>INDEX(Suppliers!$B:$B,MATCH(C135,Suppliers!$A:$A,0))</f>
        <v/>
      </c>
      <c r="E135" s="10" t="inlineStr">
        <is>
          <t>Supplier's own truck</t>
        </is>
      </c>
      <c r="F135" s="5" t="n">
        <v>46258</v>
      </c>
      <c r="G135" s="5" t="n">
        <v>46267</v>
      </c>
      <c r="H135" s="5" t="n">
        <v>46267</v>
      </c>
      <c r="I135" s="10" t="inlineStr">
        <is>
          <t>On time</t>
        </is>
      </c>
      <c r="J135" s="6" t="n">
        <v>0</v>
      </c>
      <c r="K135" s="10" t="n"/>
      <c r="L135" s="6" t="n">
        <v>19</v>
      </c>
      <c r="M135" s="6" t="n">
        <v>0</v>
      </c>
      <c r="N135" s="6" t="n">
        <v>16910</v>
      </c>
      <c r="O135" s="6">
        <f>IF(OR(I135="On time",I135="Late",I135="Very late"),1,0)</f>
        <v/>
      </c>
      <c r="P135" s="6">
        <f>IF(AND(O135=1,M135=0),1,0)</f>
        <v/>
      </c>
    </row>
    <row r="136">
      <c r="A136" s="10" t="inlineStr">
        <is>
          <t>GRN52247</t>
        </is>
      </c>
      <c r="B136" s="10" t="inlineStr">
        <is>
          <t>PO18516</t>
        </is>
      </c>
      <c r="C136" s="10" t="inlineStr">
        <is>
          <t>SUP2542</t>
        </is>
      </c>
      <c r="D136" s="10">
        <f>INDEX(Suppliers!$B:$B,MATCH(C136,Suppliers!$A:$A,0))</f>
        <v/>
      </c>
      <c r="E136" s="10" t="inlineStr">
        <is>
          <t>Supplier's own truck</t>
        </is>
      </c>
      <c r="F136" s="5" t="n">
        <v>46260</v>
      </c>
      <c r="G136" s="5" t="n">
        <v>46267</v>
      </c>
      <c r="H136" s="5" t="n">
        <v>46267</v>
      </c>
      <c r="I136" s="10" t="inlineStr">
        <is>
          <t>On time</t>
        </is>
      </c>
      <c r="J136" s="6" t="n">
        <v>0</v>
      </c>
      <c r="K136" s="10" t="n"/>
      <c r="L136" s="6" t="n">
        <v>17</v>
      </c>
      <c r="M136" s="6" t="n">
        <v>0</v>
      </c>
      <c r="N136" s="6" t="n">
        <v>4726</v>
      </c>
      <c r="O136" s="6">
        <f>IF(OR(I136="On time",I136="Late",I136="Very late"),1,0)</f>
        <v/>
      </c>
      <c r="P136" s="6">
        <f>IF(AND(O136=1,M136=0),1,0)</f>
        <v/>
      </c>
    </row>
    <row r="137">
      <c r="A137" s="10" t="inlineStr">
        <is>
          <t>GRN52248</t>
        </is>
      </c>
      <c r="B137" s="10" t="inlineStr">
        <is>
          <t>PO18517</t>
        </is>
      </c>
      <c r="C137" s="10" t="inlineStr">
        <is>
          <t>SUP2189</t>
        </is>
      </c>
      <c r="D137" s="10">
        <f>INDEX(Suppliers!$B:$B,MATCH(C137,Suppliers!$A:$A,0))</f>
        <v/>
      </c>
      <c r="E137" s="10" t="inlineStr">
        <is>
          <t>Container cartage</t>
        </is>
      </c>
      <c r="F137" s="5" t="n">
        <v>46265</v>
      </c>
      <c r="G137" s="5" t="n">
        <v>46268</v>
      </c>
      <c r="H137" s="5" t="n">
        <v>46268</v>
      </c>
      <c r="I137" s="10" t="inlineStr">
        <is>
          <t>On time</t>
        </is>
      </c>
      <c r="J137" s="6" t="n">
        <v>0</v>
      </c>
      <c r="K137" s="10" t="n"/>
      <c r="L137" s="6" t="n">
        <v>22</v>
      </c>
      <c r="M137" s="6" t="n">
        <v>0</v>
      </c>
      <c r="N137" s="6" t="n">
        <v>16500</v>
      </c>
      <c r="O137" s="6">
        <f>IF(OR(I137="On time",I137="Late",I137="Very late"),1,0)</f>
        <v/>
      </c>
      <c r="P137" s="6">
        <f>IF(AND(O137=1,M137=0),1,0)</f>
        <v/>
      </c>
    </row>
    <row r="138">
      <c r="A138" s="10" t="inlineStr">
        <is>
          <t>GRN52249</t>
        </is>
      </c>
      <c r="B138" s="10" t="inlineStr">
        <is>
          <t>PO18518</t>
        </is>
      </c>
      <c r="C138" s="10" t="inlineStr">
        <is>
          <t>SUP2208</t>
        </is>
      </c>
      <c r="D138" s="10">
        <f>INDEX(Suppliers!$B:$B,MATCH(C138,Suppliers!$A:$A,0))</f>
        <v/>
      </c>
      <c r="E138" s="10" t="inlineStr">
        <is>
          <t>Supplier's own truck</t>
        </is>
      </c>
      <c r="F138" s="5" t="n">
        <v>46262</v>
      </c>
      <c r="G138" s="5" t="n">
        <v>46268</v>
      </c>
      <c r="H138" s="5" t="n">
        <v>46268</v>
      </c>
      <c r="I138" s="10" t="inlineStr">
        <is>
          <t>On time</t>
        </is>
      </c>
      <c r="J138" s="6" t="n">
        <v>0</v>
      </c>
      <c r="K138" s="10" t="n"/>
      <c r="L138" s="6" t="n">
        <v>23</v>
      </c>
      <c r="M138" s="6" t="n">
        <v>1</v>
      </c>
      <c r="N138" s="6" t="n">
        <v>16560</v>
      </c>
      <c r="O138" s="6">
        <f>IF(OR(I138="On time",I138="Late",I138="Very late"),1,0)</f>
        <v/>
      </c>
      <c r="P138" s="6">
        <f>IF(AND(O138=1,M138=0),1,0)</f>
        <v/>
      </c>
    </row>
    <row r="139">
      <c r="A139" s="10" t="inlineStr">
        <is>
          <t>GRN52250</t>
        </is>
      </c>
      <c r="B139" s="10" t="inlineStr">
        <is>
          <t>PO18520</t>
        </is>
      </c>
      <c r="C139" s="10" t="inlineStr">
        <is>
          <t>SUP2219</t>
        </is>
      </c>
      <c r="D139" s="10">
        <f>INDEX(Suppliers!$B:$B,MATCH(C139,Suppliers!$A:$A,0))</f>
        <v/>
      </c>
      <c r="E139" s="10" t="inlineStr">
        <is>
          <t>Supplier's own truck</t>
        </is>
      </c>
      <c r="F139" s="5" t="n">
        <v>46265</v>
      </c>
      <c r="G139" s="5" t="n">
        <v>46268</v>
      </c>
      <c r="H139" s="5" t="n">
        <v>46268</v>
      </c>
      <c r="I139" s="10" t="inlineStr">
        <is>
          <t>On time</t>
        </is>
      </c>
      <c r="J139" s="6" t="n">
        <v>0</v>
      </c>
      <c r="K139" s="10" t="n"/>
      <c r="L139" s="6" t="n">
        <v>22</v>
      </c>
      <c r="M139" s="6" t="n">
        <v>0</v>
      </c>
      <c r="N139" s="6" t="n">
        <v>5522</v>
      </c>
      <c r="O139" s="6">
        <f>IF(OR(I139="On time",I139="Late",I139="Very late"),1,0)</f>
        <v/>
      </c>
      <c r="P139" s="6">
        <f>IF(AND(O139=1,M139=0),1,0)</f>
        <v/>
      </c>
    </row>
    <row r="140">
      <c r="A140" s="10" t="inlineStr">
        <is>
          <t>GRN52251</t>
        </is>
      </c>
      <c r="B140" s="10" t="inlineStr">
        <is>
          <t>PO18522</t>
        </is>
      </c>
      <c r="C140" s="10" t="inlineStr">
        <is>
          <t>SUP2461</t>
        </is>
      </c>
      <c r="D140" s="10">
        <f>INDEX(Suppliers!$B:$B,MATCH(C140,Suppliers!$A:$A,0))</f>
        <v/>
      </c>
      <c r="E140" s="10" t="inlineStr">
        <is>
          <t>Line-haul (road)</t>
        </is>
      </c>
      <c r="F140" s="5" t="n">
        <v>46255</v>
      </c>
      <c r="G140" s="5" t="n">
        <v>46268</v>
      </c>
      <c r="H140" s="5" t="n">
        <v>46268</v>
      </c>
      <c r="I140" s="10" t="inlineStr">
        <is>
          <t>On time</t>
        </is>
      </c>
      <c r="J140" s="6" t="n">
        <v>0</v>
      </c>
      <c r="K140" s="10" t="n"/>
      <c r="L140" s="6" t="n">
        <v>27</v>
      </c>
      <c r="M140" s="6" t="n">
        <v>0</v>
      </c>
      <c r="N140" s="6" t="n">
        <v>13122</v>
      </c>
      <c r="O140" s="6">
        <f>IF(OR(I140="On time",I140="Late",I140="Very late"),1,0)</f>
        <v/>
      </c>
      <c r="P140" s="6">
        <f>IF(AND(O140=1,M140=0),1,0)</f>
        <v/>
      </c>
    </row>
    <row r="141">
      <c r="A141" s="10" t="inlineStr">
        <is>
          <t>GRN52252</t>
        </is>
      </c>
      <c r="B141" s="10" t="inlineStr">
        <is>
          <t>PO18523</t>
        </is>
      </c>
      <c r="C141" s="10" t="inlineStr">
        <is>
          <t>SUP2542</t>
        </is>
      </c>
      <c r="D141" s="10">
        <f>INDEX(Suppliers!$B:$B,MATCH(C141,Suppliers!$A:$A,0))</f>
        <v/>
      </c>
      <c r="E141" s="10" t="inlineStr">
        <is>
          <t>Supplier's own truck</t>
        </is>
      </c>
      <c r="F141" s="5" t="n">
        <v>46259</v>
      </c>
      <c r="G141" s="5" t="n">
        <v>46268</v>
      </c>
      <c r="H141" s="5" t="n">
        <v>46268</v>
      </c>
      <c r="I141" s="10" t="inlineStr">
        <is>
          <t>On time</t>
        </is>
      </c>
      <c r="J141" s="6" t="n">
        <v>0</v>
      </c>
      <c r="K141" s="10" t="n"/>
      <c r="L141" s="6" t="n">
        <v>10</v>
      </c>
      <c r="M141" s="6" t="n">
        <v>0</v>
      </c>
      <c r="N141" s="6" t="n">
        <v>4530</v>
      </c>
      <c r="O141" s="6">
        <f>IF(OR(I141="On time",I141="Late",I141="Very late"),1,0)</f>
        <v/>
      </c>
      <c r="P141" s="6">
        <f>IF(AND(O141=1,M141=0),1,0)</f>
        <v/>
      </c>
    </row>
    <row r="142">
      <c r="A142" s="10" t="inlineStr">
        <is>
          <t>GRN52253</t>
        </is>
      </c>
      <c r="B142" s="10" t="inlineStr">
        <is>
          <t>PO18525</t>
        </is>
      </c>
      <c r="C142" s="10" t="inlineStr">
        <is>
          <t>SUP2151</t>
        </is>
      </c>
      <c r="D142" s="10">
        <f>INDEX(Suppliers!$B:$B,MATCH(C142,Suppliers!$A:$A,0))</f>
        <v/>
      </c>
      <c r="E142" s="10" t="inlineStr">
        <is>
          <t>Line-haul (road)</t>
        </is>
      </c>
      <c r="F142" s="5" t="n">
        <v>46261</v>
      </c>
      <c r="G142" s="5" t="n">
        <v>46269</v>
      </c>
      <c r="H142" s="5" t="n">
        <v>46272</v>
      </c>
      <c r="I142" s="10" t="inlineStr">
        <is>
          <t>Late</t>
        </is>
      </c>
      <c r="J142" s="6" t="n">
        <v>1</v>
      </c>
      <c r="K142" s="10" t="inlineStr">
        <is>
          <t>Line-haul delay</t>
        </is>
      </c>
      <c r="L142" s="6" t="n">
        <v>11</v>
      </c>
      <c r="M142" s="6" t="n">
        <v>0</v>
      </c>
      <c r="N142" s="6" t="n">
        <v>4697</v>
      </c>
      <c r="O142" s="6">
        <f>IF(OR(I142="On time",I142="Late",I142="Very late"),1,0)</f>
        <v/>
      </c>
      <c r="P142" s="6">
        <f>IF(AND(O142=1,M142=0),1,0)</f>
        <v/>
      </c>
    </row>
    <row r="143">
      <c r="A143" s="10" t="inlineStr">
        <is>
          <t>GRN52254</t>
        </is>
      </c>
      <c r="B143" s="10" t="inlineStr">
        <is>
          <t>PO18526</t>
        </is>
      </c>
      <c r="C143" s="10" t="inlineStr">
        <is>
          <t>SUP2208</t>
        </is>
      </c>
      <c r="D143" s="10">
        <f>INDEX(Suppliers!$B:$B,MATCH(C143,Suppliers!$A:$A,0))</f>
        <v/>
      </c>
      <c r="E143" s="10" t="inlineStr">
        <is>
          <t>Supplier's own truck</t>
        </is>
      </c>
      <c r="F143" s="5" t="n">
        <v>46262</v>
      </c>
      <c r="G143" s="5" t="n">
        <v>46269</v>
      </c>
      <c r="H143" s="5" t="n">
        <v>46269</v>
      </c>
      <c r="I143" s="10" t="inlineStr">
        <is>
          <t>On time</t>
        </is>
      </c>
      <c r="J143" s="6" t="n">
        <v>0</v>
      </c>
      <c r="K143" s="10" t="n"/>
      <c r="L143" s="6" t="n">
        <v>26</v>
      </c>
      <c r="M143" s="6" t="n">
        <v>0</v>
      </c>
      <c r="N143" s="6" t="n">
        <v>15782</v>
      </c>
      <c r="O143" s="6">
        <f>IF(OR(I143="On time",I143="Late",I143="Very late"),1,0)</f>
        <v/>
      </c>
      <c r="P143" s="6">
        <f>IF(AND(O143=1,M143=0),1,0)</f>
        <v/>
      </c>
    </row>
    <row r="144">
      <c r="A144" s="10" t="inlineStr">
        <is>
          <t>GRN52255</t>
        </is>
      </c>
      <c r="B144" s="10" t="inlineStr">
        <is>
          <t>PO18527</t>
        </is>
      </c>
      <c r="C144" s="10" t="inlineStr">
        <is>
          <t>SUP2219</t>
        </is>
      </c>
      <c r="D144" s="10">
        <f>INDEX(Suppliers!$B:$B,MATCH(C144,Suppliers!$A:$A,0))</f>
        <v/>
      </c>
      <c r="E144" s="10" t="inlineStr">
        <is>
          <t>Supplier's own truck</t>
        </is>
      </c>
      <c r="F144" s="5" t="n">
        <v>46261</v>
      </c>
      <c r="G144" s="5" t="n">
        <v>46269</v>
      </c>
      <c r="H144" s="5" t="n">
        <v>46269</v>
      </c>
      <c r="I144" s="10" t="inlineStr">
        <is>
          <t>On time</t>
        </is>
      </c>
      <c r="J144" s="6" t="n">
        <v>0</v>
      </c>
      <c r="K144" s="10" t="n"/>
      <c r="L144" s="6" t="n">
        <v>6</v>
      </c>
      <c r="M144" s="6" t="n">
        <v>0</v>
      </c>
      <c r="N144" s="6" t="n">
        <v>3708</v>
      </c>
      <c r="O144" s="6">
        <f>IF(OR(I144="On time",I144="Late",I144="Very late"),1,0)</f>
        <v/>
      </c>
      <c r="P144" s="6">
        <f>IF(AND(O144=1,M144=0),1,0)</f>
        <v/>
      </c>
    </row>
    <row r="145">
      <c r="A145" s="10" t="inlineStr">
        <is>
          <t>GRN52256</t>
        </is>
      </c>
      <c r="B145" s="10" t="inlineStr">
        <is>
          <t>PO18529</t>
        </is>
      </c>
      <c r="C145" s="10" t="inlineStr">
        <is>
          <t>SUP2304</t>
        </is>
      </c>
      <c r="D145" s="10">
        <f>INDEX(Suppliers!$B:$B,MATCH(C145,Suppliers!$A:$A,0))</f>
        <v/>
      </c>
      <c r="E145" s="10" t="inlineStr">
        <is>
          <t>Supplier's own truck</t>
        </is>
      </c>
      <c r="F145" s="5" t="n">
        <v>46260</v>
      </c>
      <c r="G145" s="5" t="n">
        <v>46269</v>
      </c>
      <c r="H145" s="5" t="n">
        <v>46269</v>
      </c>
      <c r="I145" s="10" t="inlineStr">
        <is>
          <t>On time</t>
        </is>
      </c>
      <c r="J145" s="6" t="n">
        <v>0</v>
      </c>
      <c r="K145" s="10" t="n"/>
      <c r="L145" s="6" t="n">
        <v>28</v>
      </c>
      <c r="M145" s="6" t="n">
        <v>0</v>
      </c>
      <c r="N145" s="6" t="n">
        <v>15204</v>
      </c>
      <c r="O145" s="6">
        <f>IF(OR(I145="On time",I145="Late",I145="Very late"),1,0)</f>
        <v/>
      </c>
      <c r="P145" s="6">
        <f>IF(AND(O145=1,M145=0),1,0)</f>
        <v/>
      </c>
    </row>
    <row r="146">
      <c r="A146" s="10" t="inlineStr">
        <is>
          <t>GRN52257</t>
        </is>
      </c>
      <c r="B146" s="10" t="inlineStr">
        <is>
          <t>PO18531</t>
        </is>
      </c>
      <c r="C146" s="10" t="inlineStr">
        <is>
          <t>SUP2422</t>
        </is>
      </c>
      <c r="D146" s="10">
        <f>INDEX(Suppliers!$B:$B,MATCH(C146,Suppliers!$A:$A,0))</f>
        <v/>
      </c>
      <c r="E146" s="10" t="inlineStr">
        <is>
          <t>Line-haul (rail)</t>
        </is>
      </c>
      <c r="F146" s="5" t="n">
        <v>46255</v>
      </c>
      <c r="G146" s="5" t="n">
        <v>46269</v>
      </c>
      <c r="H146" s="5" t="n">
        <v>46269</v>
      </c>
      <c r="I146" s="10" t="inlineStr">
        <is>
          <t>On time</t>
        </is>
      </c>
      <c r="J146" s="6" t="n">
        <v>0</v>
      </c>
      <c r="K146" s="10" t="n"/>
      <c r="L146" s="6" t="n">
        <v>11</v>
      </c>
      <c r="M146" s="6" t="n">
        <v>3</v>
      </c>
      <c r="N146" s="6" t="n">
        <v>9207</v>
      </c>
      <c r="O146" s="6">
        <f>IF(OR(I146="On time",I146="Late",I146="Very late"),1,0)</f>
        <v/>
      </c>
      <c r="P146" s="6">
        <f>IF(AND(O146=1,M146=0),1,0)</f>
        <v/>
      </c>
    </row>
    <row r="147">
      <c r="A147" s="10" t="inlineStr">
        <is>
          <t>GRN52258</t>
        </is>
      </c>
      <c r="B147" s="10" t="inlineStr">
        <is>
          <t>PO18533</t>
        </is>
      </c>
      <c r="C147" s="10" t="inlineStr">
        <is>
          <t>SUP2461</t>
        </is>
      </c>
      <c r="D147" s="10">
        <f>INDEX(Suppliers!$B:$B,MATCH(C147,Suppliers!$A:$A,0))</f>
        <v/>
      </c>
      <c r="E147" s="10" t="inlineStr">
        <is>
          <t>Line-haul (road)</t>
        </is>
      </c>
      <c r="F147" s="5" t="n">
        <v>46258</v>
      </c>
      <c r="G147" s="5" t="n">
        <v>46269</v>
      </c>
      <c r="H147" s="5" t="n">
        <v>46269</v>
      </c>
      <c r="I147" s="10" t="inlineStr">
        <is>
          <t>On time</t>
        </is>
      </c>
      <c r="J147" s="6" t="n">
        <v>0</v>
      </c>
      <c r="K147" s="10" t="n"/>
      <c r="L147" s="6" t="n">
        <v>22</v>
      </c>
      <c r="M147" s="6" t="n">
        <v>0</v>
      </c>
      <c r="N147" s="6" t="n">
        <v>5962</v>
      </c>
      <c r="O147" s="6">
        <f>IF(OR(I147="On time",I147="Late",I147="Very late"),1,0)</f>
        <v/>
      </c>
      <c r="P147" s="6">
        <f>IF(AND(O147=1,M147=0),1,0)</f>
        <v/>
      </c>
    </row>
    <row r="148">
      <c r="A148" s="10" t="inlineStr">
        <is>
          <t>GRN52259</t>
        </is>
      </c>
      <c r="B148" s="10" t="inlineStr">
        <is>
          <t>PO18534</t>
        </is>
      </c>
      <c r="C148" s="10" t="inlineStr">
        <is>
          <t>SUP2480</t>
        </is>
      </c>
      <c r="D148" s="10">
        <f>INDEX(Suppliers!$B:$B,MATCH(C148,Suppliers!$A:$A,0))</f>
        <v/>
      </c>
      <c r="E148" s="10" t="inlineStr">
        <is>
          <t>Supplier's own truck</t>
        </is>
      </c>
      <c r="F148" s="5" t="n">
        <v>46266</v>
      </c>
      <c r="G148" s="5" t="n">
        <v>46269</v>
      </c>
      <c r="H148" s="5" t="n">
        <v>46269</v>
      </c>
      <c r="I148" s="10" t="inlineStr">
        <is>
          <t>On time</t>
        </is>
      </c>
      <c r="J148" s="6" t="n">
        <v>0</v>
      </c>
      <c r="K148" s="10" t="n"/>
      <c r="L148" s="6" t="n">
        <v>14</v>
      </c>
      <c r="M148" s="6" t="n">
        <v>0</v>
      </c>
      <c r="N148" s="6" t="n">
        <v>8848</v>
      </c>
      <c r="O148" s="6">
        <f>IF(OR(I148="On time",I148="Late",I148="Very late"),1,0)</f>
        <v/>
      </c>
      <c r="P148" s="6">
        <f>IF(AND(O148=1,M148=0),1,0)</f>
        <v/>
      </c>
    </row>
    <row r="149">
      <c r="A149" s="10" t="inlineStr">
        <is>
          <t>GRN52260</t>
        </is>
      </c>
      <c r="B149" s="10" t="inlineStr">
        <is>
          <t>PO18535</t>
        </is>
      </c>
      <c r="C149" s="10" t="inlineStr">
        <is>
          <t>SUP2542</t>
        </is>
      </c>
      <c r="D149" s="10">
        <f>INDEX(Suppliers!$B:$B,MATCH(C149,Suppliers!$A:$A,0))</f>
        <v/>
      </c>
      <c r="E149" s="10" t="inlineStr">
        <is>
          <t>Supplier's own truck</t>
        </is>
      </c>
      <c r="F149" s="5" t="n">
        <v>46261</v>
      </c>
      <c r="G149" s="5" t="n">
        <v>46269</v>
      </c>
      <c r="H149" s="5" t="n">
        <v>46269</v>
      </c>
      <c r="I149" s="10" t="inlineStr">
        <is>
          <t>On time</t>
        </is>
      </c>
      <c r="J149" s="6" t="n">
        <v>0</v>
      </c>
      <c r="K149" s="10" t="n"/>
      <c r="L149" s="6" t="n">
        <v>5</v>
      </c>
      <c r="M149" s="6" t="n">
        <v>0</v>
      </c>
      <c r="N149" s="6" t="n">
        <v>1855</v>
      </c>
      <c r="O149" s="6">
        <f>IF(OR(I149="On time",I149="Late",I149="Very late"),1,0)</f>
        <v/>
      </c>
      <c r="P149" s="6">
        <f>IF(AND(O149=1,M149=0),1,0)</f>
        <v/>
      </c>
    </row>
    <row r="150">
      <c r="A150" s="10" t="inlineStr">
        <is>
          <t>GRN52261</t>
        </is>
      </c>
      <c r="B150" s="10" t="inlineStr">
        <is>
          <t>PO18536</t>
        </is>
      </c>
      <c r="C150" s="10" t="inlineStr">
        <is>
          <t>SUP2208</t>
        </is>
      </c>
      <c r="D150" s="10">
        <f>INDEX(Suppliers!$B:$B,MATCH(C150,Suppliers!$A:$A,0))</f>
        <v/>
      </c>
      <c r="E150" s="10" t="inlineStr">
        <is>
          <t>Supplier's own truck</t>
        </is>
      </c>
      <c r="F150" s="5" t="n">
        <v>46262</v>
      </c>
      <c r="G150" s="5" t="n">
        <v>46272</v>
      </c>
      <c r="H150" s="5" t="n">
        <v>46273</v>
      </c>
      <c r="I150" s="10" t="inlineStr">
        <is>
          <t>Late</t>
        </is>
      </c>
      <c r="J150" s="6" t="n">
        <v>1</v>
      </c>
      <c r="K150" s="10" t="inlineStr">
        <is>
          <t>Port / customs hold</t>
        </is>
      </c>
      <c r="L150" s="6" t="n">
        <v>23</v>
      </c>
      <c r="M150" s="6" t="n">
        <v>0</v>
      </c>
      <c r="N150" s="6" t="n">
        <v>10741</v>
      </c>
      <c r="O150" s="6">
        <f>IF(OR(I150="On time",I150="Late",I150="Very late"),1,0)</f>
        <v/>
      </c>
      <c r="P150" s="6">
        <f>IF(AND(O150=1,M150=0),1,0)</f>
        <v/>
      </c>
    </row>
    <row r="151">
      <c r="A151" s="10" t="inlineStr">
        <is>
          <t>GRN52262</t>
        </is>
      </c>
      <c r="B151" s="10" t="inlineStr">
        <is>
          <t>PO18537</t>
        </is>
      </c>
      <c r="C151" s="10" t="inlineStr">
        <is>
          <t>SUP2219</t>
        </is>
      </c>
      <c r="D151" s="10">
        <f>INDEX(Suppliers!$B:$B,MATCH(C151,Suppliers!$A:$A,0))</f>
        <v/>
      </c>
      <c r="E151" s="10" t="inlineStr">
        <is>
          <t>Supplier's own truck</t>
        </is>
      </c>
      <c r="F151" s="5" t="n">
        <v>46261</v>
      </c>
      <c r="G151" s="5" t="n">
        <v>46272</v>
      </c>
      <c r="H151" s="5" t="n">
        <v>46272</v>
      </c>
      <c r="I151" s="10" t="inlineStr">
        <is>
          <t>On time</t>
        </is>
      </c>
      <c r="J151" s="6" t="n">
        <v>0</v>
      </c>
      <c r="K151" s="10" t="n"/>
      <c r="L151" s="6" t="n">
        <v>25</v>
      </c>
      <c r="M151" s="6" t="n">
        <v>0</v>
      </c>
      <c r="N151" s="6" t="n">
        <v>17375</v>
      </c>
      <c r="O151" s="6">
        <f>IF(OR(I151="On time",I151="Late",I151="Very late"),1,0)</f>
        <v/>
      </c>
      <c r="P151" s="6">
        <f>IF(AND(O151=1,M151=0),1,0)</f>
        <v/>
      </c>
    </row>
    <row r="152">
      <c r="A152" s="10" t="inlineStr">
        <is>
          <t>GRN52263</t>
        </is>
      </c>
      <c r="B152" s="10" t="inlineStr">
        <is>
          <t>PO18538</t>
        </is>
      </c>
      <c r="C152" s="10" t="inlineStr">
        <is>
          <t>SUP2304</t>
        </is>
      </c>
      <c r="D152" s="10">
        <f>INDEX(Suppliers!$B:$B,MATCH(C152,Suppliers!$A:$A,0))</f>
        <v/>
      </c>
      <c r="E152" s="10" t="inlineStr">
        <is>
          <t>Supplier's own truck</t>
        </is>
      </c>
      <c r="F152" s="5" t="n">
        <v>46265</v>
      </c>
      <c r="G152" s="5" t="n">
        <v>46272</v>
      </c>
      <c r="H152" s="5" t="n">
        <v>46272</v>
      </c>
      <c r="I152" s="10" t="inlineStr">
        <is>
          <t>On time</t>
        </is>
      </c>
      <c r="J152" s="6" t="n">
        <v>0</v>
      </c>
      <c r="K152" s="10" t="n"/>
      <c r="L152" s="6" t="n">
        <v>21</v>
      </c>
      <c r="M152" s="6" t="n">
        <v>0</v>
      </c>
      <c r="N152" s="6" t="n">
        <v>14133</v>
      </c>
      <c r="O152" s="6">
        <f>IF(OR(I152="On time",I152="Late",I152="Very late"),1,0)</f>
        <v/>
      </c>
      <c r="P152" s="6">
        <f>IF(AND(O152=1,M152=0),1,0)</f>
        <v/>
      </c>
    </row>
    <row r="153">
      <c r="A153" s="10" t="inlineStr">
        <is>
          <t>GRN52264</t>
        </is>
      </c>
      <c r="B153" s="10" t="inlineStr">
        <is>
          <t>PO18539</t>
        </is>
      </c>
      <c r="C153" s="10" t="inlineStr">
        <is>
          <t>SUP2461</t>
        </is>
      </c>
      <c r="D153" s="10">
        <f>INDEX(Suppliers!$B:$B,MATCH(C153,Suppliers!$A:$A,0))</f>
        <v/>
      </c>
      <c r="E153" s="10" t="inlineStr">
        <is>
          <t>Line-haul (road)</t>
        </is>
      </c>
      <c r="F153" s="5" t="n">
        <v>46265</v>
      </c>
      <c r="G153" s="5" t="n">
        <v>46272</v>
      </c>
      <c r="H153" s="5" t="n">
        <v>46272</v>
      </c>
      <c r="I153" s="10" t="inlineStr">
        <is>
          <t>On time</t>
        </is>
      </c>
      <c r="J153" s="6" t="n">
        <v>0</v>
      </c>
      <c r="K153" s="10" t="n"/>
      <c r="L153" s="6" t="n">
        <v>21</v>
      </c>
      <c r="M153" s="6" t="n">
        <v>0</v>
      </c>
      <c r="N153" s="6" t="n">
        <v>5754</v>
      </c>
      <c r="O153" s="6">
        <f>IF(OR(I153="On time",I153="Late",I153="Very late"),1,0)</f>
        <v/>
      </c>
      <c r="P153" s="6">
        <f>IF(AND(O153=1,M153=0),1,0)</f>
        <v/>
      </c>
    </row>
    <row r="154">
      <c r="A154" s="10" t="inlineStr">
        <is>
          <t>GRN52265</t>
        </is>
      </c>
      <c r="B154" s="10" t="inlineStr">
        <is>
          <t>PO18540</t>
        </is>
      </c>
      <c r="C154" s="10" t="inlineStr">
        <is>
          <t>SUP2480</t>
        </is>
      </c>
      <c r="D154" s="10">
        <f>INDEX(Suppliers!$B:$B,MATCH(C154,Suppliers!$A:$A,0))</f>
        <v/>
      </c>
      <c r="E154" s="10" t="inlineStr">
        <is>
          <t>Supplier's own truck</t>
        </is>
      </c>
      <c r="F154" s="5" t="n">
        <v>46266</v>
      </c>
      <c r="G154" s="5" t="n">
        <v>46272</v>
      </c>
      <c r="H154" s="5" t="n">
        <v>46272</v>
      </c>
      <c r="I154" s="10" t="inlineStr">
        <is>
          <t>On time</t>
        </is>
      </c>
      <c r="J154" s="6" t="n">
        <v>0</v>
      </c>
      <c r="K154" s="10" t="n"/>
      <c r="L154" s="6" t="n">
        <v>5</v>
      </c>
      <c r="M154" s="6" t="n">
        <v>0</v>
      </c>
      <c r="N154" s="6" t="n">
        <v>4210</v>
      </c>
      <c r="O154" s="6">
        <f>IF(OR(I154="On time",I154="Late",I154="Very late"),1,0)</f>
        <v/>
      </c>
      <c r="P154" s="6">
        <f>IF(AND(O154=1,M154=0),1,0)</f>
        <v/>
      </c>
    </row>
    <row r="155">
      <c r="A155" s="10" t="inlineStr">
        <is>
          <t>GRN52266</t>
        </is>
      </c>
      <c r="B155" s="10" t="inlineStr">
        <is>
          <t>PO18541</t>
        </is>
      </c>
      <c r="C155" s="10" t="inlineStr">
        <is>
          <t>SUP2542</t>
        </is>
      </c>
      <c r="D155" s="10">
        <f>INDEX(Suppliers!$B:$B,MATCH(C155,Suppliers!$A:$A,0))</f>
        <v/>
      </c>
      <c r="E155" s="10" t="inlineStr">
        <is>
          <t>Supplier's own truck</t>
        </is>
      </c>
      <c r="F155" s="5" t="n">
        <v>46265</v>
      </c>
      <c r="G155" s="5" t="n">
        <v>46272</v>
      </c>
      <c r="H155" s="5" t="n">
        <v>46272</v>
      </c>
      <c r="I155" s="10" t="inlineStr">
        <is>
          <t>On time</t>
        </is>
      </c>
      <c r="J155" s="6" t="n">
        <v>0</v>
      </c>
      <c r="K155" s="10" t="n"/>
      <c r="L155" s="6" t="n">
        <v>28</v>
      </c>
      <c r="M155" s="6" t="n">
        <v>0</v>
      </c>
      <c r="N155" s="6" t="n">
        <v>25032</v>
      </c>
      <c r="O155" s="6">
        <f>IF(OR(I155="On time",I155="Late",I155="Very late"),1,0)</f>
        <v/>
      </c>
      <c r="P155" s="6">
        <f>IF(AND(O155=1,M155=0),1,0)</f>
        <v/>
      </c>
    </row>
    <row r="156">
      <c r="A156" s="10" t="inlineStr">
        <is>
          <t>GRN52267</t>
        </is>
      </c>
      <c r="B156" s="10" t="inlineStr">
        <is>
          <t>PO18542</t>
        </is>
      </c>
      <c r="C156" s="10" t="inlineStr">
        <is>
          <t>SUP2208</t>
        </is>
      </c>
      <c r="D156" s="10">
        <f>INDEX(Suppliers!$B:$B,MATCH(C156,Suppliers!$A:$A,0))</f>
        <v/>
      </c>
      <c r="E156" s="10" t="inlineStr">
        <is>
          <t>Supplier's own truck</t>
        </is>
      </c>
      <c r="F156" s="5" t="n">
        <v>46265</v>
      </c>
      <c r="G156" s="5" t="n">
        <v>46273</v>
      </c>
      <c r="H156" s="5" t="n">
        <v>46273</v>
      </c>
      <c r="I156" s="10" t="inlineStr">
        <is>
          <t>On time</t>
        </is>
      </c>
      <c r="J156" s="6" t="n">
        <v>0</v>
      </c>
      <c r="K156" s="10" t="n"/>
      <c r="L156" s="6" t="n">
        <v>6</v>
      </c>
      <c r="M156" s="6" t="n">
        <v>0</v>
      </c>
      <c r="N156" s="6" t="n">
        <v>4854</v>
      </c>
      <c r="O156" s="6">
        <f>IF(OR(I156="On time",I156="Late",I156="Very late"),1,0)</f>
        <v/>
      </c>
      <c r="P156" s="6">
        <f>IF(AND(O156=1,M156=0),1,0)</f>
        <v/>
      </c>
    </row>
    <row r="157">
      <c r="A157" s="10" t="inlineStr">
        <is>
          <t>GRN52268</t>
        </is>
      </c>
      <c r="B157" s="10" t="inlineStr">
        <is>
          <t>PO18543</t>
        </is>
      </c>
      <c r="C157" s="10" t="inlineStr">
        <is>
          <t>SUP2304</t>
        </is>
      </c>
      <c r="D157" s="10">
        <f>INDEX(Suppliers!$B:$B,MATCH(C157,Suppliers!$A:$A,0))</f>
        <v/>
      </c>
      <c r="E157" s="10" t="inlineStr">
        <is>
          <t>Supplier's own truck</t>
        </is>
      </c>
      <c r="F157" s="5" t="n">
        <v>46266</v>
      </c>
      <c r="G157" s="5" t="n">
        <v>46273</v>
      </c>
      <c r="H157" s="5" t="n">
        <v>46273</v>
      </c>
      <c r="I157" s="10" t="inlineStr">
        <is>
          <t>On time</t>
        </is>
      </c>
      <c r="J157" s="6" t="n">
        <v>0</v>
      </c>
      <c r="K157" s="10" t="n"/>
      <c r="L157" s="6" t="n">
        <v>26</v>
      </c>
      <c r="M157" s="6" t="n">
        <v>0</v>
      </c>
      <c r="N157" s="6" t="n">
        <v>16718</v>
      </c>
      <c r="O157" s="6">
        <f>IF(OR(I157="On time",I157="Late",I157="Very late"),1,0)</f>
        <v/>
      </c>
      <c r="P157" s="6">
        <f>IF(AND(O157=1,M157=0),1,0)</f>
        <v/>
      </c>
    </row>
    <row r="158">
      <c r="A158" s="10" t="inlineStr">
        <is>
          <t>GRN52269</t>
        </is>
      </c>
      <c r="B158" s="10" t="inlineStr">
        <is>
          <t>PO18544</t>
        </is>
      </c>
      <c r="C158" s="10" t="inlineStr">
        <is>
          <t>SUP2336</t>
        </is>
      </c>
      <c r="D158" s="10">
        <f>INDEX(Suppliers!$B:$B,MATCH(C158,Suppliers!$A:$A,0))</f>
        <v/>
      </c>
      <c r="E158" s="10" t="inlineStr">
        <is>
          <t>Line-haul (road)</t>
        </is>
      </c>
      <c r="F158" s="5" t="n">
        <v>46261</v>
      </c>
      <c r="G158" s="5" t="n">
        <v>46273</v>
      </c>
      <c r="H158" s="5" t="n">
        <v>46273</v>
      </c>
      <c r="I158" s="10" t="inlineStr">
        <is>
          <t>On time</t>
        </is>
      </c>
      <c r="J158" s="6" t="n">
        <v>0</v>
      </c>
      <c r="K158" s="10" t="n"/>
      <c r="L158" s="6" t="n">
        <v>3</v>
      </c>
      <c r="M158" s="6" t="n">
        <v>0</v>
      </c>
      <c r="N158" s="6" t="n">
        <v>1665</v>
      </c>
      <c r="O158" s="6">
        <f>IF(OR(I158="On time",I158="Late",I158="Very late"),1,0)</f>
        <v/>
      </c>
      <c r="P158" s="6">
        <f>IF(AND(O158=1,M158=0),1,0)</f>
        <v/>
      </c>
    </row>
    <row r="159">
      <c r="A159" s="10" t="inlineStr">
        <is>
          <t>GRN52270</t>
        </is>
      </c>
      <c r="B159" s="10" t="inlineStr">
        <is>
          <t>PO18545</t>
        </is>
      </c>
      <c r="C159" s="10" t="inlineStr">
        <is>
          <t>SUP2461</t>
        </is>
      </c>
      <c r="D159" s="10">
        <f>INDEX(Suppliers!$B:$B,MATCH(C159,Suppliers!$A:$A,0))</f>
        <v/>
      </c>
      <c r="E159" s="10" t="inlineStr">
        <is>
          <t>Line-haul (road)</t>
        </is>
      </c>
      <c r="F159" s="5" t="n">
        <v>46262</v>
      </c>
      <c r="G159" s="5" t="n">
        <v>46273</v>
      </c>
      <c r="H159" s="5" t="n">
        <v>46273</v>
      </c>
      <c r="I159" s="10" t="inlineStr">
        <is>
          <t>On time</t>
        </is>
      </c>
      <c r="J159" s="6" t="n">
        <v>0</v>
      </c>
      <c r="K159" s="10" t="n"/>
      <c r="L159" s="6" t="n">
        <v>29</v>
      </c>
      <c r="M159" s="6" t="n">
        <v>1</v>
      </c>
      <c r="N159" s="6" t="n">
        <v>25549</v>
      </c>
      <c r="O159" s="6">
        <f>IF(OR(I159="On time",I159="Late",I159="Very late"),1,0)</f>
        <v/>
      </c>
      <c r="P159" s="6">
        <f>IF(AND(O159=1,M159=0),1,0)</f>
        <v/>
      </c>
    </row>
    <row r="160">
      <c r="A160" s="10" t="inlineStr">
        <is>
          <t>GRN52271</t>
        </is>
      </c>
      <c r="B160" s="10" t="inlineStr">
        <is>
          <t>PO18546</t>
        </is>
      </c>
      <c r="C160" s="10" t="inlineStr">
        <is>
          <t>SUP2189</t>
        </is>
      </c>
      <c r="D160" s="10">
        <f>INDEX(Suppliers!$B:$B,MATCH(C160,Suppliers!$A:$A,0))</f>
        <v/>
      </c>
      <c r="E160" s="10" t="inlineStr">
        <is>
          <t>Container cartage</t>
        </is>
      </c>
      <c r="F160" s="5" t="n">
        <v>46267</v>
      </c>
      <c r="G160" s="5" t="n">
        <v>46274</v>
      </c>
      <c r="H160" s="5" t="n">
        <v>46274</v>
      </c>
      <c r="I160" s="10" t="inlineStr">
        <is>
          <t>On time</t>
        </is>
      </c>
      <c r="J160" s="6" t="n">
        <v>0</v>
      </c>
      <c r="K160" s="10" t="n"/>
      <c r="L160" s="6" t="n">
        <v>24</v>
      </c>
      <c r="M160" s="6" t="n">
        <v>0</v>
      </c>
      <c r="N160" s="6" t="n">
        <v>17064</v>
      </c>
      <c r="O160" s="6">
        <f>IF(OR(I160="On time",I160="Late",I160="Very late"),1,0)</f>
        <v/>
      </c>
      <c r="P160" s="6">
        <f>IF(AND(O160=1,M160=0),1,0)</f>
        <v/>
      </c>
    </row>
    <row r="161">
      <c r="A161" s="10" t="inlineStr">
        <is>
          <t>GRN52272</t>
        </is>
      </c>
      <c r="B161" s="10" t="inlineStr">
        <is>
          <t>PO18547</t>
        </is>
      </c>
      <c r="C161" s="10" t="inlineStr">
        <is>
          <t>SUP2219</t>
        </is>
      </c>
      <c r="D161" s="10">
        <f>INDEX(Suppliers!$B:$B,MATCH(C161,Suppliers!$A:$A,0))</f>
        <v/>
      </c>
      <c r="E161" s="10" t="inlineStr">
        <is>
          <t>Supplier's own truck</t>
        </is>
      </c>
      <c r="F161" s="5" t="n">
        <v>46269</v>
      </c>
      <c r="G161" s="5" t="n">
        <v>46274</v>
      </c>
      <c r="H161" s="5" t="n">
        <v>46274</v>
      </c>
      <c r="I161" s="10" t="inlineStr">
        <is>
          <t>On time</t>
        </is>
      </c>
      <c r="J161" s="6" t="n">
        <v>0</v>
      </c>
      <c r="K161" s="10" t="n"/>
      <c r="L161" s="6" t="n">
        <v>27</v>
      </c>
      <c r="M161" s="6" t="n">
        <v>0</v>
      </c>
      <c r="N161" s="6" t="n">
        <v>17361</v>
      </c>
      <c r="O161" s="6">
        <f>IF(OR(I161="On time",I161="Late",I161="Very late"),1,0)</f>
        <v/>
      </c>
      <c r="P161" s="6">
        <f>IF(AND(O161=1,M161=0),1,0)</f>
        <v/>
      </c>
    </row>
    <row r="162">
      <c r="A162" s="10" t="inlineStr">
        <is>
          <t>GRN52273</t>
        </is>
      </c>
      <c r="B162" s="10" t="inlineStr">
        <is>
          <t>PO18548</t>
        </is>
      </c>
      <c r="C162" s="10" t="inlineStr">
        <is>
          <t>SUP2304</t>
        </is>
      </c>
      <c r="D162" s="10">
        <f>INDEX(Suppliers!$B:$B,MATCH(C162,Suppliers!$A:$A,0))</f>
        <v/>
      </c>
      <c r="E162" s="10" t="inlineStr">
        <is>
          <t>Supplier's own truck</t>
        </is>
      </c>
      <c r="F162" s="5" t="n">
        <v>46269</v>
      </c>
      <c r="G162" s="5" t="n">
        <v>46274</v>
      </c>
      <c r="H162" s="5" t="n">
        <v>46274</v>
      </c>
      <c r="I162" s="10" t="inlineStr">
        <is>
          <t>On time</t>
        </is>
      </c>
      <c r="J162" s="6" t="n">
        <v>0</v>
      </c>
      <c r="K162" s="10" t="n"/>
      <c r="L162" s="6" t="n">
        <v>24</v>
      </c>
      <c r="M162" s="6" t="n">
        <v>0</v>
      </c>
      <c r="N162" s="6" t="n">
        <v>9312</v>
      </c>
      <c r="O162" s="6">
        <f>IF(OR(I162="On time",I162="Late",I162="Very late"),1,0)</f>
        <v/>
      </c>
      <c r="P162" s="6">
        <f>IF(AND(O162=1,M162=0),1,0)</f>
        <v/>
      </c>
    </row>
    <row r="163">
      <c r="A163" s="10" t="inlineStr">
        <is>
          <t>GRN52274</t>
        </is>
      </c>
      <c r="B163" s="10" t="inlineStr">
        <is>
          <t>PO18550</t>
        </is>
      </c>
      <c r="C163" s="10" t="inlineStr">
        <is>
          <t>SUP2422</t>
        </is>
      </c>
      <c r="D163" s="10">
        <f>INDEX(Suppliers!$B:$B,MATCH(C163,Suppliers!$A:$A,0))</f>
        <v/>
      </c>
      <c r="E163" s="10" t="inlineStr">
        <is>
          <t>Line-haul (rail)</t>
        </is>
      </c>
      <c r="F163" s="5" t="n">
        <v>46261</v>
      </c>
      <c r="G163" s="5" t="n">
        <v>46274</v>
      </c>
      <c r="H163" s="5" t="n">
        <v>46274</v>
      </c>
      <c r="I163" s="10" t="inlineStr">
        <is>
          <t>On time</t>
        </is>
      </c>
      <c r="J163" s="6" t="n">
        <v>0</v>
      </c>
      <c r="K163" s="10" t="n"/>
      <c r="L163" s="6" t="n">
        <v>10</v>
      </c>
      <c r="M163" s="6" t="n">
        <v>3</v>
      </c>
      <c r="N163" s="6" t="n">
        <v>6360</v>
      </c>
      <c r="O163" s="6">
        <f>IF(OR(I163="On time",I163="Late",I163="Very late"),1,0)</f>
        <v/>
      </c>
      <c r="P163" s="6">
        <f>IF(AND(O163=1,M163=0),1,0)</f>
        <v/>
      </c>
    </row>
    <row r="164">
      <c r="A164" s="10" t="inlineStr">
        <is>
          <t>GRN52275</t>
        </is>
      </c>
      <c r="B164" s="10" t="inlineStr">
        <is>
          <t>PO18551</t>
        </is>
      </c>
      <c r="C164" s="10" t="inlineStr">
        <is>
          <t>SUP2480</t>
        </is>
      </c>
      <c r="D164" s="10">
        <f>INDEX(Suppliers!$B:$B,MATCH(C164,Suppliers!$A:$A,0))</f>
        <v/>
      </c>
      <c r="E164" s="10" t="inlineStr">
        <is>
          <t>Supplier's own truck</t>
        </is>
      </c>
      <c r="F164" s="5" t="n">
        <v>46265</v>
      </c>
      <c r="G164" s="5" t="n">
        <v>46274</v>
      </c>
      <c r="H164" s="5" t="n">
        <v>46274</v>
      </c>
      <c r="I164" s="10" t="inlineStr">
        <is>
          <t>On time</t>
        </is>
      </c>
      <c r="J164" s="6" t="n">
        <v>0</v>
      </c>
      <c r="K164" s="10" t="n"/>
      <c r="L164" s="6" t="n">
        <v>17</v>
      </c>
      <c r="M164" s="6" t="n">
        <v>0</v>
      </c>
      <c r="N164" s="6" t="n">
        <v>11951</v>
      </c>
      <c r="O164" s="6">
        <f>IF(OR(I164="On time",I164="Late",I164="Very late"),1,0)</f>
        <v/>
      </c>
      <c r="P164" s="6">
        <f>IF(AND(O164=1,M164=0),1,0)</f>
        <v/>
      </c>
    </row>
    <row r="165">
      <c r="A165" s="10" t="inlineStr">
        <is>
          <t>GRN52276</t>
        </is>
      </c>
      <c r="B165" s="10" t="inlineStr">
        <is>
          <t>PO18553</t>
        </is>
      </c>
      <c r="C165" s="10" t="inlineStr">
        <is>
          <t>SUP2542</t>
        </is>
      </c>
      <c r="D165" s="10">
        <f>INDEX(Suppliers!$B:$B,MATCH(C165,Suppliers!$A:$A,0))</f>
        <v/>
      </c>
      <c r="E165" s="10" t="inlineStr">
        <is>
          <t>Supplier's own truck</t>
        </is>
      </c>
      <c r="F165" s="5" t="n">
        <v>46265</v>
      </c>
      <c r="G165" s="5" t="n">
        <v>46274</v>
      </c>
      <c r="H165" s="5" t="n">
        <v>46274</v>
      </c>
      <c r="I165" s="10" t="inlineStr">
        <is>
          <t>On time</t>
        </is>
      </c>
      <c r="J165" s="6" t="n">
        <v>0</v>
      </c>
      <c r="K165" s="10" t="n"/>
      <c r="L165" s="6" t="n">
        <v>24</v>
      </c>
      <c r="M165" s="6" t="n">
        <v>0</v>
      </c>
      <c r="N165" s="6" t="n">
        <v>19752</v>
      </c>
      <c r="O165" s="6">
        <f>IF(OR(I165="On time",I165="Late",I165="Very late"),1,0)</f>
        <v/>
      </c>
      <c r="P165" s="6">
        <f>IF(AND(O165=1,M165=0),1,0)</f>
        <v/>
      </c>
    </row>
    <row r="166">
      <c r="A166" s="10" t="inlineStr">
        <is>
          <t>GRN52277</t>
        </is>
      </c>
      <c r="B166" s="10" t="inlineStr">
        <is>
          <t>PO18554</t>
        </is>
      </c>
      <c r="C166" s="10" t="inlineStr">
        <is>
          <t>SUP2078</t>
        </is>
      </c>
      <c r="D166" s="10">
        <f>INDEX(Suppliers!$B:$B,MATCH(C166,Suppliers!$A:$A,0))</f>
        <v/>
      </c>
      <c r="E166" s="10" t="inlineStr">
        <is>
          <t>Line-haul (road)</t>
        </is>
      </c>
      <c r="F166" s="5" t="n">
        <v>46268</v>
      </c>
      <c r="G166" s="5" t="n">
        <v>46275</v>
      </c>
      <c r="H166" s="5" t="n">
        <v>46275</v>
      </c>
      <c r="I166" s="10" t="inlineStr">
        <is>
          <t>On time</t>
        </is>
      </c>
      <c r="J166" s="6" t="n">
        <v>0</v>
      </c>
      <c r="K166" s="10" t="n"/>
      <c r="L166" s="6" t="n">
        <v>15</v>
      </c>
      <c r="M166" s="6" t="n">
        <v>0</v>
      </c>
      <c r="N166" s="6" t="n">
        <v>10920</v>
      </c>
      <c r="O166" s="6">
        <f>IF(OR(I166="On time",I166="Late",I166="Very late"),1,0)</f>
        <v/>
      </c>
      <c r="P166" s="6">
        <f>IF(AND(O166=1,M166=0),1,0)</f>
        <v/>
      </c>
    </row>
    <row r="167">
      <c r="A167" s="10" t="inlineStr">
        <is>
          <t>GRN52278</t>
        </is>
      </c>
      <c r="B167" s="10" t="inlineStr">
        <is>
          <t>PO18556</t>
        </is>
      </c>
      <c r="C167" s="10" t="inlineStr">
        <is>
          <t>SUP2109</t>
        </is>
      </c>
      <c r="D167" s="10">
        <f>INDEX(Suppliers!$B:$B,MATCH(C167,Suppliers!$A:$A,0))</f>
        <v/>
      </c>
      <c r="E167" s="10" t="inlineStr">
        <is>
          <t>Line-haul (road)</t>
        </is>
      </c>
      <c r="F167" s="5" t="n">
        <v>46265</v>
      </c>
      <c r="G167" s="5" t="n">
        <v>46275</v>
      </c>
      <c r="H167" s="5" t="n">
        <v>46275</v>
      </c>
      <c r="I167" s="10" t="inlineStr">
        <is>
          <t>On time</t>
        </is>
      </c>
      <c r="J167" s="6" t="n">
        <v>0</v>
      </c>
      <c r="K167" s="10" t="n"/>
      <c r="L167" s="6" t="n">
        <v>16</v>
      </c>
      <c r="M167" s="6" t="n">
        <v>0</v>
      </c>
      <c r="N167" s="6" t="n">
        <v>5216</v>
      </c>
      <c r="O167" s="6">
        <f>IF(OR(I167="On time",I167="Late",I167="Very late"),1,0)</f>
        <v/>
      </c>
      <c r="P167" s="6">
        <f>IF(AND(O167=1,M167=0),1,0)</f>
        <v/>
      </c>
    </row>
    <row r="168">
      <c r="A168" s="10" t="inlineStr">
        <is>
          <t>GRN52279</t>
        </is>
      </c>
      <c r="B168" s="10" t="inlineStr">
        <is>
          <t>PO18557</t>
        </is>
      </c>
      <c r="C168" s="10" t="inlineStr">
        <is>
          <t>SUP2189</t>
        </is>
      </c>
      <c r="D168" s="10">
        <f>INDEX(Suppliers!$B:$B,MATCH(C168,Suppliers!$A:$A,0))</f>
        <v/>
      </c>
      <c r="E168" s="10" t="inlineStr">
        <is>
          <t>Container cartage</t>
        </is>
      </c>
      <c r="F168" s="5" t="n">
        <v>46268</v>
      </c>
      <c r="G168" s="5" t="n">
        <v>46275</v>
      </c>
      <c r="H168" s="5" t="n">
        <v>46275</v>
      </c>
      <c r="I168" s="10" t="inlineStr">
        <is>
          <t>On time</t>
        </is>
      </c>
      <c r="J168" s="6" t="n">
        <v>0</v>
      </c>
      <c r="K168" s="10" t="n"/>
      <c r="L168" s="6" t="n">
        <v>24</v>
      </c>
      <c r="M168" s="6" t="n">
        <v>0</v>
      </c>
      <c r="N168" s="6" t="n">
        <v>19008</v>
      </c>
      <c r="O168" s="6">
        <f>IF(OR(I168="On time",I168="Late",I168="Very late"),1,0)</f>
        <v/>
      </c>
      <c r="P168" s="6">
        <f>IF(AND(O168=1,M168=0),1,0)</f>
        <v/>
      </c>
    </row>
    <row r="169">
      <c r="A169" s="10" t="inlineStr">
        <is>
          <t>GRN52280</t>
        </is>
      </c>
      <c r="B169" s="10" t="inlineStr">
        <is>
          <t>PO18558</t>
        </is>
      </c>
      <c r="C169" s="10" t="inlineStr">
        <is>
          <t>SUP2208</t>
        </is>
      </c>
      <c r="D169" s="10">
        <f>INDEX(Suppliers!$B:$B,MATCH(C169,Suppliers!$A:$A,0))</f>
        <v/>
      </c>
      <c r="E169" s="10" t="inlineStr">
        <is>
          <t>Supplier's own truck</t>
        </is>
      </c>
      <c r="F169" s="5" t="n">
        <v>46266</v>
      </c>
      <c r="G169" s="5" t="n">
        <v>46275</v>
      </c>
      <c r="H169" s="5" t="n">
        <v>46275</v>
      </c>
      <c r="I169" s="10" t="inlineStr">
        <is>
          <t>On time</t>
        </is>
      </c>
      <c r="J169" s="6" t="n">
        <v>0</v>
      </c>
      <c r="K169" s="10" t="n"/>
      <c r="L169" s="6" t="n">
        <v>9</v>
      </c>
      <c r="M169" s="6" t="n">
        <v>0</v>
      </c>
      <c r="N169" s="6" t="n">
        <v>3672</v>
      </c>
      <c r="O169" s="6">
        <f>IF(OR(I169="On time",I169="Late",I169="Very late"),1,0)</f>
        <v/>
      </c>
      <c r="P169" s="6">
        <f>IF(AND(O169=1,M169=0),1,0)</f>
        <v/>
      </c>
    </row>
    <row r="170">
      <c r="A170" s="10" t="inlineStr">
        <is>
          <t>GRN52281</t>
        </is>
      </c>
      <c r="B170" s="10" t="inlineStr">
        <is>
          <t>PO18559</t>
        </is>
      </c>
      <c r="C170" s="10" t="inlineStr">
        <is>
          <t>SUP2304</t>
        </is>
      </c>
      <c r="D170" s="10">
        <f>INDEX(Suppliers!$B:$B,MATCH(C170,Suppliers!$A:$A,0))</f>
        <v/>
      </c>
      <c r="E170" s="10" t="inlineStr">
        <is>
          <t>Supplier's own truck</t>
        </is>
      </c>
      <c r="F170" s="5" t="n">
        <v>46272</v>
      </c>
      <c r="G170" s="5" t="n">
        <v>46275</v>
      </c>
      <c r="H170" s="5" t="n">
        <v>46275</v>
      </c>
      <c r="I170" s="10" t="inlineStr">
        <is>
          <t>On time</t>
        </is>
      </c>
      <c r="J170" s="6" t="n">
        <v>0</v>
      </c>
      <c r="K170" s="10" t="n"/>
      <c r="L170" s="6" t="n">
        <v>17</v>
      </c>
      <c r="M170" s="6" t="n">
        <v>0</v>
      </c>
      <c r="N170" s="6" t="n">
        <v>10489</v>
      </c>
      <c r="O170" s="6">
        <f>IF(OR(I170="On time",I170="Late",I170="Very late"),1,0)</f>
        <v/>
      </c>
      <c r="P170" s="6">
        <f>IF(AND(O170=1,M170=0),1,0)</f>
        <v/>
      </c>
    </row>
    <row r="171">
      <c r="A171" s="10" t="inlineStr">
        <is>
          <t>GRN52282</t>
        </is>
      </c>
      <c r="B171" s="10" t="inlineStr">
        <is>
          <t>PO18561</t>
        </is>
      </c>
      <c r="C171" s="10" t="inlineStr">
        <is>
          <t>SUP2438</t>
        </is>
      </c>
      <c r="D171" s="10">
        <f>INDEX(Suppliers!$B:$B,MATCH(C171,Suppliers!$A:$A,0))</f>
        <v/>
      </c>
      <c r="E171" s="10" t="inlineStr">
        <is>
          <t>Line-haul (road)</t>
        </is>
      </c>
      <c r="F171" s="5" t="n">
        <v>46269</v>
      </c>
      <c r="G171" s="5" t="n">
        <v>46275</v>
      </c>
      <c r="H171" s="5" t="n">
        <v>46275</v>
      </c>
      <c r="I171" s="10" t="inlineStr">
        <is>
          <t>On time</t>
        </is>
      </c>
      <c r="J171" s="6" t="n">
        <v>0</v>
      </c>
      <c r="K171" s="10" t="n"/>
      <c r="L171" s="6" t="n">
        <v>28</v>
      </c>
      <c r="M171" s="6" t="n">
        <v>0</v>
      </c>
      <c r="N171" s="6" t="n">
        <v>14280</v>
      </c>
      <c r="O171" s="6">
        <f>IF(OR(I171="On time",I171="Late",I171="Very late"),1,0)</f>
        <v/>
      </c>
      <c r="P171" s="6">
        <f>IF(AND(O171=1,M171=0),1,0)</f>
        <v/>
      </c>
    </row>
    <row r="172">
      <c r="A172" s="10" t="inlineStr">
        <is>
          <t>GRN52283</t>
        </is>
      </c>
      <c r="B172" s="10" t="inlineStr">
        <is>
          <t>PO18562</t>
        </is>
      </c>
      <c r="C172" s="10" t="inlineStr">
        <is>
          <t>SUP2506</t>
        </is>
      </c>
      <c r="D172" s="10">
        <f>INDEX(Suppliers!$B:$B,MATCH(C172,Suppliers!$A:$A,0))</f>
        <v/>
      </c>
      <c r="E172" s="10" t="inlineStr">
        <is>
          <t>Air freight</t>
        </is>
      </c>
      <c r="F172" s="5" t="n">
        <v>46267</v>
      </c>
      <c r="G172" s="5" t="n">
        <v>46275</v>
      </c>
      <c r="H172" s="5" t="n">
        <v>46275</v>
      </c>
      <c r="I172" s="10" t="inlineStr">
        <is>
          <t>On time</t>
        </is>
      </c>
      <c r="J172" s="6" t="n">
        <v>0</v>
      </c>
      <c r="K172" s="10" t="n"/>
      <c r="L172" s="6" t="n">
        <v>6</v>
      </c>
      <c r="M172" s="6" t="n">
        <v>0</v>
      </c>
      <c r="N172" s="6" t="n">
        <v>4950</v>
      </c>
      <c r="O172" s="6">
        <f>IF(OR(I172="On time",I172="Late",I172="Very late"),1,0)</f>
        <v/>
      </c>
      <c r="P172" s="6">
        <f>IF(AND(O172=1,M172=0),1,0)</f>
        <v/>
      </c>
    </row>
    <row r="173">
      <c r="A173" s="10" t="inlineStr">
        <is>
          <t>GRN52284</t>
        </is>
      </c>
      <c r="B173" s="10" t="inlineStr">
        <is>
          <t>PO18563</t>
        </is>
      </c>
      <c r="C173" s="10" t="inlineStr">
        <is>
          <t>SUP2109</t>
        </is>
      </c>
      <c r="D173" s="10">
        <f>INDEX(Suppliers!$B:$B,MATCH(C173,Suppliers!$A:$A,0))</f>
        <v/>
      </c>
      <c r="E173" s="10" t="inlineStr">
        <is>
          <t>Line-haul (road)</t>
        </is>
      </c>
      <c r="F173" s="5" t="n">
        <v>46267</v>
      </c>
      <c r="G173" s="5" t="n">
        <v>46276</v>
      </c>
      <c r="H173" s="5" t="n">
        <v>46276</v>
      </c>
      <c r="I173" s="10" t="inlineStr">
        <is>
          <t>On time</t>
        </is>
      </c>
      <c r="J173" s="6" t="n">
        <v>0</v>
      </c>
      <c r="K173" s="10" t="n"/>
      <c r="L173" s="6" t="n">
        <v>18</v>
      </c>
      <c r="M173" s="6" t="n">
        <v>0</v>
      </c>
      <c r="N173" s="6" t="n">
        <v>10656</v>
      </c>
      <c r="O173" s="6">
        <f>IF(OR(I173="On time",I173="Late",I173="Very late"),1,0)</f>
        <v/>
      </c>
      <c r="P173" s="6">
        <f>IF(AND(O173=1,M173=0),1,0)</f>
        <v/>
      </c>
    </row>
    <row r="174">
      <c r="A174" s="10" t="inlineStr">
        <is>
          <t>GRN52285</t>
        </is>
      </c>
      <c r="B174" s="10" t="inlineStr">
        <is>
          <t>PO18564</t>
        </is>
      </c>
      <c r="C174" s="10" t="inlineStr">
        <is>
          <t>SUP2304</t>
        </is>
      </c>
      <c r="D174" s="10">
        <f>INDEX(Suppliers!$B:$B,MATCH(C174,Suppliers!$A:$A,0))</f>
        <v/>
      </c>
      <c r="E174" s="10" t="inlineStr">
        <is>
          <t>Supplier's own truck</t>
        </is>
      </c>
      <c r="F174" s="5" t="n">
        <v>46269</v>
      </c>
      <c r="G174" s="5" t="n">
        <v>46276</v>
      </c>
      <c r="H174" s="5" t="n">
        <v>46276</v>
      </c>
      <c r="I174" s="10" t="inlineStr">
        <is>
          <t>On time</t>
        </is>
      </c>
      <c r="J174" s="6" t="n">
        <v>0</v>
      </c>
      <c r="K174" s="10" t="n"/>
      <c r="L174" s="6" t="n">
        <v>3</v>
      </c>
      <c r="M174" s="6" t="n">
        <v>0</v>
      </c>
      <c r="N174" s="6" t="n">
        <v>1242</v>
      </c>
      <c r="O174" s="6">
        <f>IF(OR(I174="On time",I174="Late",I174="Very late"),1,0)</f>
        <v/>
      </c>
      <c r="P174" s="6">
        <f>IF(AND(O174=1,M174=0),1,0)</f>
        <v/>
      </c>
    </row>
    <row r="175">
      <c r="A175" s="10" t="inlineStr">
        <is>
          <t>GRN52286</t>
        </is>
      </c>
      <c r="B175" s="10" t="inlineStr">
        <is>
          <t>PO18565</t>
        </is>
      </c>
      <c r="C175" s="10" t="inlineStr">
        <is>
          <t>SUP2336</t>
        </is>
      </c>
      <c r="D175" s="10">
        <f>INDEX(Suppliers!$B:$B,MATCH(C175,Suppliers!$A:$A,0))</f>
        <v/>
      </c>
      <c r="E175" s="10" t="inlineStr">
        <is>
          <t>Line-haul (road)</t>
        </is>
      </c>
      <c r="F175" s="5" t="n">
        <v>46265</v>
      </c>
      <c r="G175" s="5" t="n">
        <v>46276</v>
      </c>
      <c r="H175" s="5" t="n">
        <v>46276</v>
      </c>
      <c r="I175" s="10" t="inlineStr">
        <is>
          <t>On time</t>
        </is>
      </c>
      <c r="J175" s="6" t="n">
        <v>0</v>
      </c>
      <c r="K175" s="10" t="n"/>
      <c r="L175" s="6" t="n">
        <v>7</v>
      </c>
      <c r="M175" s="6" t="n">
        <v>0</v>
      </c>
      <c r="N175" s="6" t="n">
        <v>5544</v>
      </c>
      <c r="O175" s="6">
        <f>IF(OR(I175="On time",I175="Late",I175="Very late"),1,0)</f>
        <v/>
      </c>
      <c r="P175" s="6">
        <f>IF(AND(O175=1,M175=0),1,0)</f>
        <v/>
      </c>
    </row>
    <row r="176">
      <c r="A176" s="10" t="inlineStr">
        <is>
          <t>GRN52287</t>
        </is>
      </c>
      <c r="B176" s="10" t="inlineStr">
        <is>
          <t>PO18567</t>
        </is>
      </c>
      <c r="C176" s="10" t="inlineStr">
        <is>
          <t>SUP2438</t>
        </is>
      </c>
      <c r="D176" s="10">
        <f>INDEX(Suppliers!$B:$B,MATCH(C176,Suppliers!$A:$A,0))</f>
        <v/>
      </c>
      <c r="E176" s="10" t="inlineStr">
        <is>
          <t>Line-haul (road)</t>
        </is>
      </c>
      <c r="F176" s="5" t="n">
        <v>46266</v>
      </c>
      <c r="G176" s="5" t="n">
        <v>46276</v>
      </c>
      <c r="H176" s="5" t="n">
        <v>46276</v>
      </c>
      <c r="I176" s="10" t="inlineStr">
        <is>
          <t>On time</t>
        </is>
      </c>
      <c r="J176" s="6" t="n">
        <v>0</v>
      </c>
      <c r="K176" s="10" t="n"/>
      <c r="L176" s="6" t="n">
        <v>30</v>
      </c>
      <c r="M176" s="6" t="n">
        <v>0</v>
      </c>
      <c r="N176" s="6" t="n">
        <v>11040</v>
      </c>
      <c r="O176" s="6">
        <f>IF(OR(I176="On time",I176="Late",I176="Very late"),1,0)</f>
        <v/>
      </c>
      <c r="P176" s="6">
        <f>IF(AND(O176=1,M176=0),1,0)</f>
        <v/>
      </c>
    </row>
    <row r="177">
      <c r="A177" s="10" t="inlineStr">
        <is>
          <t>GRN52288</t>
        </is>
      </c>
      <c r="B177" s="10" t="inlineStr">
        <is>
          <t>PO18568</t>
        </is>
      </c>
      <c r="C177" s="10" t="inlineStr">
        <is>
          <t>SUP2480</t>
        </is>
      </c>
      <c r="D177" s="10">
        <f>INDEX(Suppliers!$B:$B,MATCH(C177,Suppliers!$A:$A,0))</f>
        <v/>
      </c>
      <c r="E177" s="10" t="inlineStr">
        <is>
          <t>Supplier's own truck</t>
        </is>
      </c>
      <c r="F177" s="5" t="n">
        <v>46268</v>
      </c>
      <c r="G177" s="5" t="n">
        <v>46276</v>
      </c>
      <c r="H177" s="5" t="n">
        <v>46276</v>
      </c>
      <c r="I177" s="10" t="inlineStr">
        <is>
          <t>On time</t>
        </is>
      </c>
      <c r="J177" s="6" t="n">
        <v>0</v>
      </c>
      <c r="K177" s="10" t="n"/>
      <c r="L177" s="6" t="n">
        <v>28</v>
      </c>
      <c r="M177" s="6" t="n">
        <v>0</v>
      </c>
      <c r="N177" s="6" t="n">
        <v>19012</v>
      </c>
      <c r="O177" s="6">
        <f>IF(OR(I177="On time",I177="Late",I177="Very late"),1,0)</f>
        <v/>
      </c>
      <c r="P177" s="6">
        <f>IF(AND(O177=1,M177=0),1,0)</f>
        <v/>
      </c>
    </row>
    <row r="178">
      <c r="A178" s="10" t="inlineStr">
        <is>
          <t>GRN52289</t>
        </is>
      </c>
      <c r="B178" s="10" t="inlineStr">
        <is>
          <t>PO18569</t>
        </is>
      </c>
      <c r="C178" s="10" t="inlineStr">
        <is>
          <t>SUP2542</t>
        </is>
      </c>
      <c r="D178" s="10">
        <f>INDEX(Suppliers!$B:$B,MATCH(C178,Suppliers!$A:$A,0))</f>
        <v/>
      </c>
      <c r="E178" s="10" t="inlineStr">
        <is>
          <t>Supplier's own truck</t>
        </is>
      </c>
      <c r="F178" s="5" t="n">
        <v>46268</v>
      </c>
      <c r="G178" s="5" t="n">
        <v>46276</v>
      </c>
      <c r="H178" s="5" t="n">
        <v>46276</v>
      </c>
      <c r="I178" s="10" t="inlineStr">
        <is>
          <t>On time</t>
        </is>
      </c>
      <c r="J178" s="6" t="n">
        <v>0</v>
      </c>
      <c r="K178" s="10" t="n"/>
      <c r="L178" s="6" t="n">
        <v>5</v>
      </c>
      <c r="M178" s="6" t="n">
        <v>0</v>
      </c>
      <c r="N178" s="6" t="n">
        <v>3495</v>
      </c>
      <c r="O178" s="6">
        <f>IF(OR(I178="On time",I178="Late",I178="Very late"),1,0)</f>
        <v/>
      </c>
      <c r="P178" s="6">
        <f>IF(AND(O178=1,M178=0),1,0)</f>
        <v/>
      </c>
    </row>
    <row r="179">
      <c r="A179" s="10" t="inlineStr">
        <is>
          <t>GRN52290</t>
        </is>
      </c>
      <c r="B179" s="10" t="inlineStr">
        <is>
          <t>PO18570</t>
        </is>
      </c>
      <c r="C179" s="10" t="inlineStr">
        <is>
          <t>SUP2438</t>
        </is>
      </c>
      <c r="D179" s="10">
        <f>INDEX(Suppliers!$B:$B,MATCH(C179,Suppliers!$A:$A,0))</f>
        <v/>
      </c>
      <c r="E179" s="10" t="inlineStr">
        <is>
          <t>Line-haul (road)</t>
        </is>
      </c>
      <c r="F179" s="5" t="n">
        <v>46272</v>
      </c>
      <c r="G179" s="5" t="n">
        <v>46279</v>
      </c>
      <c r="H179" s="5" t="n">
        <v>46279</v>
      </c>
      <c r="I179" s="10" t="inlineStr">
        <is>
          <t>On time</t>
        </is>
      </c>
      <c r="J179" s="6" t="n">
        <v>0</v>
      </c>
      <c r="K179" s="10" t="n"/>
      <c r="L179" s="6" t="n">
        <v>13</v>
      </c>
      <c r="M179" s="6" t="n">
        <v>0</v>
      </c>
      <c r="N179" s="6" t="n">
        <v>9828</v>
      </c>
      <c r="O179" s="6">
        <f>IF(OR(I179="On time",I179="Late",I179="Very late"),1,0)</f>
        <v/>
      </c>
      <c r="P179" s="6">
        <f>IF(AND(O179=1,M179=0),1,0)</f>
        <v/>
      </c>
    </row>
    <row r="180">
      <c r="A180" s="10" t="inlineStr">
        <is>
          <t>GRN52292</t>
        </is>
      </c>
      <c r="B180" s="10" t="inlineStr">
        <is>
          <t>PO18571</t>
        </is>
      </c>
      <c r="C180" s="10" t="inlineStr">
        <is>
          <t>SUP2480</t>
        </is>
      </c>
      <c r="D180" s="10">
        <f>INDEX(Suppliers!$B:$B,MATCH(C180,Suppliers!$A:$A,0))</f>
        <v/>
      </c>
      <c r="E180" s="10" t="inlineStr">
        <is>
          <t>Supplier's own truck</t>
        </is>
      </c>
      <c r="F180" s="5" t="n">
        <v>46274</v>
      </c>
      <c r="G180" s="5" t="n">
        <v>46279</v>
      </c>
      <c r="H180" s="5" t="n">
        <v>46279</v>
      </c>
      <c r="I180" s="10" t="inlineStr">
        <is>
          <t>On time</t>
        </is>
      </c>
      <c r="J180" s="6" t="n">
        <v>0</v>
      </c>
      <c r="K180" s="10" t="n"/>
      <c r="L180" s="6" t="n">
        <v>16</v>
      </c>
      <c r="M180" s="6" t="n">
        <v>0</v>
      </c>
      <c r="N180" s="6" t="n">
        <v>8544</v>
      </c>
      <c r="O180" s="6">
        <f>IF(OR(I180="On time",I180="Late",I180="Very late"),1,0)</f>
        <v/>
      </c>
      <c r="P180" s="6">
        <f>IF(AND(O180=1,M180=0),1,0)</f>
        <v/>
      </c>
    </row>
    <row r="181">
      <c r="A181" s="10" t="inlineStr">
        <is>
          <t>GRN52293</t>
        </is>
      </c>
      <c r="B181" s="10" t="inlineStr">
        <is>
          <t>PO18572</t>
        </is>
      </c>
      <c r="C181" s="10" t="inlineStr">
        <is>
          <t>SUP2542</t>
        </is>
      </c>
      <c r="D181" s="10">
        <f>INDEX(Suppliers!$B:$B,MATCH(C181,Suppliers!$A:$A,0))</f>
        <v/>
      </c>
      <c r="E181" s="10" t="inlineStr">
        <is>
          <t>Supplier's own truck</t>
        </is>
      </c>
      <c r="F181" s="5" t="n">
        <v>46268</v>
      </c>
      <c r="G181" s="5" t="n">
        <v>46279</v>
      </c>
      <c r="H181" s="5" t="n">
        <v>46279</v>
      </c>
      <c r="I181" s="10" t="inlineStr">
        <is>
          <t>On time</t>
        </is>
      </c>
      <c r="J181" s="6" t="n">
        <v>0</v>
      </c>
      <c r="K181" s="10" t="n"/>
      <c r="L181" s="6" t="n">
        <v>15</v>
      </c>
      <c r="M181" s="6" t="n">
        <v>0</v>
      </c>
      <c r="N181" s="6" t="n">
        <v>10335</v>
      </c>
      <c r="O181" s="6">
        <f>IF(OR(I181="On time",I181="Late",I181="Very late"),1,0)</f>
        <v/>
      </c>
      <c r="P181" s="6">
        <f>IF(AND(O181=1,M181=0),1,0)</f>
        <v/>
      </c>
    </row>
    <row r="182">
      <c r="A182" s="10" t="inlineStr">
        <is>
          <t>GRN52294</t>
        </is>
      </c>
      <c r="B182" s="10" t="inlineStr">
        <is>
          <t>PO18573</t>
        </is>
      </c>
      <c r="C182" s="10" t="inlineStr">
        <is>
          <t>SUP2189</t>
        </is>
      </c>
      <c r="D182" s="10">
        <f>INDEX(Suppliers!$B:$B,MATCH(C182,Suppliers!$A:$A,0))</f>
        <v/>
      </c>
      <c r="E182" s="10" t="inlineStr">
        <is>
          <t>Container cartage</t>
        </is>
      </c>
      <c r="F182" s="5" t="n">
        <v>46272</v>
      </c>
      <c r="G182" s="5" t="n">
        <v>46280</v>
      </c>
      <c r="H182" s="5" t="n">
        <v>46280</v>
      </c>
      <c r="I182" s="10" t="inlineStr">
        <is>
          <t>On time</t>
        </is>
      </c>
      <c r="J182" s="6" t="n">
        <v>0</v>
      </c>
      <c r="K182" s="10" t="n"/>
      <c r="L182" s="6" t="n">
        <v>23</v>
      </c>
      <c r="M182" s="6" t="n">
        <v>0</v>
      </c>
      <c r="N182" s="6" t="n">
        <v>16859</v>
      </c>
      <c r="O182" s="6">
        <f>IF(OR(I182="On time",I182="Late",I182="Very late"),1,0)</f>
        <v/>
      </c>
      <c r="P182" s="6">
        <f>IF(AND(O182=1,M182=0),1,0)</f>
        <v/>
      </c>
    </row>
    <row r="183">
      <c r="A183" s="10" t="inlineStr">
        <is>
          <t>GRN52295</t>
        </is>
      </c>
      <c r="B183" s="10" t="inlineStr">
        <is>
          <t>PO18575</t>
        </is>
      </c>
      <c r="C183" s="10" t="inlineStr">
        <is>
          <t>SUP2208</t>
        </is>
      </c>
      <c r="D183" s="10">
        <f>INDEX(Suppliers!$B:$B,MATCH(C183,Suppliers!$A:$A,0))</f>
        <v/>
      </c>
      <c r="E183" s="10" t="inlineStr">
        <is>
          <t>Supplier's own truck</t>
        </is>
      </c>
      <c r="F183" s="5" t="n">
        <v>46273</v>
      </c>
      <c r="G183" s="5" t="n">
        <v>46280</v>
      </c>
      <c r="H183" s="5" t="n">
        <v>46280</v>
      </c>
      <c r="I183" s="10" t="inlineStr">
        <is>
          <t>On time</t>
        </is>
      </c>
      <c r="J183" s="6" t="n">
        <v>0</v>
      </c>
      <c r="K183" s="10" t="n"/>
      <c r="L183" s="6" t="n">
        <v>26</v>
      </c>
      <c r="M183" s="6" t="n">
        <v>0</v>
      </c>
      <c r="N183" s="6" t="n">
        <v>20072</v>
      </c>
      <c r="O183" s="6">
        <f>IF(OR(I183="On time",I183="Late",I183="Very late"),1,0)</f>
        <v/>
      </c>
      <c r="P183" s="6">
        <f>IF(AND(O183=1,M183=0),1,0)</f>
        <v/>
      </c>
    </row>
    <row r="184">
      <c r="A184" s="10" t="inlineStr">
        <is>
          <t>GRN52296</t>
        </is>
      </c>
      <c r="B184" s="10" t="inlineStr">
        <is>
          <t>PO18576</t>
        </is>
      </c>
      <c r="C184" s="10" t="inlineStr">
        <is>
          <t>SUP2219</t>
        </is>
      </c>
      <c r="D184" s="10">
        <f>INDEX(Suppliers!$B:$B,MATCH(C184,Suppliers!$A:$A,0))</f>
        <v/>
      </c>
      <c r="E184" s="10" t="inlineStr">
        <is>
          <t>Supplier's own truck</t>
        </is>
      </c>
      <c r="F184" s="5" t="n">
        <v>46269</v>
      </c>
      <c r="G184" s="5" t="n">
        <v>46280</v>
      </c>
      <c r="H184" s="5" t="n">
        <v>46280</v>
      </c>
      <c r="I184" s="10" t="inlineStr">
        <is>
          <t>On time</t>
        </is>
      </c>
      <c r="J184" s="6" t="n">
        <v>0</v>
      </c>
      <c r="K184" s="10" t="n"/>
      <c r="L184" s="6" t="n">
        <v>29</v>
      </c>
      <c r="M184" s="6" t="n">
        <v>0</v>
      </c>
      <c r="N184" s="6" t="n">
        <v>21344</v>
      </c>
      <c r="O184" s="6">
        <f>IF(OR(I184="On time",I184="Late",I184="Very late"),1,0)</f>
        <v/>
      </c>
      <c r="P184" s="6">
        <f>IF(AND(O184=1,M184=0),1,0)</f>
        <v/>
      </c>
    </row>
    <row r="185">
      <c r="A185" s="10" t="inlineStr">
        <is>
          <t>GRN52297</t>
        </is>
      </c>
      <c r="B185" s="10" t="inlineStr">
        <is>
          <t>PO18578</t>
        </is>
      </c>
      <c r="C185" s="10" t="inlineStr">
        <is>
          <t>SUP2422</t>
        </is>
      </c>
      <c r="D185" s="10">
        <f>INDEX(Suppliers!$B:$B,MATCH(C185,Suppliers!$A:$A,0))</f>
        <v/>
      </c>
      <c r="E185" s="10" t="inlineStr">
        <is>
          <t>Line-haul (rail)</t>
        </is>
      </c>
      <c r="F185" s="5" t="n">
        <v>46262</v>
      </c>
      <c r="G185" s="5" t="n">
        <v>46280</v>
      </c>
      <c r="H185" s="5" t="n">
        <v>46280</v>
      </c>
      <c r="I185" s="10" t="inlineStr">
        <is>
          <t>On time</t>
        </is>
      </c>
      <c r="J185" s="6" t="n">
        <v>0</v>
      </c>
      <c r="K185" s="10" t="n"/>
      <c r="L185" s="6" t="n">
        <v>14</v>
      </c>
      <c r="M185" s="6" t="n">
        <v>0</v>
      </c>
      <c r="N185" s="6" t="n">
        <v>2632</v>
      </c>
      <c r="O185" s="6">
        <f>IF(OR(I185="On time",I185="Late",I185="Very late"),1,0)</f>
        <v/>
      </c>
      <c r="P185" s="6">
        <f>IF(AND(O185=1,M185=0),1,0)</f>
        <v/>
      </c>
    </row>
    <row r="186">
      <c r="A186" s="10" t="inlineStr">
        <is>
          <t>GRN52298</t>
        </is>
      </c>
      <c r="B186" s="10" t="inlineStr">
        <is>
          <t>PO18580</t>
        </is>
      </c>
      <c r="C186" s="10" t="inlineStr">
        <is>
          <t>SUP2542</t>
        </is>
      </c>
      <c r="D186" s="10">
        <f>INDEX(Suppliers!$B:$B,MATCH(C186,Suppliers!$A:$A,0))</f>
        <v/>
      </c>
      <c r="E186" s="10" t="inlineStr">
        <is>
          <t>Supplier's own truck</t>
        </is>
      </c>
      <c r="F186" s="5" t="n">
        <v>46275</v>
      </c>
      <c r="G186" s="5" t="n">
        <v>46280</v>
      </c>
      <c r="H186" s="5" t="n">
        <v>46280</v>
      </c>
      <c r="I186" s="10" t="inlineStr">
        <is>
          <t>On time</t>
        </is>
      </c>
      <c r="J186" s="6" t="n">
        <v>0</v>
      </c>
      <c r="K186" s="10" t="n"/>
      <c r="L186" s="6" t="n">
        <v>4</v>
      </c>
      <c r="M186" s="6" t="n">
        <v>0</v>
      </c>
      <c r="N186" s="6" t="n">
        <v>2044</v>
      </c>
      <c r="O186" s="6">
        <f>IF(OR(I186="On time",I186="Late",I186="Very late"),1,0)</f>
        <v/>
      </c>
      <c r="P186" s="6">
        <f>IF(AND(O186=1,M186=0),1,0)</f>
        <v/>
      </c>
    </row>
    <row r="187">
      <c r="A187" s="10" t="inlineStr">
        <is>
          <t>GRN52299</t>
        </is>
      </c>
      <c r="B187" s="10" t="inlineStr">
        <is>
          <t>PO18581</t>
        </is>
      </c>
      <c r="C187" s="10" t="inlineStr">
        <is>
          <t>SUP2078</t>
        </is>
      </c>
      <c r="D187" s="10">
        <f>INDEX(Suppliers!$B:$B,MATCH(C187,Suppliers!$A:$A,0))</f>
        <v/>
      </c>
      <c r="E187" s="10" t="inlineStr">
        <is>
          <t>Line-haul (road)</t>
        </is>
      </c>
      <c r="F187" s="5" t="n">
        <v>46272</v>
      </c>
      <c r="G187" s="5" t="n">
        <v>46281</v>
      </c>
      <c r="H187" s="5" t="n">
        <v>46283</v>
      </c>
      <c r="I187" s="10" t="inlineStr">
        <is>
          <t>Very late</t>
        </is>
      </c>
      <c r="J187" s="6" t="n">
        <v>2</v>
      </c>
      <c r="K187" s="10" t="inlineStr">
        <is>
          <t>Supplier stock shortage</t>
        </is>
      </c>
      <c r="L187" s="6" t="n">
        <v>23</v>
      </c>
      <c r="M187" s="6" t="n">
        <v>1</v>
      </c>
      <c r="N187" s="6" t="n">
        <v>14421</v>
      </c>
      <c r="O187" s="6">
        <f>IF(OR(I187="On time",I187="Late",I187="Very late"),1,0)</f>
        <v/>
      </c>
      <c r="P187" s="6">
        <f>IF(AND(O187=1,M187=0),1,0)</f>
        <v/>
      </c>
    </row>
    <row r="188">
      <c r="A188" s="10" t="inlineStr">
        <is>
          <t>GRN52300</t>
        </is>
      </c>
      <c r="B188" s="10" t="inlineStr">
        <is>
          <t>PO18583</t>
        </is>
      </c>
      <c r="C188" s="10" t="inlineStr">
        <is>
          <t>SUP2109</t>
        </is>
      </c>
      <c r="D188" s="10">
        <f>INDEX(Suppliers!$B:$B,MATCH(C188,Suppliers!$A:$A,0))</f>
        <v/>
      </c>
      <c r="E188" s="10" t="inlineStr">
        <is>
          <t>Line-haul (road)</t>
        </is>
      </c>
      <c r="F188" s="5" t="n">
        <v>46272</v>
      </c>
      <c r="G188" s="5" t="n">
        <v>46281</v>
      </c>
      <c r="H188" s="5" t="n">
        <v>46281</v>
      </c>
      <c r="I188" s="10" t="inlineStr">
        <is>
          <t>On time</t>
        </is>
      </c>
      <c r="J188" s="6" t="n">
        <v>0</v>
      </c>
      <c r="K188" s="10" t="n"/>
      <c r="L188" s="6" t="n">
        <v>13</v>
      </c>
      <c r="M188" s="6" t="n">
        <v>0</v>
      </c>
      <c r="N188" s="6" t="n">
        <v>5473</v>
      </c>
      <c r="O188" s="6">
        <f>IF(OR(I188="On time",I188="Late",I188="Very late"),1,0)</f>
        <v/>
      </c>
      <c r="P188" s="6">
        <f>IF(AND(O188=1,M188=0),1,0)</f>
        <v/>
      </c>
    </row>
    <row r="189">
      <c r="A189" s="10" t="inlineStr">
        <is>
          <t>GRN52301</t>
        </is>
      </c>
      <c r="B189" s="10" t="inlineStr">
        <is>
          <t>PO18585</t>
        </is>
      </c>
      <c r="C189" s="10" t="inlineStr">
        <is>
          <t>SUP2189</t>
        </is>
      </c>
      <c r="D189" s="10">
        <f>INDEX(Suppliers!$B:$B,MATCH(C189,Suppliers!$A:$A,0))</f>
        <v/>
      </c>
      <c r="E189" s="10" t="inlineStr">
        <is>
          <t>Container cartage</t>
        </is>
      </c>
      <c r="F189" s="5" t="n">
        <v>46273</v>
      </c>
      <c r="G189" s="5" t="n">
        <v>46281</v>
      </c>
      <c r="H189" s="5" t="n">
        <v>46281</v>
      </c>
      <c r="I189" s="10" t="inlineStr">
        <is>
          <t>On time</t>
        </is>
      </c>
      <c r="J189" s="6" t="n">
        <v>0</v>
      </c>
      <c r="K189" s="10" t="n"/>
      <c r="L189" s="6" t="n">
        <v>19</v>
      </c>
      <c r="M189" s="6" t="n">
        <v>0</v>
      </c>
      <c r="N189" s="6" t="n">
        <v>9158</v>
      </c>
      <c r="O189" s="6">
        <f>IF(OR(I189="On time",I189="Late",I189="Very late"),1,0)</f>
        <v/>
      </c>
      <c r="P189" s="6">
        <f>IF(AND(O189=1,M189=0),1,0)</f>
        <v/>
      </c>
    </row>
    <row r="190">
      <c r="A190" s="10" t="inlineStr">
        <is>
          <t>GRN52302</t>
        </is>
      </c>
      <c r="B190" s="10" t="inlineStr">
        <is>
          <t>PO18586</t>
        </is>
      </c>
      <c r="C190" s="10" t="inlineStr">
        <is>
          <t>SUP2219</t>
        </is>
      </c>
      <c r="D190" s="10">
        <f>INDEX(Suppliers!$B:$B,MATCH(C190,Suppliers!$A:$A,0))</f>
        <v/>
      </c>
      <c r="E190" s="10" t="inlineStr">
        <is>
          <t>Supplier's own truck</t>
        </is>
      </c>
      <c r="F190" s="5" t="n">
        <v>46274</v>
      </c>
      <c r="G190" s="5" t="n">
        <v>46281</v>
      </c>
      <c r="H190" s="5" t="n">
        <v>46281</v>
      </c>
      <c r="I190" s="10" t="inlineStr">
        <is>
          <t>On time</t>
        </is>
      </c>
      <c r="J190" s="6" t="n">
        <v>0</v>
      </c>
      <c r="K190" s="10" t="n"/>
      <c r="L190" s="6" t="n">
        <v>7</v>
      </c>
      <c r="M190" s="6" t="n">
        <v>0</v>
      </c>
      <c r="N190" s="6" t="n">
        <v>4270</v>
      </c>
      <c r="O190" s="6">
        <f>IF(OR(I190="On time",I190="Late",I190="Very late"),1,0)</f>
        <v/>
      </c>
      <c r="P190" s="6">
        <f>IF(AND(O190=1,M190=0),1,0)</f>
        <v/>
      </c>
    </row>
    <row r="191">
      <c r="A191" s="10" t="inlineStr">
        <is>
          <t>GRN52303</t>
        </is>
      </c>
      <c r="B191" s="10" t="inlineStr">
        <is>
          <t>PO18588</t>
        </is>
      </c>
      <c r="C191" s="10" t="inlineStr">
        <is>
          <t>SUP2109</t>
        </is>
      </c>
      <c r="D191" s="10">
        <f>INDEX(Suppliers!$B:$B,MATCH(C191,Suppliers!$A:$A,0))</f>
        <v/>
      </c>
      <c r="E191" s="10" t="inlineStr">
        <is>
          <t>Line-haul (road)</t>
        </is>
      </c>
      <c r="F191" s="5" t="n">
        <v>46269</v>
      </c>
      <c r="G191" s="5" t="n">
        <v>46282</v>
      </c>
      <c r="H191" s="5" t="n">
        <v>46282</v>
      </c>
      <c r="I191" s="10" t="inlineStr">
        <is>
          <t>On time</t>
        </is>
      </c>
      <c r="J191" s="6" t="n">
        <v>0</v>
      </c>
      <c r="K191" s="10" t="n"/>
      <c r="L191" s="6" t="n">
        <v>4</v>
      </c>
      <c r="M191" s="6" t="n">
        <v>0</v>
      </c>
      <c r="N191" s="6" t="n">
        <v>888</v>
      </c>
      <c r="O191" s="6">
        <f>IF(OR(I191="On time",I191="Late",I191="Very late"),1,0)</f>
        <v/>
      </c>
      <c r="P191" s="6">
        <f>IF(AND(O191=1,M191=0),1,0)</f>
        <v/>
      </c>
    </row>
    <row r="192">
      <c r="A192" s="10" t="inlineStr">
        <is>
          <t>GRN52304</t>
        </is>
      </c>
      <c r="B192" s="10" t="inlineStr">
        <is>
          <t>PO18589</t>
        </is>
      </c>
      <c r="C192" s="10" t="inlineStr">
        <is>
          <t>SUP2189</t>
        </is>
      </c>
      <c r="D192" s="10">
        <f>INDEX(Suppliers!$B:$B,MATCH(C192,Suppliers!$A:$A,0))</f>
        <v/>
      </c>
      <c r="E192" s="10" t="inlineStr">
        <is>
          <t>Container cartage</t>
        </is>
      </c>
      <c r="F192" s="5" t="n">
        <v>46279</v>
      </c>
      <c r="G192" s="5" t="n">
        <v>46282</v>
      </c>
      <c r="H192" s="5" t="n">
        <v>46282</v>
      </c>
      <c r="I192" s="10" t="inlineStr">
        <is>
          <t>On time</t>
        </is>
      </c>
      <c r="J192" s="6" t="n">
        <v>0</v>
      </c>
      <c r="K192" s="10" t="n"/>
      <c r="L192" s="6" t="n">
        <v>13</v>
      </c>
      <c r="M192" s="6" t="n">
        <v>0</v>
      </c>
      <c r="N192" s="6" t="n">
        <v>5759</v>
      </c>
      <c r="O192" s="6">
        <f>IF(OR(I192="On time",I192="Late",I192="Very late"),1,0)</f>
        <v/>
      </c>
      <c r="P192" s="6">
        <f>IF(AND(O192=1,M192=0),1,0)</f>
        <v/>
      </c>
    </row>
    <row r="193">
      <c r="A193" s="10" t="inlineStr">
        <is>
          <t>GRN52305</t>
        </is>
      </c>
      <c r="B193" s="10" t="inlineStr">
        <is>
          <t>PO18590</t>
        </is>
      </c>
      <c r="C193" s="10" t="inlineStr">
        <is>
          <t>SUP2208</t>
        </is>
      </c>
      <c r="D193" s="10">
        <f>INDEX(Suppliers!$B:$B,MATCH(C193,Suppliers!$A:$A,0))</f>
        <v/>
      </c>
      <c r="E193" s="10" t="inlineStr">
        <is>
          <t>Supplier's own truck</t>
        </is>
      </c>
      <c r="F193" s="5" t="n">
        <v>46279</v>
      </c>
      <c r="G193" s="5" t="n">
        <v>46282</v>
      </c>
      <c r="H193" s="5" t="n">
        <v>46282</v>
      </c>
      <c r="I193" s="10" t="inlineStr">
        <is>
          <t>On time</t>
        </is>
      </c>
      <c r="J193" s="6" t="n">
        <v>0</v>
      </c>
      <c r="K193" s="10" t="n"/>
      <c r="L193" s="6" t="n">
        <v>9</v>
      </c>
      <c r="M193" s="6" t="n">
        <v>0</v>
      </c>
      <c r="N193" s="6" t="n">
        <v>6210</v>
      </c>
      <c r="O193" s="6">
        <f>IF(OR(I193="On time",I193="Late",I193="Very late"),1,0)</f>
        <v/>
      </c>
      <c r="P193" s="6">
        <f>IF(AND(O193=1,M193=0),1,0)</f>
        <v/>
      </c>
    </row>
    <row r="194">
      <c r="A194" s="10" t="inlineStr">
        <is>
          <t>GRN52306</t>
        </is>
      </c>
      <c r="B194" s="10" t="inlineStr">
        <is>
          <t>PO18592</t>
        </is>
      </c>
      <c r="C194" s="10" t="inlineStr">
        <is>
          <t>SUP2304</t>
        </is>
      </c>
      <c r="D194" s="10">
        <f>INDEX(Suppliers!$B:$B,MATCH(C194,Suppliers!$A:$A,0))</f>
        <v/>
      </c>
      <c r="E194" s="10" t="inlineStr">
        <is>
          <t>Supplier's own truck</t>
        </is>
      </c>
      <c r="F194" s="5" t="n">
        <v>46275</v>
      </c>
      <c r="G194" s="5" t="n">
        <v>46282</v>
      </c>
      <c r="H194" s="5" t="n">
        <v>46282</v>
      </c>
      <c r="I194" s="10" t="inlineStr">
        <is>
          <t>On time</t>
        </is>
      </c>
      <c r="J194" s="6" t="n">
        <v>0</v>
      </c>
      <c r="K194" s="10" t="n"/>
      <c r="L194" s="6" t="n">
        <v>22</v>
      </c>
      <c r="M194" s="6" t="n">
        <v>0</v>
      </c>
      <c r="N194" s="6" t="n">
        <v>18788</v>
      </c>
      <c r="O194" s="6">
        <f>IF(OR(I194="On time",I194="Late",I194="Very late"),1,0)</f>
        <v/>
      </c>
      <c r="P194" s="6">
        <f>IF(AND(O194=1,M194=0),1,0)</f>
        <v/>
      </c>
    </row>
    <row r="195">
      <c r="A195" s="10" t="inlineStr">
        <is>
          <t>GRN52307</t>
        </is>
      </c>
      <c r="B195" s="10" t="inlineStr">
        <is>
          <t>PO18593</t>
        </is>
      </c>
      <c r="C195" s="10" t="inlineStr">
        <is>
          <t>SUP2438</t>
        </is>
      </c>
      <c r="D195" s="10">
        <f>INDEX(Suppliers!$B:$B,MATCH(C195,Suppliers!$A:$A,0))</f>
        <v/>
      </c>
      <c r="E195" s="10" t="inlineStr">
        <is>
          <t>Line-haul (road)</t>
        </is>
      </c>
      <c r="F195" s="5" t="n">
        <v>46274</v>
      </c>
      <c r="G195" s="5" t="n">
        <v>46282</v>
      </c>
      <c r="H195" s="5" t="n">
        <v>46282</v>
      </c>
      <c r="I195" s="10" t="inlineStr">
        <is>
          <t>On time</t>
        </is>
      </c>
      <c r="J195" s="6" t="n">
        <v>0</v>
      </c>
      <c r="K195" s="10" t="n"/>
      <c r="L195" s="6" t="n">
        <v>19</v>
      </c>
      <c r="M195" s="6" t="n">
        <v>0</v>
      </c>
      <c r="N195" s="6" t="n">
        <v>4750</v>
      </c>
      <c r="O195" s="6">
        <f>IF(OR(I195="On time",I195="Late",I195="Very late"),1,0)</f>
        <v/>
      </c>
      <c r="P195" s="6">
        <f>IF(AND(O195=1,M195=0),1,0)</f>
        <v/>
      </c>
    </row>
    <row r="196">
      <c r="A196" s="10" t="inlineStr">
        <is>
          <t>GRN52308</t>
        </is>
      </c>
      <c r="B196" s="10" t="inlineStr">
        <is>
          <t>PO18595</t>
        </is>
      </c>
      <c r="C196" s="10" t="inlineStr">
        <is>
          <t>SUP2461</t>
        </is>
      </c>
      <c r="D196" s="10">
        <f>INDEX(Suppliers!$B:$B,MATCH(C196,Suppliers!$A:$A,0))</f>
        <v/>
      </c>
      <c r="E196" s="10" t="inlineStr">
        <is>
          <t>Line-haul (road)</t>
        </is>
      </c>
      <c r="F196" s="5" t="n">
        <v>46272</v>
      </c>
      <c r="G196" s="5" t="n">
        <v>46282</v>
      </c>
      <c r="H196" s="5" t="n">
        <v>46282</v>
      </c>
      <c r="I196" s="10" t="inlineStr">
        <is>
          <t>On time</t>
        </is>
      </c>
      <c r="J196" s="6" t="n">
        <v>0</v>
      </c>
      <c r="K196" s="10" t="n"/>
      <c r="L196" s="6" t="n">
        <v>27</v>
      </c>
      <c r="M196" s="6" t="n">
        <v>0</v>
      </c>
      <c r="N196" s="6" t="n">
        <v>14688</v>
      </c>
      <c r="O196" s="6">
        <f>IF(OR(I196="On time",I196="Late",I196="Very late"),1,0)</f>
        <v/>
      </c>
      <c r="P196" s="6">
        <f>IF(AND(O196=1,M196=0),1,0)</f>
        <v/>
      </c>
    </row>
    <row r="197">
      <c r="A197" s="10" t="inlineStr">
        <is>
          <t>GRN52309</t>
        </is>
      </c>
      <c r="B197" s="10" t="inlineStr">
        <is>
          <t>PO18596</t>
        </is>
      </c>
      <c r="C197" s="10" t="inlineStr">
        <is>
          <t>SUP2480</t>
        </is>
      </c>
      <c r="D197" s="10">
        <f>INDEX(Suppliers!$B:$B,MATCH(C197,Suppliers!$A:$A,0))</f>
        <v/>
      </c>
      <c r="E197" s="10" t="inlineStr">
        <is>
          <t>Supplier's own truck</t>
        </is>
      </c>
      <c r="F197" s="5" t="n">
        <v>46275</v>
      </c>
      <c r="G197" s="5" t="n">
        <v>46282</v>
      </c>
      <c r="H197" s="5" t="n">
        <v>46282</v>
      </c>
      <c r="I197" s="10" t="inlineStr">
        <is>
          <t>On time</t>
        </is>
      </c>
      <c r="J197" s="6" t="n">
        <v>0</v>
      </c>
      <c r="K197" s="10" t="n"/>
      <c r="L197" s="6" t="n">
        <v>24</v>
      </c>
      <c r="M197" s="6" t="n">
        <v>0</v>
      </c>
      <c r="N197" s="6" t="n">
        <v>17520</v>
      </c>
      <c r="O197" s="6">
        <f>IF(OR(I197="On time",I197="Late",I197="Very late"),1,0)</f>
        <v/>
      </c>
      <c r="P197" s="6">
        <f>IF(AND(O197=1,M197=0),1,0)</f>
        <v/>
      </c>
    </row>
    <row r="198">
      <c r="A198" s="10" t="inlineStr">
        <is>
          <t>GRN52310</t>
        </is>
      </c>
      <c r="B198" s="10" t="inlineStr">
        <is>
          <t>PO18597</t>
        </is>
      </c>
      <c r="C198" s="10" t="inlineStr">
        <is>
          <t>SUP2109</t>
        </is>
      </c>
      <c r="D198" s="10">
        <f>INDEX(Suppliers!$B:$B,MATCH(C198,Suppliers!$A:$A,0))</f>
        <v/>
      </c>
      <c r="E198" s="10" t="inlineStr">
        <is>
          <t>Line-haul (road)</t>
        </is>
      </c>
      <c r="F198" s="5" t="n">
        <v>46276</v>
      </c>
      <c r="G198" s="5" t="n">
        <v>46283</v>
      </c>
      <c r="H198" s="5" t="n">
        <v>46283</v>
      </c>
      <c r="I198" s="10" t="inlineStr">
        <is>
          <t>On time</t>
        </is>
      </c>
      <c r="J198" s="6" t="n">
        <v>0</v>
      </c>
      <c r="K198" s="10" t="n"/>
      <c r="L198" s="6" t="n">
        <v>14</v>
      </c>
      <c r="M198" s="6" t="n">
        <v>3</v>
      </c>
      <c r="N198" s="6" t="n">
        <v>3458</v>
      </c>
      <c r="O198" s="6">
        <f>IF(OR(I198="On time",I198="Late",I198="Very late"),1,0)</f>
        <v/>
      </c>
      <c r="P198" s="6">
        <f>IF(AND(O198=1,M198=0),1,0)</f>
        <v/>
      </c>
    </row>
    <row r="199">
      <c r="A199" s="10" t="inlineStr">
        <is>
          <t>GRN52311</t>
        </is>
      </c>
      <c r="B199" s="10" t="inlineStr">
        <is>
          <t>PO18599</t>
        </is>
      </c>
      <c r="C199" s="10" t="inlineStr">
        <is>
          <t>SUP2219</t>
        </is>
      </c>
      <c r="D199" s="10">
        <f>INDEX(Suppliers!$B:$B,MATCH(C199,Suppliers!$A:$A,0))</f>
        <v/>
      </c>
      <c r="E199" s="10" t="inlineStr">
        <is>
          <t>Supplier's own truck</t>
        </is>
      </c>
      <c r="F199" s="5" t="n">
        <v>46279</v>
      </c>
      <c r="G199" s="5" t="n">
        <v>46283</v>
      </c>
      <c r="H199" s="5" t="n">
        <v>46283</v>
      </c>
      <c r="I199" s="10" t="inlineStr">
        <is>
          <t>On time</t>
        </is>
      </c>
      <c r="J199" s="6" t="n">
        <v>0</v>
      </c>
      <c r="K199" s="10" t="n"/>
      <c r="L199" s="6" t="n">
        <v>14</v>
      </c>
      <c r="M199" s="6" t="n">
        <v>0</v>
      </c>
      <c r="N199" s="6" t="n">
        <v>12488</v>
      </c>
      <c r="O199" s="6">
        <f>IF(OR(I199="On time",I199="Late",I199="Very late"),1,0)</f>
        <v/>
      </c>
      <c r="P199" s="6">
        <f>IF(AND(O199=1,M199=0),1,0)</f>
        <v/>
      </c>
    </row>
    <row r="200">
      <c r="A200" s="10" t="inlineStr">
        <is>
          <t>GRN52312</t>
        </is>
      </c>
      <c r="B200" s="10" t="inlineStr">
        <is>
          <t>PO18600</t>
        </is>
      </c>
      <c r="C200" s="10" t="inlineStr">
        <is>
          <t>SUP2336</t>
        </is>
      </c>
      <c r="D200" s="10">
        <f>INDEX(Suppliers!$B:$B,MATCH(C200,Suppliers!$A:$A,0))</f>
        <v/>
      </c>
      <c r="E200" s="10" t="inlineStr">
        <is>
          <t>Line-haul (road)</t>
        </is>
      </c>
      <c r="F200" s="5" t="n">
        <v>46274</v>
      </c>
      <c r="G200" s="5" t="n">
        <v>46283</v>
      </c>
      <c r="H200" s="5" t="n">
        <v>46283</v>
      </c>
      <c r="I200" s="10" t="inlineStr">
        <is>
          <t>On time</t>
        </is>
      </c>
      <c r="J200" s="6" t="n">
        <v>0</v>
      </c>
      <c r="K200" s="10" t="n"/>
      <c r="L200" s="6" t="n">
        <v>29</v>
      </c>
      <c r="M200" s="6" t="n">
        <v>0</v>
      </c>
      <c r="N200" s="6" t="n">
        <v>18676</v>
      </c>
      <c r="O200" s="6">
        <f>IF(OR(I200="On time",I200="Late",I200="Very late"),1,0)</f>
        <v/>
      </c>
      <c r="P200" s="6">
        <f>IF(AND(O200=1,M200=0),1,0)</f>
        <v/>
      </c>
    </row>
    <row r="201">
      <c r="A201" s="10" t="inlineStr">
        <is>
          <t>GRN52313</t>
        </is>
      </c>
      <c r="B201" s="10" t="inlineStr">
        <is>
          <t>PO18601</t>
        </is>
      </c>
      <c r="C201" s="10" t="inlineStr">
        <is>
          <t>SUP2461</t>
        </is>
      </c>
      <c r="D201" s="10">
        <f>INDEX(Suppliers!$B:$B,MATCH(C201,Suppliers!$A:$A,0))</f>
        <v/>
      </c>
      <c r="E201" s="10" t="inlineStr">
        <is>
          <t>Line-haul (road)</t>
        </is>
      </c>
      <c r="F201" s="5" t="n">
        <v>46273</v>
      </c>
      <c r="G201" s="5" t="n">
        <v>46283</v>
      </c>
      <c r="H201" s="5" t="n">
        <v>46283</v>
      </c>
      <c r="I201" s="10" t="inlineStr">
        <is>
          <t>On time</t>
        </is>
      </c>
      <c r="J201" s="6" t="n">
        <v>0</v>
      </c>
      <c r="K201" s="10" t="n"/>
      <c r="L201" s="6" t="n">
        <v>10</v>
      </c>
      <c r="M201" s="6" t="n">
        <v>0</v>
      </c>
      <c r="N201" s="6" t="n">
        <v>3680</v>
      </c>
      <c r="O201" s="6">
        <f>IF(OR(I201="On time",I201="Late",I201="Very late"),1,0)</f>
        <v/>
      </c>
      <c r="P201" s="6">
        <f>IF(AND(O201=1,M201=0),1,0)</f>
        <v/>
      </c>
    </row>
    <row r="202">
      <c r="A202" s="10" t="inlineStr">
        <is>
          <t>GRN52315</t>
        </is>
      </c>
      <c r="B202" s="10" t="inlineStr">
        <is>
          <t>PO18603</t>
        </is>
      </c>
      <c r="C202" s="10" t="inlineStr">
        <is>
          <t>SUP2506</t>
        </is>
      </c>
      <c r="D202" s="10">
        <f>INDEX(Suppliers!$B:$B,MATCH(C202,Suppliers!$A:$A,0))</f>
        <v/>
      </c>
      <c r="E202" s="10" t="inlineStr">
        <is>
          <t>Air freight</t>
        </is>
      </c>
      <c r="F202" s="5" t="n">
        <v>46279</v>
      </c>
      <c r="G202" s="5" t="n">
        <v>46283</v>
      </c>
      <c r="H202" s="5" t="n">
        <v>46283</v>
      </c>
      <c r="I202" s="10" t="inlineStr">
        <is>
          <t>On time</t>
        </is>
      </c>
      <c r="J202" s="6" t="n">
        <v>0</v>
      </c>
      <c r="K202" s="10" t="n"/>
      <c r="L202" s="6" t="n">
        <v>23</v>
      </c>
      <c r="M202" s="6" t="n">
        <v>1</v>
      </c>
      <c r="N202" s="6" t="n">
        <v>5451</v>
      </c>
      <c r="O202" s="6">
        <f>IF(OR(I202="On time",I202="Late",I202="Very late"),1,0)</f>
        <v/>
      </c>
      <c r="P202" s="6">
        <f>IF(AND(O202=1,M202=0),1,0)</f>
        <v/>
      </c>
    </row>
    <row r="203">
      <c r="A203" s="10" t="inlineStr">
        <is>
          <t>GRN52316</t>
        </is>
      </c>
      <c r="B203" s="10" t="inlineStr">
        <is>
          <t>PO18604</t>
        </is>
      </c>
      <c r="C203" s="10" t="inlineStr">
        <is>
          <t>SUP2542</t>
        </is>
      </c>
      <c r="D203" s="10">
        <f>INDEX(Suppliers!$B:$B,MATCH(C203,Suppliers!$A:$A,0))</f>
        <v/>
      </c>
      <c r="E203" s="10" t="inlineStr">
        <is>
          <t>Supplier's own truck</t>
        </is>
      </c>
      <c r="F203" s="5" t="n">
        <v>46279</v>
      </c>
      <c r="G203" s="5" t="n">
        <v>46283</v>
      </c>
      <c r="H203" s="5" t="n">
        <v>46283</v>
      </c>
      <c r="I203" s="10" t="inlineStr">
        <is>
          <t>On time</t>
        </is>
      </c>
      <c r="J203" s="6" t="n">
        <v>0</v>
      </c>
      <c r="K203" s="10" t="n"/>
      <c r="L203" s="6" t="n">
        <v>12</v>
      </c>
      <c r="M203" s="6" t="n">
        <v>0</v>
      </c>
      <c r="N203" s="6" t="n">
        <v>9528</v>
      </c>
      <c r="O203" s="6">
        <f>IF(OR(I203="On time",I203="Late",I203="Very late"),1,0)</f>
        <v/>
      </c>
      <c r="P203" s="6">
        <f>IF(AND(O203=1,M203=0),1,0)</f>
        <v/>
      </c>
    </row>
    <row r="204">
      <c r="A204" s="10" t="inlineStr">
        <is>
          <t>GRN52317</t>
        </is>
      </c>
      <c r="B204" s="10" t="inlineStr">
        <is>
          <t>PO18605</t>
        </is>
      </c>
      <c r="C204" s="10" t="inlineStr">
        <is>
          <t>SUP2151</t>
        </is>
      </c>
      <c r="D204" s="10">
        <f>INDEX(Suppliers!$B:$B,MATCH(C204,Suppliers!$A:$A,0))</f>
        <v/>
      </c>
      <c r="E204" s="10" t="inlineStr">
        <is>
          <t>Line-haul (road)</t>
        </is>
      </c>
      <c r="F204" s="5" t="n">
        <v>46274</v>
      </c>
      <c r="G204" s="5" t="n">
        <v>46286</v>
      </c>
      <c r="H204" s="5" t="n">
        <v>46287</v>
      </c>
      <c r="I204" s="10" t="inlineStr">
        <is>
          <t>Late</t>
        </is>
      </c>
      <c r="J204" s="6" t="n">
        <v>1</v>
      </c>
      <c r="K204" s="10" t="inlineStr">
        <is>
          <t>Line-haul delay</t>
        </is>
      </c>
      <c r="L204" s="6" t="n">
        <v>23</v>
      </c>
      <c r="M204" s="6" t="n">
        <v>0</v>
      </c>
      <c r="N204" s="6" t="n">
        <v>5336</v>
      </c>
      <c r="O204" s="6">
        <f>IF(OR(I204="On time",I204="Late",I204="Very late"),1,0)</f>
        <v/>
      </c>
      <c r="P204" s="6">
        <f>IF(AND(O204=1,M204=0),1,0)</f>
        <v/>
      </c>
    </row>
    <row r="205">
      <c r="A205" s="10" t="inlineStr">
        <is>
          <t>GRN52318</t>
        </is>
      </c>
      <c r="B205" s="10" t="inlineStr">
        <is>
          <t>PO18607</t>
        </is>
      </c>
      <c r="C205" s="10" t="inlineStr">
        <is>
          <t>SUP2219</t>
        </is>
      </c>
      <c r="D205" s="10">
        <f>INDEX(Suppliers!$B:$B,MATCH(C205,Suppliers!$A:$A,0))</f>
        <v/>
      </c>
      <c r="E205" s="10" t="inlineStr">
        <is>
          <t>Supplier's own truck</t>
        </is>
      </c>
      <c r="F205" s="5" t="n">
        <v>46276</v>
      </c>
      <c r="G205" s="5" t="n">
        <v>46286</v>
      </c>
      <c r="H205" s="5" t="n">
        <v>46286</v>
      </c>
      <c r="I205" s="10" t="inlineStr">
        <is>
          <t>On time</t>
        </is>
      </c>
      <c r="J205" s="6" t="n">
        <v>0</v>
      </c>
      <c r="K205" s="10" t="n"/>
      <c r="L205" s="6" t="n">
        <v>5</v>
      </c>
      <c r="M205" s="6" t="n">
        <v>0</v>
      </c>
      <c r="N205" s="6" t="n">
        <v>2420</v>
      </c>
      <c r="O205" s="6">
        <f>IF(OR(I205="On time",I205="Late",I205="Very late"),1,0)</f>
        <v/>
      </c>
      <c r="P205" s="6">
        <f>IF(AND(O205=1,M205=0),1,0)</f>
        <v/>
      </c>
    </row>
    <row r="206">
      <c r="A206" s="10" t="inlineStr">
        <is>
          <t>GRN52319</t>
        </is>
      </c>
      <c r="B206" s="10" t="inlineStr">
        <is>
          <t>PO18608</t>
        </is>
      </c>
      <c r="C206" s="10" t="inlineStr">
        <is>
          <t>SUP2304</t>
        </is>
      </c>
      <c r="D206" s="10">
        <f>INDEX(Suppliers!$B:$B,MATCH(C206,Suppliers!$A:$A,0))</f>
        <v/>
      </c>
      <c r="E206" s="10" t="inlineStr">
        <is>
          <t>Supplier's own truck</t>
        </is>
      </c>
      <c r="F206" s="5" t="n">
        <v>46276</v>
      </c>
      <c r="G206" s="5" t="n">
        <v>46286</v>
      </c>
      <c r="H206" s="5" t="n">
        <v>46286</v>
      </c>
      <c r="I206" s="10" t="inlineStr">
        <is>
          <t>On time</t>
        </is>
      </c>
      <c r="J206" s="6" t="n">
        <v>0</v>
      </c>
      <c r="K206" s="10" t="n"/>
      <c r="L206" s="6" t="n">
        <v>29</v>
      </c>
      <c r="M206" s="6" t="n">
        <v>0</v>
      </c>
      <c r="N206" s="6" t="n">
        <v>25810</v>
      </c>
      <c r="O206" s="6">
        <f>IF(OR(I206="On time",I206="Late",I206="Very late"),1,0)</f>
        <v/>
      </c>
      <c r="P206" s="6">
        <f>IF(AND(O206=1,M206=0),1,0)</f>
        <v/>
      </c>
    </row>
    <row r="207">
      <c r="A207" s="10" t="inlineStr">
        <is>
          <t>GRN52320</t>
        </is>
      </c>
      <c r="B207" s="10" t="inlineStr">
        <is>
          <t>PO18609</t>
        </is>
      </c>
      <c r="C207" s="10" t="inlineStr">
        <is>
          <t>SUP2461</t>
        </is>
      </c>
      <c r="D207" s="10">
        <f>INDEX(Suppliers!$B:$B,MATCH(C207,Suppliers!$A:$A,0))</f>
        <v/>
      </c>
      <c r="E207" s="10" t="inlineStr">
        <is>
          <t>Line-haul (road)</t>
        </is>
      </c>
      <c r="F207" s="5" t="n">
        <v>46279</v>
      </c>
      <c r="G207" s="5" t="n">
        <v>46286</v>
      </c>
      <c r="H207" s="5" t="n">
        <v>46286</v>
      </c>
      <c r="I207" s="10" t="inlineStr">
        <is>
          <t>On time</t>
        </is>
      </c>
      <c r="J207" s="6" t="n">
        <v>0</v>
      </c>
      <c r="K207" s="10" t="n"/>
      <c r="L207" s="6" t="n">
        <v>9</v>
      </c>
      <c r="M207" s="6" t="n">
        <v>0</v>
      </c>
      <c r="N207" s="6" t="n">
        <v>1773</v>
      </c>
      <c r="O207" s="6">
        <f>IF(OR(I207="On time",I207="Late",I207="Very late"),1,0)</f>
        <v/>
      </c>
      <c r="P207" s="6">
        <f>IF(AND(O207=1,M207=0),1,0)</f>
        <v/>
      </c>
    </row>
    <row r="208">
      <c r="A208" s="10" t="inlineStr">
        <is>
          <t>GRN52321</t>
        </is>
      </c>
      <c r="B208" s="10" t="inlineStr">
        <is>
          <t>PO18610</t>
        </is>
      </c>
      <c r="C208" s="10" t="inlineStr">
        <is>
          <t>SUP2506</t>
        </is>
      </c>
      <c r="D208" s="10">
        <f>INDEX(Suppliers!$B:$B,MATCH(C208,Suppliers!$A:$A,0))</f>
        <v/>
      </c>
      <c r="E208" s="10" t="inlineStr">
        <is>
          <t>Air freight</t>
        </is>
      </c>
      <c r="F208" s="5" t="n">
        <v>46281</v>
      </c>
      <c r="G208" s="5" t="n">
        <v>46286</v>
      </c>
      <c r="H208" s="5" t="n">
        <v>46286</v>
      </c>
      <c r="I208" s="10" t="inlineStr">
        <is>
          <t>On time</t>
        </is>
      </c>
      <c r="J208" s="6" t="n">
        <v>0</v>
      </c>
      <c r="K208" s="10" t="n"/>
      <c r="L208" s="6" t="n">
        <v>22</v>
      </c>
      <c r="M208" s="6" t="n">
        <v>0</v>
      </c>
      <c r="N208" s="6" t="n">
        <v>6226</v>
      </c>
      <c r="O208" s="6">
        <f>IF(OR(I208="On time",I208="Late",I208="Very late"),1,0)</f>
        <v/>
      </c>
      <c r="P208" s="6">
        <f>IF(AND(O208=1,M208=0),1,0)</f>
        <v/>
      </c>
    </row>
    <row r="209">
      <c r="A209" s="10" t="inlineStr">
        <is>
          <t>GRN52322</t>
        </is>
      </c>
      <c r="B209" s="10" t="inlineStr">
        <is>
          <t>PO18612</t>
        </is>
      </c>
      <c r="C209" s="10" t="inlineStr">
        <is>
          <t>SUP2542</t>
        </is>
      </c>
      <c r="D209" s="10">
        <f>INDEX(Suppliers!$B:$B,MATCH(C209,Suppliers!$A:$A,0))</f>
        <v/>
      </c>
      <c r="E209" s="10" t="inlineStr">
        <is>
          <t>Supplier's own truck</t>
        </is>
      </c>
      <c r="F209" s="5" t="n">
        <v>46280</v>
      </c>
      <c r="G209" s="5" t="n">
        <v>46286</v>
      </c>
      <c r="H209" s="5" t="n">
        <v>46286</v>
      </c>
      <c r="I209" s="10" t="inlineStr">
        <is>
          <t>On time</t>
        </is>
      </c>
      <c r="J209" s="6" t="n">
        <v>0</v>
      </c>
      <c r="K209" s="10" t="n"/>
      <c r="L209" s="6" t="n">
        <v>9</v>
      </c>
      <c r="M209" s="6" t="n">
        <v>1</v>
      </c>
      <c r="N209" s="6" t="n">
        <v>4716</v>
      </c>
      <c r="O209" s="6">
        <f>IF(OR(I209="On time",I209="Late",I209="Very late"),1,0)</f>
        <v/>
      </c>
      <c r="P209" s="6">
        <f>IF(AND(O209=1,M209=0),1,0)</f>
        <v/>
      </c>
    </row>
    <row r="210">
      <c r="A210" s="10" t="inlineStr">
        <is>
          <t>GRN52323</t>
        </is>
      </c>
      <c r="B210" s="10" t="inlineStr">
        <is>
          <t>PO18613</t>
        </is>
      </c>
      <c r="C210" s="10" t="inlineStr">
        <is>
          <t>SUP2189</t>
        </is>
      </c>
      <c r="D210" s="10">
        <f>INDEX(Suppliers!$B:$B,MATCH(C210,Suppliers!$A:$A,0))</f>
        <v/>
      </c>
      <c r="E210" s="10" t="inlineStr">
        <is>
          <t>Container cartage</t>
        </is>
      </c>
      <c r="F210" s="5" t="n">
        <v>46276</v>
      </c>
      <c r="G210" s="5" t="n">
        <v>46287</v>
      </c>
      <c r="H210" s="5" t="n">
        <v>46295</v>
      </c>
      <c r="I210" s="10" t="inlineStr">
        <is>
          <t>Very late</t>
        </is>
      </c>
      <c r="J210" s="6" t="n">
        <v>6</v>
      </c>
      <c r="K210" s="10" t="inlineStr">
        <is>
          <t>Port / customs hold</t>
        </is>
      </c>
      <c r="L210" s="6" t="n">
        <v>18</v>
      </c>
      <c r="M210" s="6" t="n">
        <v>0</v>
      </c>
      <c r="N210" s="6" t="n">
        <v>5004</v>
      </c>
      <c r="O210" s="6">
        <f>IF(OR(I210="On time",I210="Late",I210="Very late"),1,0)</f>
        <v/>
      </c>
      <c r="P210" s="6">
        <f>IF(AND(O210=1,M210=0),1,0)</f>
        <v/>
      </c>
    </row>
    <row r="211">
      <c r="A211" s="10" t="inlineStr">
        <is>
          <t>GRN52324</t>
        </is>
      </c>
      <c r="B211" s="10" t="inlineStr">
        <is>
          <t>PO18614</t>
        </is>
      </c>
      <c r="C211" s="10" t="inlineStr">
        <is>
          <t>SUP2208</t>
        </is>
      </c>
      <c r="D211" s="10">
        <f>INDEX(Suppliers!$B:$B,MATCH(C211,Suppliers!$A:$A,0))</f>
        <v/>
      </c>
      <c r="E211" s="10" t="inlineStr">
        <is>
          <t>Supplier's own truck</t>
        </is>
      </c>
      <c r="F211" s="5" t="n">
        <v>46282</v>
      </c>
      <c r="G211" s="5" t="n">
        <v>46287</v>
      </c>
      <c r="H211" s="5" t="n">
        <v>46287</v>
      </c>
      <c r="I211" s="10" t="inlineStr">
        <is>
          <t>On time</t>
        </is>
      </c>
      <c r="J211" s="6" t="n">
        <v>0</v>
      </c>
      <c r="K211" s="10" t="n"/>
      <c r="L211" s="6" t="n">
        <v>29</v>
      </c>
      <c r="M211" s="6" t="n">
        <v>0</v>
      </c>
      <c r="N211" s="6" t="n">
        <v>16298</v>
      </c>
      <c r="O211" s="6">
        <f>IF(OR(I211="On time",I211="Late",I211="Very late"),1,0)</f>
        <v/>
      </c>
      <c r="P211" s="6">
        <f>IF(AND(O211=1,M211=0),1,0)</f>
        <v/>
      </c>
    </row>
    <row r="212">
      <c r="A212" s="10" t="inlineStr">
        <is>
          <t>GRN52325</t>
        </is>
      </c>
      <c r="B212" s="10" t="inlineStr">
        <is>
          <t>PO18616</t>
        </is>
      </c>
      <c r="C212" s="10" t="inlineStr">
        <is>
          <t>SUP2304</t>
        </is>
      </c>
      <c r="D212" s="10">
        <f>INDEX(Suppliers!$B:$B,MATCH(C212,Suppliers!$A:$A,0))</f>
        <v/>
      </c>
      <c r="E212" s="10" t="inlineStr">
        <is>
          <t>Supplier's own truck</t>
        </is>
      </c>
      <c r="F212" s="5" t="n">
        <v>46279</v>
      </c>
      <c r="G212" s="5" t="n">
        <v>46287</v>
      </c>
      <c r="H212" s="5" t="n">
        <v>46287</v>
      </c>
      <c r="I212" s="10" t="inlineStr">
        <is>
          <t>On time</t>
        </is>
      </c>
      <c r="J212" s="6" t="n">
        <v>0</v>
      </c>
      <c r="K212" s="10" t="n"/>
      <c r="L212" s="6" t="n">
        <v>19</v>
      </c>
      <c r="M212" s="6" t="n">
        <v>0</v>
      </c>
      <c r="N212" s="6" t="n">
        <v>9823</v>
      </c>
      <c r="O212" s="6">
        <f>IF(OR(I212="On time",I212="Late",I212="Very late"),1,0)</f>
        <v/>
      </c>
      <c r="P212" s="6">
        <f>IF(AND(O212=1,M212=0),1,0)</f>
        <v/>
      </c>
    </row>
    <row r="213">
      <c r="A213" s="10" t="inlineStr">
        <is>
          <t>GRN52326</t>
        </is>
      </c>
      <c r="B213" s="10" t="inlineStr">
        <is>
          <t>PO18617</t>
        </is>
      </c>
      <c r="C213" s="10" t="inlineStr">
        <is>
          <t>SUP2422</t>
        </is>
      </c>
      <c r="D213" s="10">
        <f>INDEX(Suppliers!$B:$B,MATCH(C213,Suppliers!$A:$A,0))</f>
        <v/>
      </c>
      <c r="E213" s="10" t="inlineStr">
        <is>
          <t>Line-haul (rail)</t>
        </is>
      </c>
      <c r="F213" s="5" t="n">
        <v>46269</v>
      </c>
      <c r="G213" s="5" t="n">
        <v>46287</v>
      </c>
      <c r="H213" s="5" t="n">
        <v>46287</v>
      </c>
      <c r="I213" s="10" t="inlineStr">
        <is>
          <t>On time</t>
        </is>
      </c>
      <c r="J213" s="6" t="n">
        <v>0</v>
      </c>
      <c r="K213" s="10" t="n"/>
      <c r="L213" s="6" t="n">
        <v>21</v>
      </c>
      <c r="M213" s="6" t="n">
        <v>0</v>
      </c>
      <c r="N213" s="6" t="n">
        <v>15246</v>
      </c>
      <c r="O213" s="6">
        <f>IF(OR(I213="On time",I213="Late",I213="Very late"),1,0)</f>
        <v/>
      </c>
      <c r="P213" s="6">
        <f>IF(AND(O213=1,M213=0),1,0)</f>
        <v/>
      </c>
    </row>
    <row r="214">
      <c r="A214" s="10" t="inlineStr">
        <is>
          <t>GRN52327</t>
        </is>
      </c>
      <c r="B214" s="10" t="inlineStr">
        <is>
          <t>PO18618</t>
        </is>
      </c>
      <c r="C214" s="10" t="inlineStr">
        <is>
          <t>SUP2461</t>
        </is>
      </c>
      <c r="D214" s="10">
        <f>INDEX(Suppliers!$B:$B,MATCH(C214,Suppliers!$A:$A,0))</f>
        <v/>
      </c>
      <c r="E214" s="10" t="inlineStr">
        <is>
          <t>Line-haul (road)</t>
        </is>
      </c>
      <c r="F214" s="5" t="n">
        <v>46275</v>
      </c>
      <c r="G214" s="5" t="n">
        <v>46287</v>
      </c>
      <c r="H214" s="5" t="n">
        <v>46287</v>
      </c>
      <c r="I214" s="10" t="inlineStr">
        <is>
          <t>On time</t>
        </is>
      </c>
      <c r="J214" s="6" t="n">
        <v>0</v>
      </c>
      <c r="K214" s="10" t="n"/>
      <c r="L214" s="6" t="n">
        <v>25</v>
      </c>
      <c r="M214" s="6" t="n">
        <v>0</v>
      </c>
      <c r="N214" s="6" t="n">
        <v>6300</v>
      </c>
      <c r="O214" s="6">
        <f>IF(OR(I214="On time",I214="Late",I214="Very late"),1,0)</f>
        <v/>
      </c>
      <c r="P214" s="6">
        <f>IF(AND(O214=1,M214=0),1,0)</f>
        <v/>
      </c>
    </row>
    <row r="215">
      <c r="A215" s="10" t="inlineStr">
        <is>
          <t>GRN52328</t>
        </is>
      </c>
      <c r="B215" s="10" t="inlineStr">
        <is>
          <t>PO18620</t>
        </is>
      </c>
      <c r="C215" s="10" t="inlineStr">
        <is>
          <t>SUP2480</t>
        </is>
      </c>
      <c r="D215" s="10">
        <f>INDEX(Suppliers!$B:$B,MATCH(C215,Suppliers!$A:$A,0))</f>
        <v/>
      </c>
      <c r="E215" s="10" t="inlineStr">
        <is>
          <t>Supplier's own truck</t>
        </is>
      </c>
      <c r="F215" s="5" t="n">
        <v>46282</v>
      </c>
      <c r="G215" s="5" t="n">
        <v>46287</v>
      </c>
      <c r="H215" s="5" t="n">
        <v>46287</v>
      </c>
      <c r="I215" s="10" t="inlineStr">
        <is>
          <t>On time</t>
        </is>
      </c>
      <c r="J215" s="6" t="n">
        <v>0</v>
      </c>
      <c r="K215" s="10" t="n"/>
      <c r="L215" s="6" t="n">
        <v>9</v>
      </c>
      <c r="M215" s="6" t="n">
        <v>3</v>
      </c>
      <c r="N215" s="6" t="n">
        <v>7857</v>
      </c>
      <c r="O215" s="6">
        <f>IF(OR(I215="On time",I215="Late",I215="Very late"),1,0)</f>
        <v/>
      </c>
      <c r="P215" s="6">
        <f>IF(AND(O215=1,M215=0),1,0)</f>
        <v/>
      </c>
    </row>
    <row r="216">
      <c r="A216" s="10" t="inlineStr">
        <is>
          <t>GRN52329</t>
        </is>
      </c>
      <c r="B216" s="10" t="inlineStr">
        <is>
          <t>PO18621</t>
        </is>
      </c>
      <c r="C216" s="10" t="inlineStr">
        <is>
          <t>SUP2151</t>
        </is>
      </c>
      <c r="D216" s="10">
        <f>INDEX(Suppliers!$B:$B,MATCH(C216,Suppliers!$A:$A,0))</f>
        <v/>
      </c>
      <c r="E216" s="10" t="inlineStr">
        <is>
          <t>Line-haul (road)</t>
        </is>
      </c>
      <c r="F216" s="5" t="n">
        <v>46280</v>
      </c>
      <c r="G216" s="5" t="n">
        <v>46288</v>
      </c>
      <c r="H216" s="5" t="n">
        <v>46289</v>
      </c>
      <c r="I216" s="10" t="inlineStr">
        <is>
          <t>Late</t>
        </is>
      </c>
      <c r="J216" s="6" t="n">
        <v>1</v>
      </c>
      <c r="K216" s="10" t="inlineStr">
        <is>
          <t>Line-haul delay</t>
        </is>
      </c>
      <c r="L216" s="6" t="n">
        <v>11</v>
      </c>
      <c r="M216" s="6" t="n">
        <v>0</v>
      </c>
      <c r="N216" s="6" t="n">
        <v>2651</v>
      </c>
      <c r="O216" s="6">
        <f>IF(OR(I216="On time",I216="Late",I216="Very late"),1,0)</f>
        <v/>
      </c>
      <c r="P216" s="6">
        <f>IF(AND(O216=1,M216=0),1,0)</f>
        <v/>
      </c>
    </row>
    <row r="217">
      <c r="A217" s="10" t="inlineStr">
        <is>
          <t>GRN52330</t>
        </is>
      </c>
      <c r="B217" s="10" t="inlineStr">
        <is>
          <t>PO18623</t>
        </is>
      </c>
      <c r="C217" s="10" t="inlineStr">
        <is>
          <t>SUP2304</t>
        </is>
      </c>
      <c r="D217" s="10">
        <f>INDEX(Suppliers!$B:$B,MATCH(C217,Suppliers!$A:$A,0))</f>
        <v/>
      </c>
      <c r="E217" s="10" t="inlineStr">
        <is>
          <t>Supplier's own truck</t>
        </is>
      </c>
      <c r="F217" s="5" t="n">
        <v>46279</v>
      </c>
      <c r="G217" s="5" t="n">
        <v>46288</v>
      </c>
      <c r="H217" s="5" t="n">
        <v>46289</v>
      </c>
      <c r="I217" s="10" t="inlineStr">
        <is>
          <t>Late</t>
        </is>
      </c>
      <c r="J217" s="6" t="n">
        <v>1</v>
      </c>
      <c r="K217" s="10" t="inlineStr">
        <is>
          <t>Port / customs hold</t>
        </is>
      </c>
      <c r="L217" s="6" t="n">
        <v>26</v>
      </c>
      <c r="M217" s="6" t="n">
        <v>0</v>
      </c>
      <c r="N217" s="6" t="n">
        <v>22334</v>
      </c>
      <c r="O217" s="6">
        <f>IF(OR(I217="On time",I217="Late",I217="Very late"),1,0)</f>
        <v/>
      </c>
      <c r="P217" s="6">
        <f>IF(AND(O217=1,M217=0),1,0)</f>
        <v/>
      </c>
    </row>
    <row r="218">
      <c r="A218" s="10" t="inlineStr">
        <is>
          <t>GRN52331</t>
        </is>
      </c>
      <c r="B218" s="10" t="inlineStr">
        <is>
          <t>PO18625</t>
        </is>
      </c>
      <c r="C218" s="10" t="inlineStr">
        <is>
          <t>SUP2461</t>
        </is>
      </c>
      <c r="D218" s="10">
        <f>INDEX(Suppliers!$B:$B,MATCH(C218,Suppliers!$A:$A,0))</f>
        <v/>
      </c>
      <c r="E218" s="10" t="inlineStr">
        <is>
          <t>Line-haul (road)</t>
        </is>
      </c>
      <c r="F218" s="5" t="n">
        <v>46280</v>
      </c>
      <c r="G218" s="5" t="n">
        <v>46288</v>
      </c>
      <c r="H218" s="5" t="n">
        <v>46289</v>
      </c>
      <c r="I218" s="10" t="inlineStr">
        <is>
          <t>Late</t>
        </is>
      </c>
      <c r="J218" s="6" t="n">
        <v>1</v>
      </c>
      <c r="K218" s="10" t="inlineStr">
        <is>
          <t>Booking slot missed</t>
        </is>
      </c>
      <c r="L218" s="6" t="n">
        <v>13</v>
      </c>
      <c r="M218" s="6" t="n">
        <v>0</v>
      </c>
      <c r="N218" s="6" t="n">
        <v>10907</v>
      </c>
      <c r="O218" s="6">
        <f>IF(OR(I218="On time",I218="Late",I218="Very late"),1,0)</f>
        <v/>
      </c>
      <c r="P218" s="6">
        <f>IF(AND(O218=1,M218=0),1,0)</f>
        <v/>
      </c>
    </row>
    <row r="219">
      <c r="A219" s="10" t="inlineStr">
        <is>
          <t>GRN52332</t>
        </is>
      </c>
      <c r="B219" s="10" t="inlineStr">
        <is>
          <t>PO18627</t>
        </is>
      </c>
      <c r="C219" s="10" t="inlineStr">
        <is>
          <t>SUP2506</t>
        </is>
      </c>
      <c r="D219" s="10">
        <f>INDEX(Suppliers!$B:$B,MATCH(C219,Suppliers!$A:$A,0))</f>
        <v/>
      </c>
      <c r="E219" s="10" t="inlineStr">
        <is>
          <t>Air freight</t>
        </is>
      </c>
      <c r="F219" s="5" t="n">
        <v>46279</v>
      </c>
      <c r="G219" s="5" t="n">
        <v>46288</v>
      </c>
      <c r="H219" s="5" t="n">
        <v>46288</v>
      </c>
      <c r="I219" s="10" t="inlineStr">
        <is>
          <t>On time</t>
        </is>
      </c>
      <c r="J219" s="6" t="n">
        <v>0</v>
      </c>
      <c r="K219" s="10" t="n"/>
      <c r="L219" s="6" t="n">
        <v>8</v>
      </c>
      <c r="M219" s="6" t="n">
        <v>0</v>
      </c>
      <c r="N219" s="6" t="n">
        <v>4928</v>
      </c>
      <c r="O219" s="6">
        <f>IF(OR(I219="On time",I219="Late",I219="Very late"),1,0)</f>
        <v/>
      </c>
      <c r="P219" s="6">
        <f>IF(AND(O219=1,M219=0),1,0)</f>
        <v/>
      </c>
    </row>
    <row r="220">
      <c r="A220" s="10" t="inlineStr">
        <is>
          <t>GRN52333</t>
        </is>
      </c>
      <c r="B220" s="10" t="inlineStr">
        <is>
          <t>PO18628</t>
        </is>
      </c>
      <c r="C220" s="10" t="inlineStr">
        <is>
          <t>SUP2189</t>
        </is>
      </c>
      <c r="D220" s="10">
        <f>INDEX(Suppliers!$B:$B,MATCH(C220,Suppliers!$A:$A,0))</f>
        <v/>
      </c>
      <c r="E220" s="10" t="inlineStr">
        <is>
          <t>Container cartage</t>
        </is>
      </c>
      <c r="F220" s="5" t="n">
        <v>46286</v>
      </c>
      <c r="G220" s="5" t="n">
        <v>46289</v>
      </c>
      <c r="H220" s="5" t="n">
        <v>46297</v>
      </c>
      <c r="I220" s="10" t="inlineStr">
        <is>
          <t>Very late</t>
        </is>
      </c>
      <c r="J220" s="6" t="n">
        <v>6</v>
      </c>
      <c r="K220" s="10" t="inlineStr">
        <is>
          <t>Port / customs hold</t>
        </is>
      </c>
      <c r="L220" s="6" t="n">
        <v>3</v>
      </c>
      <c r="M220" s="6" t="n">
        <v>0</v>
      </c>
      <c r="N220" s="6" t="n">
        <v>2526</v>
      </c>
      <c r="O220" s="6">
        <f>IF(OR(I220="On time",I220="Late",I220="Very late"),1,0)</f>
        <v/>
      </c>
      <c r="P220" s="6">
        <f>IF(AND(O220=1,M220=0),1,0)</f>
        <v/>
      </c>
    </row>
    <row r="221">
      <c r="A221" s="10" t="inlineStr">
        <is>
          <t>GRN52334</t>
        </is>
      </c>
      <c r="B221" s="10" t="inlineStr">
        <is>
          <t>PO18629</t>
        </is>
      </c>
      <c r="C221" s="10" t="inlineStr">
        <is>
          <t>SUP2304</t>
        </is>
      </c>
      <c r="D221" s="10">
        <f>INDEX(Suppliers!$B:$B,MATCH(C221,Suppliers!$A:$A,0))</f>
        <v/>
      </c>
      <c r="E221" s="10" t="inlineStr">
        <is>
          <t>Supplier's own truck</t>
        </is>
      </c>
      <c r="F221" s="5" t="n">
        <v>46283</v>
      </c>
      <c r="G221" s="5" t="n">
        <v>46289</v>
      </c>
      <c r="H221" s="5" t="n">
        <v>46289</v>
      </c>
      <c r="I221" s="10" t="inlineStr">
        <is>
          <t>On time</t>
        </is>
      </c>
      <c r="J221" s="6" t="n">
        <v>0</v>
      </c>
      <c r="K221" s="10" t="n"/>
      <c r="L221" s="6" t="n">
        <v>19</v>
      </c>
      <c r="M221" s="6" t="n">
        <v>0</v>
      </c>
      <c r="N221" s="6" t="n">
        <v>4408</v>
      </c>
      <c r="O221" s="6">
        <f>IF(OR(I221="On time",I221="Late",I221="Very late"),1,0)</f>
        <v/>
      </c>
      <c r="P221" s="6">
        <f>IF(AND(O221=1,M221=0),1,0)</f>
        <v/>
      </c>
    </row>
    <row r="222">
      <c r="A222" s="10" t="inlineStr">
        <is>
          <t>GRN52335</t>
        </is>
      </c>
      <c r="B222" s="10" t="inlineStr">
        <is>
          <t>PO18630</t>
        </is>
      </c>
      <c r="C222" s="10" t="inlineStr">
        <is>
          <t>SUP2438</t>
        </is>
      </c>
      <c r="D222" s="10">
        <f>INDEX(Suppliers!$B:$B,MATCH(C222,Suppliers!$A:$A,0))</f>
        <v/>
      </c>
      <c r="E222" s="10" t="inlineStr">
        <is>
          <t>Line-haul (road)</t>
        </is>
      </c>
      <c r="F222" s="5" t="n">
        <v>46279</v>
      </c>
      <c r="G222" s="5" t="n">
        <v>46289</v>
      </c>
      <c r="H222" s="5" t="n">
        <v>46289</v>
      </c>
      <c r="I222" s="10" t="inlineStr">
        <is>
          <t>On time</t>
        </is>
      </c>
      <c r="J222" s="6" t="n">
        <v>0</v>
      </c>
      <c r="K222" s="10" t="n"/>
      <c r="L222" s="6" t="n">
        <v>14</v>
      </c>
      <c r="M222" s="6" t="n">
        <v>0</v>
      </c>
      <c r="N222" s="6" t="n">
        <v>8876</v>
      </c>
      <c r="O222" s="6">
        <f>IF(OR(I222="On time",I222="Late",I222="Very late"),1,0)</f>
        <v/>
      </c>
      <c r="P222" s="6">
        <f>IF(AND(O222=1,M222=0),1,0)</f>
        <v/>
      </c>
    </row>
    <row r="223">
      <c r="A223" s="10" t="inlineStr">
        <is>
          <t>GRN52336</t>
        </is>
      </c>
      <c r="B223" s="10" t="inlineStr">
        <is>
          <t>PO18631</t>
        </is>
      </c>
      <c r="C223" s="10" t="inlineStr">
        <is>
          <t>SUP2461</t>
        </is>
      </c>
      <c r="D223" s="10">
        <f>INDEX(Suppliers!$B:$B,MATCH(C223,Suppliers!$A:$A,0))</f>
        <v/>
      </c>
      <c r="E223" s="10" t="inlineStr">
        <is>
          <t>Line-haul (road)</t>
        </is>
      </c>
      <c r="F223" s="5" t="n">
        <v>46276</v>
      </c>
      <c r="G223" s="5" t="n">
        <v>46289</v>
      </c>
      <c r="H223" s="5" t="n">
        <v>46293</v>
      </c>
      <c r="I223" s="10" t="inlineStr">
        <is>
          <t>Very late</t>
        </is>
      </c>
      <c r="J223" s="6" t="n">
        <v>2</v>
      </c>
      <c r="K223" s="10" t="inlineStr">
        <is>
          <t>Supplier stock shortage</t>
        </is>
      </c>
      <c r="L223" s="6" t="n">
        <v>6</v>
      </c>
      <c r="M223" s="6" t="n">
        <v>0</v>
      </c>
      <c r="N223" s="6" t="n">
        <v>2940</v>
      </c>
      <c r="O223" s="6">
        <f>IF(OR(I223="On time",I223="Late",I223="Very late"),1,0)</f>
        <v/>
      </c>
      <c r="P223" s="6">
        <f>IF(AND(O223=1,M223=0),1,0)</f>
        <v/>
      </c>
    </row>
    <row r="224">
      <c r="A224" s="10" t="inlineStr">
        <is>
          <t>GRN52337</t>
        </is>
      </c>
      <c r="B224" s="10" t="inlineStr">
        <is>
          <t>PO18632</t>
        </is>
      </c>
      <c r="C224" s="10" t="inlineStr">
        <is>
          <t>SUP2542</t>
        </is>
      </c>
      <c r="D224" s="10">
        <f>INDEX(Suppliers!$B:$B,MATCH(C224,Suppliers!$A:$A,0))</f>
        <v/>
      </c>
      <c r="E224" s="10" t="inlineStr">
        <is>
          <t>Supplier's own truck</t>
        </is>
      </c>
      <c r="F224" s="5" t="n">
        <v>46281</v>
      </c>
      <c r="G224" s="5" t="n">
        <v>46289</v>
      </c>
      <c r="H224" s="5" t="n">
        <v>46289</v>
      </c>
      <c r="I224" s="10" t="inlineStr">
        <is>
          <t>On time</t>
        </is>
      </c>
      <c r="J224" s="6" t="n">
        <v>0</v>
      </c>
      <c r="K224" s="10" t="n"/>
      <c r="L224" s="6" t="n">
        <v>27</v>
      </c>
      <c r="M224" s="6" t="n">
        <v>0</v>
      </c>
      <c r="N224" s="6" t="n">
        <v>10746</v>
      </c>
      <c r="O224" s="6">
        <f>IF(OR(I224="On time",I224="Late",I224="Very late"),1,0)</f>
        <v/>
      </c>
      <c r="P224" s="6">
        <f>IF(AND(O224=1,M224=0),1,0)</f>
        <v/>
      </c>
    </row>
    <row r="225">
      <c r="A225" s="10" t="inlineStr">
        <is>
          <t>GRN52338</t>
        </is>
      </c>
      <c r="B225" s="10" t="inlineStr">
        <is>
          <t>PO18633</t>
        </is>
      </c>
      <c r="C225" s="10" t="inlineStr">
        <is>
          <t>SUP2151</t>
        </is>
      </c>
      <c r="D225" s="10">
        <f>INDEX(Suppliers!$B:$B,MATCH(C225,Suppliers!$A:$A,0))</f>
        <v/>
      </c>
      <c r="E225" s="10" t="inlineStr">
        <is>
          <t>Line-haul (road)</t>
        </is>
      </c>
      <c r="F225" s="5" t="n">
        <v>46283</v>
      </c>
      <c r="G225" s="5" t="n">
        <v>46290</v>
      </c>
      <c r="H225" s="5" t="n">
        <v>46293</v>
      </c>
      <c r="I225" s="10" t="inlineStr">
        <is>
          <t>Late</t>
        </is>
      </c>
      <c r="J225" s="6" t="n">
        <v>1</v>
      </c>
      <c r="K225" s="10" t="inlineStr">
        <is>
          <t>Line-haul delay</t>
        </is>
      </c>
      <c r="L225" s="6" t="n">
        <v>28</v>
      </c>
      <c r="M225" s="6" t="n">
        <v>0</v>
      </c>
      <c r="N225" s="6" t="n">
        <v>24304</v>
      </c>
      <c r="O225" s="6">
        <f>IF(OR(I225="On time",I225="Late",I225="Very late"),1,0)</f>
        <v/>
      </c>
      <c r="P225" s="6">
        <f>IF(AND(O225=1,M225=0),1,0)</f>
        <v/>
      </c>
    </row>
    <row r="226">
      <c r="A226" s="10" t="inlineStr">
        <is>
          <t>GRN52340</t>
        </is>
      </c>
      <c r="B226" s="10" t="inlineStr">
        <is>
          <t>PO18634</t>
        </is>
      </c>
      <c r="C226" s="10" t="inlineStr">
        <is>
          <t>SUP2189</t>
        </is>
      </c>
      <c r="D226" s="10">
        <f>INDEX(Suppliers!$B:$B,MATCH(C226,Suppliers!$A:$A,0))</f>
        <v/>
      </c>
      <c r="E226" s="10" t="inlineStr">
        <is>
          <t>Container cartage</t>
        </is>
      </c>
      <c r="F226" s="5" t="n">
        <v>46283</v>
      </c>
      <c r="G226" s="5" t="n">
        <v>46290</v>
      </c>
      <c r="H226" s="5" t="n"/>
      <c r="I226" s="10" t="inlineStr">
        <is>
          <t>Overdue</t>
        </is>
      </c>
      <c r="J226" s="6" t="n">
        <v>6</v>
      </c>
      <c r="K226" s="10" t="inlineStr">
        <is>
          <t>Port / customs hold</t>
        </is>
      </c>
      <c r="L226" s="6" t="n">
        <v>9</v>
      </c>
      <c r="M226" s="6" t="n">
        <v>0</v>
      </c>
      <c r="N226" s="6" t="n">
        <v>6084</v>
      </c>
      <c r="O226" s="6">
        <f>IF(OR(I226="On time",I226="Late",I226="Very late"),1,0)</f>
        <v/>
      </c>
      <c r="P226" s="6">
        <f>IF(AND(O226=1,M226=0),1,0)</f>
        <v/>
      </c>
    </row>
    <row r="227">
      <c r="A227" s="10" t="inlineStr">
        <is>
          <t>GRN52341</t>
        </is>
      </c>
      <c r="B227" s="10" t="inlineStr">
        <is>
          <t>PO18635</t>
        </is>
      </c>
      <c r="C227" s="10" t="inlineStr">
        <is>
          <t>SUP2219</t>
        </is>
      </c>
      <c r="D227" s="10">
        <f>INDEX(Suppliers!$B:$B,MATCH(C227,Suppliers!$A:$A,0))</f>
        <v/>
      </c>
      <c r="E227" s="10" t="inlineStr">
        <is>
          <t>Supplier's own truck</t>
        </is>
      </c>
      <c r="F227" s="5" t="n">
        <v>46281</v>
      </c>
      <c r="G227" s="5" t="n">
        <v>46290</v>
      </c>
      <c r="H227" s="5" t="n">
        <v>46290</v>
      </c>
      <c r="I227" s="10" t="inlineStr">
        <is>
          <t>On time</t>
        </is>
      </c>
      <c r="J227" s="6" t="n">
        <v>0</v>
      </c>
      <c r="K227" s="10" t="n"/>
      <c r="L227" s="6" t="n">
        <v>7</v>
      </c>
      <c r="M227" s="6" t="n">
        <v>0</v>
      </c>
      <c r="N227" s="6" t="n">
        <v>3227</v>
      </c>
      <c r="O227" s="6">
        <f>IF(OR(I227="On time",I227="Late",I227="Very late"),1,0)</f>
        <v/>
      </c>
      <c r="P227" s="6">
        <f>IF(AND(O227=1,M227=0),1,0)</f>
        <v/>
      </c>
    </row>
    <row r="228">
      <c r="A228" s="10" t="inlineStr">
        <is>
          <t>GRN52342</t>
        </is>
      </c>
      <c r="B228" s="10" t="inlineStr">
        <is>
          <t>PO18637</t>
        </is>
      </c>
      <c r="C228" s="10" t="inlineStr">
        <is>
          <t>SUP2304</t>
        </is>
      </c>
      <c r="D228" s="10">
        <f>INDEX(Suppliers!$B:$B,MATCH(C228,Suppliers!$A:$A,0))</f>
        <v/>
      </c>
      <c r="E228" s="10" t="inlineStr">
        <is>
          <t>Supplier's own truck</t>
        </is>
      </c>
      <c r="F228" s="5" t="n">
        <v>46286</v>
      </c>
      <c r="G228" s="5" t="n">
        <v>46290</v>
      </c>
      <c r="H228" s="5" t="n">
        <v>46290</v>
      </c>
      <c r="I228" s="10" t="inlineStr">
        <is>
          <t>On time</t>
        </is>
      </c>
      <c r="J228" s="6" t="n">
        <v>0</v>
      </c>
      <c r="K228" s="10" t="n"/>
      <c r="L228" s="6" t="n">
        <v>24</v>
      </c>
      <c r="M228" s="6" t="n">
        <v>0</v>
      </c>
      <c r="N228" s="6" t="n">
        <v>16536</v>
      </c>
      <c r="O228" s="6">
        <f>IF(OR(I228="On time",I228="Late",I228="Very late"),1,0)</f>
        <v/>
      </c>
      <c r="P228" s="6">
        <f>IF(AND(O228=1,M228=0),1,0)</f>
        <v/>
      </c>
    </row>
    <row r="229">
      <c r="A229" s="10" t="inlineStr">
        <is>
          <t>GRN52343</t>
        </is>
      </c>
      <c r="B229" s="10" t="inlineStr">
        <is>
          <t>PO18638</t>
        </is>
      </c>
      <c r="C229" s="10" t="inlineStr">
        <is>
          <t>SUP2336</t>
        </is>
      </c>
      <c r="D229" s="10">
        <f>INDEX(Suppliers!$B:$B,MATCH(C229,Suppliers!$A:$A,0))</f>
        <v/>
      </c>
      <c r="E229" s="10" t="inlineStr">
        <is>
          <t>Line-haul (road)</t>
        </is>
      </c>
      <c r="F229" s="5" t="n">
        <v>46279</v>
      </c>
      <c r="G229" s="5" t="n">
        <v>46290</v>
      </c>
      <c r="H229" s="5" t="n">
        <v>46290</v>
      </c>
      <c r="I229" s="10" t="inlineStr">
        <is>
          <t>On time</t>
        </is>
      </c>
      <c r="J229" s="6" t="n">
        <v>0</v>
      </c>
      <c r="K229" s="10" t="n"/>
      <c r="L229" s="6" t="n">
        <v>4</v>
      </c>
      <c r="M229" s="6" t="n">
        <v>0</v>
      </c>
      <c r="N229" s="6" t="n">
        <v>2612</v>
      </c>
      <c r="O229" s="6">
        <f>IF(OR(I229="On time",I229="Late",I229="Very late"),1,0)</f>
        <v/>
      </c>
      <c r="P229" s="6">
        <f>IF(AND(O229=1,M229=0),1,0)</f>
        <v/>
      </c>
    </row>
    <row r="230">
      <c r="A230" s="10" t="inlineStr">
        <is>
          <t>GRN52344</t>
        </is>
      </c>
      <c r="B230" s="10" t="inlineStr">
        <is>
          <t>PO18639</t>
        </is>
      </c>
      <c r="C230" s="10" t="inlineStr">
        <is>
          <t>SUP2480</t>
        </is>
      </c>
      <c r="D230" s="10">
        <f>INDEX(Suppliers!$B:$B,MATCH(C230,Suppliers!$A:$A,0))</f>
        <v/>
      </c>
      <c r="E230" s="10" t="inlineStr">
        <is>
          <t>Supplier's own truck</t>
        </is>
      </c>
      <c r="F230" s="5" t="n">
        <v>46286</v>
      </c>
      <c r="G230" s="5" t="n">
        <v>46290</v>
      </c>
      <c r="H230" s="5" t="n">
        <v>46290</v>
      </c>
      <c r="I230" s="10" t="inlineStr">
        <is>
          <t>On time</t>
        </is>
      </c>
      <c r="J230" s="6" t="n">
        <v>0</v>
      </c>
      <c r="K230" s="10" t="n"/>
      <c r="L230" s="6" t="n">
        <v>26</v>
      </c>
      <c r="M230" s="6" t="n">
        <v>0</v>
      </c>
      <c r="N230" s="6" t="n">
        <v>11128</v>
      </c>
      <c r="O230" s="6">
        <f>IF(OR(I230="On time",I230="Late",I230="Very late"),1,0)</f>
        <v/>
      </c>
      <c r="P230" s="6">
        <f>IF(AND(O230=1,M230=0),1,0)</f>
        <v/>
      </c>
    </row>
    <row r="231">
      <c r="A231" s="10" t="inlineStr">
        <is>
          <t>GRN52345</t>
        </is>
      </c>
      <c r="B231" s="10" t="inlineStr">
        <is>
          <t>PO18640</t>
        </is>
      </c>
      <c r="C231" s="10" t="inlineStr">
        <is>
          <t>SUP2542</t>
        </is>
      </c>
      <c r="D231" s="10">
        <f>INDEX(Suppliers!$B:$B,MATCH(C231,Suppliers!$A:$A,0))</f>
        <v/>
      </c>
      <c r="E231" s="10" t="inlineStr">
        <is>
          <t>Supplier's own truck</t>
        </is>
      </c>
      <c r="F231" s="5" t="n">
        <v>46287</v>
      </c>
      <c r="G231" s="5" t="n">
        <v>46290</v>
      </c>
      <c r="H231" s="5" t="n">
        <v>46290</v>
      </c>
      <c r="I231" s="10" t="inlineStr">
        <is>
          <t>On time</t>
        </is>
      </c>
      <c r="J231" s="6" t="n">
        <v>0</v>
      </c>
      <c r="K231" s="10" t="n"/>
      <c r="L231" s="6" t="n">
        <v>22</v>
      </c>
      <c r="M231" s="6" t="n">
        <v>0</v>
      </c>
      <c r="N231" s="6" t="n">
        <v>17644</v>
      </c>
      <c r="O231" s="6">
        <f>IF(OR(I231="On time",I231="Late",I231="Very late"),1,0)</f>
        <v/>
      </c>
      <c r="P231" s="6">
        <f>IF(AND(O231=1,M231=0),1,0)</f>
        <v/>
      </c>
    </row>
    <row r="232">
      <c r="A232" s="10" t="inlineStr">
        <is>
          <t>GRN52346</t>
        </is>
      </c>
      <c r="B232" s="10" t="inlineStr">
        <is>
          <t>PO18641</t>
        </is>
      </c>
      <c r="C232" s="10" t="inlineStr">
        <is>
          <t>SUP2208</t>
        </is>
      </c>
      <c r="D232" s="10">
        <f>INDEX(Suppliers!$B:$B,MATCH(C232,Suppliers!$A:$A,0))</f>
        <v/>
      </c>
      <c r="E232" s="10" t="inlineStr">
        <is>
          <t>Supplier's own truck</t>
        </is>
      </c>
      <c r="F232" s="5" t="n">
        <v>46283</v>
      </c>
      <c r="G232" s="5" t="n">
        <v>46293</v>
      </c>
      <c r="H232" s="5" t="n">
        <v>46293</v>
      </c>
      <c r="I232" s="10" t="inlineStr">
        <is>
          <t>On time</t>
        </is>
      </c>
      <c r="J232" s="6" t="n">
        <v>0</v>
      </c>
      <c r="K232" s="10" t="n"/>
      <c r="L232" s="6" t="n">
        <v>3</v>
      </c>
      <c r="M232" s="6" t="n">
        <v>0</v>
      </c>
      <c r="N232" s="6" t="n">
        <v>2547</v>
      </c>
      <c r="O232" s="6">
        <f>IF(OR(I232="On time",I232="Late",I232="Very late"),1,0)</f>
        <v/>
      </c>
      <c r="P232" s="6">
        <f>IF(AND(O232=1,M232=0),1,0)</f>
        <v/>
      </c>
    </row>
    <row r="233">
      <c r="A233" s="10" t="inlineStr">
        <is>
          <t>GRN52347</t>
        </is>
      </c>
      <c r="B233" s="10" t="inlineStr">
        <is>
          <t>PO18642</t>
        </is>
      </c>
      <c r="C233" s="10" t="inlineStr">
        <is>
          <t>SUP2336</t>
        </is>
      </c>
      <c r="D233" s="10">
        <f>INDEX(Suppliers!$B:$B,MATCH(C233,Suppliers!$A:$A,0))</f>
        <v/>
      </c>
      <c r="E233" s="10" t="inlineStr">
        <is>
          <t>Line-haul (road)</t>
        </is>
      </c>
      <c r="F233" s="5" t="n">
        <v>46279</v>
      </c>
      <c r="G233" s="5" t="n">
        <v>46293</v>
      </c>
      <c r="H233" s="5" t="n">
        <v>46293</v>
      </c>
      <c r="I233" s="10" t="inlineStr">
        <is>
          <t>On time</t>
        </is>
      </c>
      <c r="J233" s="6" t="n">
        <v>0</v>
      </c>
      <c r="K233" s="10" t="n"/>
      <c r="L233" s="6" t="n">
        <v>9</v>
      </c>
      <c r="M233" s="6" t="n">
        <v>0</v>
      </c>
      <c r="N233" s="6" t="n">
        <v>6462</v>
      </c>
      <c r="O233" s="6">
        <f>IF(OR(I233="On time",I233="Late",I233="Very late"),1,0)</f>
        <v/>
      </c>
      <c r="P233" s="6">
        <f>IF(AND(O233=1,M233=0),1,0)</f>
        <v/>
      </c>
    </row>
    <row r="234">
      <c r="A234" s="10" t="inlineStr">
        <is>
          <t>GRN52348</t>
        </is>
      </c>
      <c r="B234" s="10" t="inlineStr">
        <is>
          <t>PO18643</t>
        </is>
      </c>
      <c r="C234" s="10" t="inlineStr">
        <is>
          <t>SUP2438</t>
        </is>
      </c>
      <c r="D234" s="10">
        <f>INDEX(Suppliers!$B:$B,MATCH(C234,Suppliers!$A:$A,0))</f>
        <v/>
      </c>
      <c r="E234" s="10" t="inlineStr">
        <is>
          <t>Line-haul (road)</t>
        </is>
      </c>
      <c r="F234" s="5" t="n">
        <v>46286</v>
      </c>
      <c r="G234" s="5" t="n">
        <v>46293</v>
      </c>
      <c r="H234" s="5" t="n">
        <v>46293</v>
      </c>
      <c r="I234" s="10" t="inlineStr">
        <is>
          <t>On time</t>
        </is>
      </c>
      <c r="J234" s="6" t="n">
        <v>0</v>
      </c>
      <c r="K234" s="10" t="n"/>
      <c r="L234" s="6" t="n">
        <v>8</v>
      </c>
      <c r="M234" s="6" t="n">
        <v>0</v>
      </c>
      <c r="N234" s="6" t="n">
        <v>5096</v>
      </c>
      <c r="O234" s="6">
        <f>IF(OR(I234="On time",I234="Late",I234="Very late"),1,0)</f>
        <v/>
      </c>
      <c r="P234" s="6">
        <f>IF(AND(O234=1,M234=0),1,0)</f>
        <v/>
      </c>
    </row>
    <row r="235">
      <c r="A235" s="10" t="inlineStr">
        <is>
          <t>GRN52349</t>
        </is>
      </c>
      <c r="B235" s="10" t="inlineStr">
        <is>
          <t>PO18645</t>
        </is>
      </c>
      <c r="C235" s="10" t="inlineStr">
        <is>
          <t>SUP2480</t>
        </is>
      </c>
      <c r="D235" s="10">
        <f>INDEX(Suppliers!$B:$B,MATCH(C235,Suppliers!$A:$A,0))</f>
        <v/>
      </c>
      <c r="E235" s="10" t="inlineStr">
        <is>
          <t>Supplier's own truck</t>
        </is>
      </c>
      <c r="F235" s="5" t="n">
        <v>46282</v>
      </c>
      <c r="G235" s="5" t="n">
        <v>46293</v>
      </c>
      <c r="H235" s="5" t="n">
        <v>46293</v>
      </c>
      <c r="I235" s="10" t="inlineStr">
        <is>
          <t>On time</t>
        </is>
      </c>
      <c r="J235" s="6" t="n">
        <v>0</v>
      </c>
      <c r="K235" s="10" t="n"/>
      <c r="L235" s="6" t="n">
        <v>12</v>
      </c>
      <c r="M235" s="6" t="n">
        <v>3</v>
      </c>
      <c r="N235" s="6" t="n">
        <v>6900</v>
      </c>
      <c r="O235" s="6">
        <f>IF(OR(I235="On time",I235="Late",I235="Very late"),1,0)</f>
        <v/>
      </c>
      <c r="P235" s="6">
        <f>IF(AND(O235=1,M235=0),1,0)</f>
        <v/>
      </c>
    </row>
    <row r="236">
      <c r="A236" s="10" t="inlineStr">
        <is>
          <t>GRN52350</t>
        </is>
      </c>
      <c r="B236" s="10" t="inlineStr">
        <is>
          <t>PO18646</t>
        </is>
      </c>
      <c r="C236" s="10" t="inlineStr">
        <is>
          <t>SUP2506</t>
        </is>
      </c>
      <c r="D236" s="10">
        <f>INDEX(Suppliers!$B:$B,MATCH(C236,Suppliers!$A:$A,0))</f>
        <v/>
      </c>
      <c r="E236" s="10" t="inlineStr">
        <is>
          <t>Air freight</t>
        </is>
      </c>
      <c r="F236" s="5" t="n">
        <v>46283</v>
      </c>
      <c r="G236" s="5" t="n">
        <v>46293</v>
      </c>
      <c r="H236" s="5" t="n">
        <v>46293</v>
      </c>
      <c r="I236" s="10" t="inlineStr">
        <is>
          <t>On time</t>
        </is>
      </c>
      <c r="J236" s="6" t="n">
        <v>0</v>
      </c>
      <c r="K236" s="10" t="n"/>
      <c r="L236" s="6" t="n">
        <v>10</v>
      </c>
      <c r="M236" s="6" t="n">
        <v>0</v>
      </c>
      <c r="N236" s="6" t="n">
        <v>6720</v>
      </c>
      <c r="O236" s="6">
        <f>IF(OR(I236="On time",I236="Late",I236="Very late"),1,0)</f>
        <v/>
      </c>
      <c r="P236" s="6">
        <f>IF(AND(O236=1,M236=0),1,0)</f>
        <v/>
      </c>
    </row>
    <row r="237">
      <c r="A237" s="10" t="inlineStr">
        <is>
          <t>GRN52351</t>
        </is>
      </c>
      <c r="B237" s="10" t="inlineStr">
        <is>
          <t>PO18647</t>
        </is>
      </c>
      <c r="C237" s="10" t="inlineStr">
        <is>
          <t>SUP2542</t>
        </is>
      </c>
      <c r="D237" s="10">
        <f>INDEX(Suppliers!$B:$B,MATCH(C237,Suppliers!$A:$A,0))</f>
        <v/>
      </c>
      <c r="E237" s="10" t="inlineStr">
        <is>
          <t>Supplier's own truck</t>
        </is>
      </c>
      <c r="F237" s="5" t="n">
        <v>46282</v>
      </c>
      <c r="G237" s="5" t="n">
        <v>46293</v>
      </c>
      <c r="H237" s="5" t="n">
        <v>46293</v>
      </c>
      <c r="I237" s="10" t="inlineStr">
        <is>
          <t>On time</t>
        </is>
      </c>
      <c r="J237" s="6" t="n">
        <v>0</v>
      </c>
      <c r="K237" s="10" t="n"/>
      <c r="L237" s="6" t="n">
        <v>30</v>
      </c>
      <c r="M237" s="6" t="n">
        <v>0</v>
      </c>
      <c r="N237" s="6" t="n">
        <v>14100</v>
      </c>
      <c r="O237" s="6">
        <f>IF(OR(I237="On time",I237="Late",I237="Very late"),1,0)</f>
        <v/>
      </c>
      <c r="P237" s="6">
        <f>IF(AND(O237=1,M237=0),1,0)</f>
        <v/>
      </c>
    </row>
    <row r="238">
      <c r="A238" s="10" t="inlineStr">
        <is>
          <t>GRN52352</t>
        </is>
      </c>
      <c r="B238" s="10" t="inlineStr">
        <is>
          <t>PO18648</t>
        </is>
      </c>
      <c r="C238" s="10" t="inlineStr">
        <is>
          <t>SUP2078</t>
        </is>
      </c>
      <c r="D238" s="10">
        <f>INDEX(Suppliers!$B:$B,MATCH(C238,Suppliers!$A:$A,0))</f>
        <v/>
      </c>
      <c r="E238" s="10" t="inlineStr">
        <is>
          <t>Line-haul (road)</t>
        </is>
      </c>
      <c r="F238" s="5" t="n">
        <v>46288</v>
      </c>
      <c r="G238" s="5" t="n">
        <v>46294</v>
      </c>
      <c r="H238" s="5" t="n">
        <v>46294</v>
      </c>
      <c r="I238" s="10" t="inlineStr">
        <is>
          <t>On time</t>
        </is>
      </c>
      <c r="J238" s="6" t="n">
        <v>0</v>
      </c>
      <c r="K238" s="10" t="n"/>
      <c r="L238" s="6" t="n">
        <v>4</v>
      </c>
      <c r="M238" s="6" t="n">
        <v>0</v>
      </c>
      <c r="N238" s="6" t="n">
        <v>1716</v>
      </c>
      <c r="O238" s="6">
        <f>IF(OR(I238="On time",I238="Late",I238="Very late"),1,0)</f>
        <v/>
      </c>
      <c r="P238" s="6">
        <f>IF(AND(O238=1,M238=0),1,0)</f>
        <v/>
      </c>
    </row>
    <row r="239">
      <c r="A239" s="10" t="inlineStr">
        <is>
          <t>GRN52353</t>
        </is>
      </c>
      <c r="B239" s="10" t="inlineStr">
        <is>
          <t>PO18650</t>
        </is>
      </c>
      <c r="C239" s="10" t="inlineStr">
        <is>
          <t>SUP2109</t>
        </is>
      </c>
      <c r="D239" s="10">
        <f>INDEX(Suppliers!$B:$B,MATCH(C239,Suppliers!$A:$A,0))</f>
        <v/>
      </c>
      <c r="E239" s="10" t="inlineStr">
        <is>
          <t>Line-haul (road)</t>
        </is>
      </c>
      <c r="F239" s="5" t="n">
        <v>46282</v>
      </c>
      <c r="G239" s="5" t="n">
        <v>46294</v>
      </c>
      <c r="H239" s="5" t="n">
        <v>46294</v>
      </c>
      <c r="I239" s="10" t="inlineStr">
        <is>
          <t>On time</t>
        </is>
      </c>
      <c r="J239" s="6" t="n">
        <v>0</v>
      </c>
      <c r="K239" s="10" t="n"/>
      <c r="L239" s="6" t="n">
        <v>12</v>
      </c>
      <c r="M239" s="6" t="n">
        <v>2</v>
      </c>
      <c r="N239" s="6" t="n">
        <v>4968</v>
      </c>
      <c r="O239" s="6">
        <f>IF(OR(I239="On time",I239="Late",I239="Very late"),1,0)</f>
        <v/>
      </c>
      <c r="P239" s="6">
        <f>IF(AND(O239=1,M239=0),1,0)</f>
        <v/>
      </c>
    </row>
    <row r="240">
      <c r="A240" s="10" t="inlineStr">
        <is>
          <t>GRN52354</t>
        </is>
      </c>
      <c r="B240" s="10" t="inlineStr">
        <is>
          <t>PO18652</t>
        </is>
      </c>
      <c r="C240" s="10" t="inlineStr">
        <is>
          <t>SUP2151</t>
        </is>
      </c>
      <c r="D240" s="10">
        <f>INDEX(Suppliers!$B:$B,MATCH(C240,Suppliers!$A:$A,0))</f>
        <v/>
      </c>
      <c r="E240" s="10" t="inlineStr">
        <is>
          <t>Line-haul (road)</t>
        </is>
      </c>
      <c r="F240" s="5" t="n">
        <v>46286</v>
      </c>
      <c r="G240" s="5" t="n">
        <v>46294</v>
      </c>
      <c r="H240" s="5" t="n">
        <v>46294</v>
      </c>
      <c r="I240" s="10" t="inlineStr">
        <is>
          <t>On time</t>
        </is>
      </c>
      <c r="J240" s="6" t="n">
        <v>0</v>
      </c>
      <c r="K240" s="10" t="n"/>
      <c r="L240" s="6" t="n">
        <v>10</v>
      </c>
      <c r="M240" s="6" t="n">
        <v>0</v>
      </c>
      <c r="N240" s="6" t="n">
        <v>8450</v>
      </c>
      <c r="O240" s="6">
        <f>IF(OR(I240="On time",I240="Late",I240="Very late"),1,0)</f>
        <v/>
      </c>
      <c r="P240" s="6">
        <f>IF(AND(O240=1,M240=0),1,0)</f>
        <v/>
      </c>
    </row>
    <row r="241">
      <c r="A241" s="10" t="inlineStr">
        <is>
          <t>GRN52355</t>
        </is>
      </c>
      <c r="B241" s="10" t="inlineStr">
        <is>
          <t>PO18653</t>
        </is>
      </c>
      <c r="C241" s="10" t="inlineStr">
        <is>
          <t>SUP2304</t>
        </is>
      </c>
      <c r="D241" s="10">
        <f>INDEX(Suppliers!$B:$B,MATCH(C241,Suppliers!$A:$A,0))</f>
        <v/>
      </c>
      <c r="E241" s="10" t="inlineStr">
        <is>
          <t>Supplier's own truck</t>
        </is>
      </c>
      <c r="F241" s="5" t="n">
        <v>46289</v>
      </c>
      <c r="G241" s="5" t="n">
        <v>46294</v>
      </c>
      <c r="H241" s="5" t="n">
        <v>46294</v>
      </c>
      <c r="I241" s="10" t="inlineStr">
        <is>
          <t>On time</t>
        </is>
      </c>
      <c r="J241" s="6" t="n">
        <v>0</v>
      </c>
      <c r="K241" s="10" t="n"/>
      <c r="L241" s="6" t="n">
        <v>24</v>
      </c>
      <c r="M241" s="6" t="n">
        <v>0</v>
      </c>
      <c r="N241" s="6" t="n">
        <v>6936</v>
      </c>
      <c r="O241" s="6">
        <f>IF(OR(I241="On time",I241="Late",I241="Very late"),1,0)</f>
        <v/>
      </c>
      <c r="P241" s="6">
        <f>IF(AND(O241=1,M241=0),1,0)</f>
        <v/>
      </c>
    </row>
    <row r="242">
      <c r="A242" s="10" t="inlineStr">
        <is>
          <t>GRN52356</t>
        </is>
      </c>
      <c r="B242" s="10" t="inlineStr">
        <is>
          <t>PO18654</t>
        </is>
      </c>
      <c r="C242" s="10" t="inlineStr">
        <is>
          <t>SUP2336</t>
        </is>
      </c>
      <c r="D242" s="10">
        <f>INDEX(Suppliers!$B:$B,MATCH(C242,Suppliers!$A:$A,0))</f>
        <v/>
      </c>
      <c r="E242" s="10" t="inlineStr">
        <is>
          <t>Line-haul (road)</t>
        </is>
      </c>
      <c r="F242" s="5" t="n">
        <v>46282</v>
      </c>
      <c r="G242" s="5" t="n">
        <v>46294</v>
      </c>
      <c r="H242" s="5" t="n">
        <v>46294</v>
      </c>
      <c r="I242" s="10" t="inlineStr">
        <is>
          <t>On time</t>
        </is>
      </c>
      <c r="J242" s="6" t="n">
        <v>0</v>
      </c>
      <c r="K242" s="10" t="n"/>
      <c r="L242" s="6" t="n">
        <v>28</v>
      </c>
      <c r="M242" s="6" t="n">
        <v>0</v>
      </c>
      <c r="N242" s="6" t="n">
        <v>21196</v>
      </c>
      <c r="O242" s="6">
        <f>IF(OR(I242="On time",I242="Late",I242="Very late"),1,0)</f>
        <v/>
      </c>
      <c r="P242" s="6">
        <f>IF(AND(O242=1,M242=0),1,0)</f>
        <v/>
      </c>
    </row>
    <row r="243">
      <c r="A243" s="10" t="inlineStr">
        <is>
          <t>GRN52357</t>
        </is>
      </c>
      <c r="B243" s="10" t="inlineStr">
        <is>
          <t>PO18655</t>
        </is>
      </c>
      <c r="C243" s="10" t="inlineStr">
        <is>
          <t>SUP2480</t>
        </is>
      </c>
      <c r="D243" s="10">
        <f>INDEX(Suppliers!$B:$B,MATCH(C243,Suppliers!$A:$A,0))</f>
        <v/>
      </c>
      <c r="E243" s="10" t="inlineStr">
        <is>
          <t>Supplier's own truck</t>
        </is>
      </c>
      <c r="F243" s="5" t="n">
        <v>46289</v>
      </c>
      <c r="G243" s="5" t="n">
        <v>46294</v>
      </c>
      <c r="H243" s="5" t="n">
        <v>46294</v>
      </c>
      <c r="I243" s="10" t="inlineStr">
        <is>
          <t>On time</t>
        </is>
      </c>
      <c r="J243" s="6" t="n">
        <v>0</v>
      </c>
      <c r="K243" s="10" t="n"/>
      <c r="L243" s="6" t="n">
        <v>20</v>
      </c>
      <c r="M243" s="6" t="n">
        <v>0</v>
      </c>
      <c r="N243" s="6" t="n">
        <v>14760</v>
      </c>
      <c r="O243" s="6">
        <f>IF(OR(I243="On time",I243="Late",I243="Very late"),1,0)</f>
        <v/>
      </c>
      <c r="P243" s="6">
        <f>IF(AND(O243=1,M243=0),1,0)</f>
        <v/>
      </c>
    </row>
    <row r="244">
      <c r="A244" s="10" t="inlineStr">
        <is>
          <t>GRN52358</t>
        </is>
      </c>
      <c r="B244" s="10" t="inlineStr">
        <is>
          <t>PO18656</t>
        </is>
      </c>
      <c r="C244" s="10" t="inlineStr">
        <is>
          <t>SUP2506</t>
        </is>
      </c>
      <c r="D244" s="10">
        <f>INDEX(Suppliers!$B:$B,MATCH(C244,Suppliers!$A:$A,0))</f>
        <v/>
      </c>
      <c r="E244" s="10" t="inlineStr">
        <is>
          <t>Air freight</t>
        </is>
      </c>
      <c r="F244" s="5" t="n">
        <v>46286</v>
      </c>
      <c r="G244" s="5" t="n">
        <v>46294</v>
      </c>
      <c r="H244" s="5" t="n">
        <v>46294</v>
      </c>
      <c r="I244" s="10" t="inlineStr">
        <is>
          <t>On time</t>
        </is>
      </c>
      <c r="J244" s="6" t="n">
        <v>0</v>
      </c>
      <c r="K244" s="10" t="n"/>
      <c r="L244" s="6" t="n">
        <v>7</v>
      </c>
      <c r="M244" s="6" t="n">
        <v>2</v>
      </c>
      <c r="N244" s="6" t="n">
        <v>1778</v>
      </c>
      <c r="O244" s="6">
        <f>IF(OR(I244="On time",I244="Late",I244="Very late"),1,0)</f>
        <v/>
      </c>
      <c r="P244" s="6">
        <f>IF(AND(O244=1,M244=0),1,0)</f>
        <v/>
      </c>
    </row>
    <row r="245">
      <c r="A245" s="10" t="inlineStr">
        <is>
          <t>GRN52359</t>
        </is>
      </c>
      <c r="B245" s="10" t="inlineStr">
        <is>
          <t>PO18658</t>
        </is>
      </c>
      <c r="C245" s="10" t="inlineStr">
        <is>
          <t>SUP2542</t>
        </is>
      </c>
      <c r="D245" s="10">
        <f>INDEX(Suppliers!$B:$B,MATCH(C245,Suppliers!$A:$A,0))</f>
        <v/>
      </c>
      <c r="E245" s="10" t="inlineStr">
        <is>
          <t>Supplier's own truck</t>
        </is>
      </c>
      <c r="F245" s="5" t="n">
        <v>46283</v>
      </c>
      <c r="G245" s="5" t="n">
        <v>46294</v>
      </c>
      <c r="H245" s="5" t="n">
        <v>46294</v>
      </c>
      <c r="I245" s="10" t="inlineStr">
        <is>
          <t>On time</t>
        </is>
      </c>
      <c r="J245" s="6" t="n">
        <v>0</v>
      </c>
      <c r="K245" s="10" t="n"/>
      <c r="L245" s="6" t="n">
        <v>30</v>
      </c>
      <c r="M245" s="6" t="n">
        <v>0</v>
      </c>
      <c r="N245" s="6" t="n">
        <v>17430</v>
      </c>
      <c r="O245" s="6">
        <f>IF(OR(I245="On time",I245="Late",I245="Very late"),1,0)</f>
        <v/>
      </c>
      <c r="P245" s="6">
        <f>IF(AND(O245=1,M245=0),1,0)</f>
        <v/>
      </c>
    </row>
    <row r="246">
      <c r="A246" s="10" t="inlineStr">
        <is>
          <t>GRN52360</t>
        </is>
      </c>
      <c r="B246" s="10" t="inlineStr">
        <is>
          <t>PO18659</t>
        </is>
      </c>
      <c r="C246" s="10" t="inlineStr">
        <is>
          <t>SUP2208</t>
        </is>
      </c>
      <c r="D246" s="10">
        <f>INDEX(Suppliers!$B:$B,MATCH(C246,Suppliers!$A:$A,0))</f>
        <v/>
      </c>
      <c r="E246" s="10" t="inlineStr">
        <is>
          <t>Supplier's own truck</t>
        </is>
      </c>
      <c r="F246" s="5" t="n">
        <v>46289</v>
      </c>
      <c r="G246" s="5" t="n">
        <v>46295</v>
      </c>
      <c r="H246" s="5" t="n">
        <v>46295</v>
      </c>
      <c r="I246" s="10" t="inlineStr">
        <is>
          <t>On time</t>
        </is>
      </c>
      <c r="J246" s="6" t="n">
        <v>0</v>
      </c>
      <c r="K246" s="10" t="n"/>
      <c r="L246" s="6" t="n">
        <v>27</v>
      </c>
      <c r="M246" s="6" t="n">
        <v>0</v>
      </c>
      <c r="N246" s="6" t="n">
        <v>12177</v>
      </c>
      <c r="O246" s="6">
        <f>IF(OR(I246="On time",I246="Late",I246="Very late"),1,0)</f>
        <v/>
      </c>
      <c r="P246" s="6">
        <f>IF(AND(O246=1,M246=0),1,0)</f>
        <v/>
      </c>
    </row>
    <row r="247">
      <c r="A247" s="10" t="inlineStr">
        <is>
          <t>GRN52361</t>
        </is>
      </c>
      <c r="B247" s="10" t="inlineStr">
        <is>
          <t>PO18660</t>
        </is>
      </c>
      <c r="C247" s="10" t="inlineStr">
        <is>
          <t>SUP2219</t>
        </is>
      </c>
      <c r="D247" s="10">
        <f>INDEX(Suppliers!$B:$B,MATCH(C247,Suppliers!$A:$A,0))</f>
        <v/>
      </c>
      <c r="E247" s="10" t="inlineStr">
        <is>
          <t>Supplier's own truck</t>
        </is>
      </c>
      <c r="F247" s="5" t="n">
        <v>46287</v>
      </c>
      <c r="G247" s="5" t="n">
        <v>46295</v>
      </c>
      <c r="H247" s="5" t="n">
        <v>46295</v>
      </c>
      <c r="I247" s="10" t="inlineStr">
        <is>
          <t>On time</t>
        </is>
      </c>
      <c r="J247" s="6" t="n">
        <v>0</v>
      </c>
      <c r="K247" s="10" t="n"/>
      <c r="L247" s="6" t="n">
        <v>5</v>
      </c>
      <c r="M247" s="6" t="n">
        <v>0</v>
      </c>
      <c r="N247" s="6" t="n">
        <v>3985</v>
      </c>
      <c r="O247" s="6">
        <f>IF(OR(I247="On time",I247="Late",I247="Very late"),1,0)</f>
        <v/>
      </c>
      <c r="P247" s="6">
        <f>IF(AND(O247=1,M247=0),1,0)</f>
        <v/>
      </c>
    </row>
    <row r="248">
      <c r="A248" s="10" t="inlineStr">
        <is>
          <t>GRN52362</t>
        </is>
      </c>
      <c r="B248" s="10" t="inlineStr">
        <is>
          <t>PO18662</t>
        </is>
      </c>
      <c r="C248" s="10" t="inlineStr">
        <is>
          <t>SUP2336</t>
        </is>
      </c>
      <c r="D248" s="10">
        <f>INDEX(Suppliers!$B:$B,MATCH(C248,Suppliers!$A:$A,0))</f>
        <v/>
      </c>
      <c r="E248" s="10" t="inlineStr">
        <is>
          <t>Line-haul (road)</t>
        </is>
      </c>
      <c r="F248" s="5" t="n">
        <v>46283</v>
      </c>
      <c r="G248" s="5" t="n">
        <v>46295</v>
      </c>
      <c r="H248" s="5" t="n">
        <v>46295</v>
      </c>
      <c r="I248" s="10" t="inlineStr">
        <is>
          <t>On time</t>
        </is>
      </c>
      <c r="J248" s="6" t="n">
        <v>0</v>
      </c>
      <c r="K248" s="10" t="n"/>
      <c r="L248" s="6" t="n">
        <v>7</v>
      </c>
      <c r="M248" s="6" t="n">
        <v>0</v>
      </c>
      <c r="N248" s="6" t="n">
        <v>4991</v>
      </c>
      <c r="O248" s="6">
        <f>IF(OR(I248="On time",I248="Late",I248="Very late"),1,0)</f>
        <v/>
      </c>
      <c r="P248" s="6">
        <f>IF(AND(O248=1,M248=0),1,0)</f>
        <v/>
      </c>
    </row>
    <row r="249">
      <c r="A249" s="10" t="inlineStr">
        <is>
          <t>GRN52363</t>
        </is>
      </c>
      <c r="B249" s="10" t="inlineStr">
        <is>
          <t>PO18663</t>
        </is>
      </c>
      <c r="C249" s="10" t="inlineStr">
        <is>
          <t>SUP2438</t>
        </is>
      </c>
      <c r="D249" s="10">
        <f>INDEX(Suppliers!$B:$B,MATCH(C249,Suppliers!$A:$A,0))</f>
        <v/>
      </c>
      <c r="E249" s="10" t="inlineStr">
        <is>
          <t>Line-haul (road)</t>
        </is>
      </c>
      <c r="F249" s="5" t="n">
        <v>46288</v>
      </c>
      <c r="G249" s="5" t="n">
        <v>46295</v>
      </c>
      <c r="H249" s="5" t="n">
        <v>46295</v>
      </c>
      <c r="I249" s="10" t="inlineStr">
        <is>
          <t>On time</t>
        </is>
      </c>
      <c r="J249" s="6" t="n">
        <v>0</v>
      </c>
      <c r="K249" s="10" t="n"/>
      <c r="L249" s="6" t="n">
        <v>23</v>
      </c>
      <c r="M249" s="6" t="n">
        <v>0</v>
      </c>
      <c r="N249" s="6" t="n">
        <v>15847</v>
      </c>
      <c r="O249" s="6">
        <f>IF(OR(I249="On time",I249="Late",I249="Very late"),1,0)</f>
        <v/>
      </c>
      <c r="P249" s="6">
        <f>IF(AND(O249=1,M249=0),1,0)</f>
        <v/>
      </c>
    </row>
    <row r="250">
      <c r="A250" s="10" t="inlineStr">
        <is>
          <t>GRN52364</t>
        </is>
      </c>
      <c r="B250" s="10" t="inlineStr">
        <is>
          <t>PO18664</t>
        </is>
      </c>
      <c r="C250" s="10" t="inlineStr">
        <is>
          <t>SUP2461</t>
        </is>
      </c>
      <c r="D250" s="10">
        <f>INDEX(Suppliers!$B:$B,MATCH(C250,Suppliers!$A:$A,0))</f>
        <v/>
      </c>
      <c r="E250" s="10" t="inlineStr">
        <is>
          <t>Line-haul (road)</t>
        </is>
      </c>
      <c r="F250" s="5" t="n">
        <v>46288</v>
      </c>
      <c r="G250" s="5" t="n">
        <v>46295</v>
      </c>
      <c r="H250" s="5" t="n">
        <v>46295</v>
      </c>
      <c r="I250" s="10" t="inlineStr">
        <is>
          <t>On time</t>
        </is>
      </c>
      <c r="J250" s="6" t="n">
        <v>0</v>
      </c>
      <c r="K250" s="10" t="n"/>
      <c r="L250" s="6" t="n">
        <v>30</v>
      </c>
      <c r="M250" s="6" t="n">
        <v>0</v>
      </c>
      <c r="N250" s="6" t="n">
        <v>15780</v>
      </c>
      <c r="O250" s="6">
        <f>IF(OR(I250="On time",I250="Late",I250="Very late"),1,0)</f>
        <v/>
      </c>
      <c r="P250" s="6">
        <f>IF(AND(O250=1,M250=0),1,0)</f>
        <v/>
      </c>
    </row>
    <row r="251">
      <c r="A251" s="10" t="inlineStr">
        <is>
          <t>GRN52365</t>
        </is>
      </c>
      <c r="B251" s="10" t="inlineStr">
        <is>
          <t>PO18665</t>
        </is>
      </c>
      <c r="C251" s="10" t="inlineStr">
        <is>
          <t>SUP2480</t>
        </is>
      </c>
      <c r="D251" s="10">
        <f>INDEX(Suppliers!$B:$B,MATCH(C251,Suppliers!$A:$A,0))</f>
        <v/>
      </c>
      <c r="E251" s="10" t="inlineStr">
        <is>
          <t>Supplier's own truck</t>
        </is>
      </c>
      <c r="F251" s="5" t="n">
        <v>46287</v>
      </c>
      <c r="G251" s="5" t="n">
        <v>46295</v>
      </c>
      <c r="H251" s="5" t="n">
        <v>46295</v>
      </c>
      <c r="I251" s="10" t="inlineStr">
        <is>
          <t>On time</t>
        </is>
      </c>
      <c r="J251" s="6" t="n">
        <v>0</v>
      </c>
      <c r="K251" s="10" t="n"/>
      <c r="L251" s="6" t="n">
        <v>28</v>
      </c>
      <c r="M251" s="6" t="n">
        <v>0</v>
      </c>
      <c r="N251" s="6" t="n">
        <v>15652</v>
      </c>
      <c r="O251" s="6">
        <f>IF(OR(I251="On time",I251="Late",I251="Very late"),1,0)</f>
        <v/>
      </c>
      <c r="P251" s="6">
        <f>IF(AND(O251=1,M251=0),1,0)</f>
        <v/>
      </c>
    </row>
    <row r="252">
      <c r="A252" s="10" t="inlineStr">
        <is>
          <t>GRN52366</t>
        </is>
      </c>
      <c r="B252" s="10" t="inlineStr">
        <is>
          <t>PO18667</t>
        </is>
      </c>
      <c r="C252" s="10" t="inlineStr">
        <is>
          <t>SUP2506</t>
        </is>
      </c>
      <c r="D252" s="10">
        <f>INDEX(Suppliers!$B:$B,MATCH(C252,Suppliers!$A:$A,0))</f>
        <v/>
      </c>
      <c r="E252" s="10" t="inlineStr">
        <is>
          <t>Air freight</t>
        </is>
      </c>
      <c r="F252" s="5" t="n">
        <v>46288</v>
      </c>
      <c r="G252" s="5" t="n">
        <v>46295</v>
      </c>
      <c r="H252" s="5" t="n">
        <v>46295</v>
      </c>
      <c r="I252" s="10" t="inlineStr">
        <is>
          <t>On time</t>
        </is>
      </c>
      <c r="J252" s="6" t="n">
        <v>0</v>
      </c>
      <c r="K252" s="10" t="n"/>
      <c r="L252" s="6" t="n">
        <v>29</v>
      </c>
      <c r="M252" s="6" t="n">
        <v>0</v>
      </c>
      <c r="N252" s="6" t="n">
        <v>13630</v>
      </c>
      <c r="O252" s="6">
        <f>IF(OR(I252="On time",I252="Late",I252="Very late"),1,0)</f>
        <v/>
      </c>
      <c r="P252" s="6">
        <f>IF(AND(O252=1,M252=0),1,0)</f>
        <v/>
      </c>
    </row>
    <row r="253">
      <c r="A253" s="10" t="inlineStr">
        <is>
          <t>GRN52367</t>
        </is>
      </c>
      <c r="B253" s="10" t="inlineStr">
        <is>
          <t>PO18668</t>
        </is>
      </c>
      <c r="C253" s="10" t="inlineStr">
        <is>
          <t>SUP2078</t>
        </is>
      </c>
      <c r="D253" s="10">
        <f>INDEX(Suppliers!$B:$B,MATCH(C253,Suppliers!$A:$A,0))</f>
        <v/>
      </c>
      <c r="E253" s="10" t="inlineStr">
        <is>
          <t>Line-haul (road)</t>
        </is>
      </c>
      <c r="F253" s="5" t="n">
        <v>46286</v>
      </c>
      <c r="G253" s="5" t="n">
        <v>46296</v>
      </c>
      <c r="H253" s="5" t="n"/>
      <c r="I253" s="10" t="inlineStr">
        <is>
          <t>Overdue</t>
        </is>
      </c>
      <c r="J253" s="6" t="n">
        <v>2</v>
      </c>
      <c r="K253" s="10" t="inlineStr">
        <is>
          <t>Line-haul delay</t>
        </is>
      </c>
      <c r="L253" s="6" t="n">
        <v>8</v>
      </c>
      <c r="M253" s="6" t="n">
        <v>0</v>
      </c>
      <c r="N253" s="6" t="n">
        <v>6216</v>
      </c>
      <c r="O253" s="6">
        <f>IF(OR(I253="On time",I253="Late",I253="Very late"),1,0)</f>
        <v/>
      </c>
      <c r="P253" s="6">
        <f>IF(AND(O253=1,M253=0),1,0)</f>
        <v/>
      </c>
    </row>
    <row r="254">
      <c r="A254" s="10" t="inlineStr">
        <is>
          <t>GRN52368</t>
        </is>
      </c>
      <c r="B254" s="10" t="inlineStr">
        <is>
          <t>PO18669</t>
        </is>
      </c>
      <c r="C254" s="10" t="inlineStr">
        <is>
          <t>SUP2151</t>
        </is>
      </c>
      <c r="D254" s="10">
        <f>INDEX(Suppliers!$B:$B,MATCH(C254,Suppliers!$A:$A,0))</f>
        <v/>
      </c>
      <c r="E254" s="10" t="inlineStr">
        <is>
          <t>Line-haul (road)</t>
        </is>
      </c>
      <c r="F254" s="5" t="n">
        <v>46283</v>
      </c>
      <c r="G254" s="5" t="n">
        <v>46296</v>
      </c>
      <c r="H254" s="5" t="n">
        <v>46296</v>
      </c>
      <c r="I254" s="10" t="inlineStr">
        <is>
          <t>On time</t>
        </is>
      </c>
      <c r="J254" s="6" t="n">
        <v>0</v>
      </c>
      <c r="K254" s="10" t="n"/>
      <c r="L254" s="6" t="n">
        <v>6</v>
      </c>
      <c r="M254" s="6" t="n">
        <v>0</v>
      </c>
      <c r="N254" s="6" t="n">
        <v>1596</v>
      </c>
      <c r="O254" s="6">
        <f>IF(OR(I254="On time",I254="Late",I254="Very late"),1,0)</f>
        <v/>
      </c>
      <c r="P254" s="6">
        <f>IF(AND(O254=1,M254=0),1,0)</f>
        <v/>
      </c>
    </row>
    <row r="255">
      <c r="A255" s="10" t="inlineStr">
        <is>
          <t>GRN52369</t>
        </is>
      </c>
      <c r="B255" s="10" t="inlineStr">
        <is>
          <t>PO18671</t>
        </is>
      </c>
      <c r="C255" s="10" t="inlineStr">
        <is>
          <t>SUP2208</t>
        </is>
      </c>
      <c r="D255" s="10">
        <f>INDEX(Suppliers!$B:$B,MATCH(C255,Suppliers!$A:$A,0))</f>
        <v/>
      </c>
      <c r="E255" s="10" t="inlineStr">
        <is>
          <t>Supplier's own truck</t>
        </is>
      </c>
      <c r="F255" s="5" t="n">
        <v>46289</v>
      </c>
      <c r="G255" s="5" t="n">
        <v>46296</v>
      </c>
      <c r="H255" s="5" t="n">
        <v>46296</v>
      </c>
      <c r="I255" s="10" t="inlineStr">
        <is>
          <t>On time</t>
        </is>
      </c>
      <c r="J255" s="6" t="n">
        <v>0</v>
      </c>
      <c r="K255" s="10" t="n"/>
      <c r="L255" s="6" t="n">
        <v>19</v>
      </c>
      <c r="M255" s="6" t="n">
        <v>0</v>
      </c>
      <c r="N255" s="6" t="n">
        <v>15656</v>
      </c>
      <c r="O255" s="6">
        <f>IF(OR(I255="On time",I255="Late",I255="Very late"),1,0)</f>
        <v/>
      </c>
      <c r="P255" s="6">
        <f>IF(AND(O255=1,M255=0),1,0)</f>
        <v/>
      </c>
    </row>
    <row r="256">
      <c r="A256" s="10" t="inlineStr">
        <is>
          <t>GRN52370</t>
        </is>
      </c>
      <c r="B256" s="10" t="inlineStr">
        <is>
          <t>PO18672</t>
        </is>
      </c>
      <c r="C256" s="10" t="inlineStr">
        <is>
          <t>SUP2219</t>
        </is>
      </c>
      <c r="D256" s="10">
        <f>INDEX(Suppliers!$B:$B,MATCH(C256,Suppliers!$A:$A,0))</f>
        <v/>
      </c>
      <c r="E256" s="10" t="inlineStr">
        <is>
          <t>Supplier's own truck</t>
        </is>
      </c>
      <c r="F256" s="5" t="n">
        <v>46293</v>
      </c>
      <c r="G256" s="5" t="n">
        <v>46296</v>
      </c>
      <c r="H256" s="5" t="n">
        <v>46296</v>
      </c>
      <c r="I256" s="10" t="inlineStr">
        <is>
          <t>On time</t>
        </is>
      </c>
      <c r="J256" s="6" t="n">
        <v>0</v>
      </c>
      <c r="K256" s="10" t="n"/>
      <c r="L256" s="6" t="n">
        <v>5</v>
      </c>
      <c r="M256" s="6" t="n">
        <v>0</v>
      </c>
      <c r="N256" s="6" t="n">
        <v>2095</v>
      </c>
      <c r="O256" s="6">
        <f>IF(OR(I256="On time",I256="Late",I256="Very late"),1,0)</f>
        <v/>
      </c>
      <c r="P256" s="6">
        <f>IF(AND(O256=1,M256=0),1,0)</f>
        <v/>
      </c>
    </row>
    <row r="257">
      <c r="A257" s="10" t="inlineStr">
        <is>
          <t>GRN52372</t>
        </is>
      </c>
      <c r="B257" s="10" t="inlineStr">
        <is>
          <t>PO18674</t>
        </is>
      </c>
      <c r="C257" s="10" t="inlineStr">
        <is>
          <t>SUP2438</t>
        </is>
      </c>
      <c r="D257" s="10">
        <f>INDEX(Suppliers!$B:$B,MATCH(C257,Suppliers!$A:$A,0))</f>
        <v/>
      </c>
      <c r="E257" s="10" t="inlineStr">
        <is>
          <t>Line-haul (road)</t>
        </is>
      </c>
      <c r="F257" s="5" t="n">
        <v>46286</v>
      </c>
      <c r="G257" s="5" t="n">
        <v>46296</v>
      </c>
      <c r="H257" s="5" t="n">
        <v>46296</v>
      </c>
      <c r="I257" s="10" t="inlineStr">
        <is>
          <t>On time</t>
        </is>
      </c>
      <c r="J257" s="6" t="n">
        <v>0</v>
      </c>
      <c r="K257" s="10" t="n"/>
      <c r="L257" s="6" t="n">
        <v>5</v>
      </c>
      <c r="M257" s="6" t="n">
        <v>0</v>
      </c>
      <c r="N257" s="6" t="n">
        <v>2990</v>
      </c>
      <c r="O257" s="6">
        <f>IF(OR(I257="On time",I257="Late",I257="Very late"),1,0)</f>
        <v/>
      </c>
      <c r="P257" s="6">
        <f>IF(AND(O257=1,M257=0),1,0)</f>
        <v/>
      </c>
    </row>
    <row r="258">
      <c r="A258" s="10" t="inlineStr">
        <is>
          <t>GRN52373</t>
        </is>
      </c>
      <c r="B258" s="10" t="inlineStr">
        <is>
          <t>PO18675</t>
        </is>
      </c>
      <c r="C258" s="10" t="inlineStr">
        <is>
          <t>SUP2461</t>
        </is>
      </c>
      <c r="D258" s="10">
        <f>INDEX(Suppliers!$B:$B,MATCH(C258,Suppliers!$A:$A,0))</f>
        <v/>
      </c>
      <c r="E258" s="10" t="inlineStr">
        <is>
          <t>Line-haul (road)</t>
        </is>
      </c>
      <c r="F258" s="5" t="n">
        <v>46287</v>
      </c>
      <c r="G258" s="5" t="n">
        <v>46296</v>
      </c>
      <c r="H258" s="5" t="n">
        <v>46296</v>
      </c>
      <c r="I258" s="10" t="inlineStr">
        <is>
          <t>On time</t>
        </is>
      </c>
      <c r="J258" s="6" t="n">
        <v>0</v>
      </c>
      <c r="K258" s="10" t="n"/>
      <c r="L258" s="6" t="n">
        <v>25</v>
      </c>
      <c r="M258" s="6" t="n">
        <v>2</v>
      </c>
      <c r="N258" s="6" t="n">
        <v>21025</v>
      </c>
      <c r="O258" s="6">
        <f>IF(OR(I258="On time",I258="Late",I258="Very late"),1,0)</f>
        <v/>
      </c>
      <c r="P258" s="6">
        <f>IF(AND(O258=1,M258=0),1,0)</f>
        <v/>
      </c>
    </row>
    <row r="259">
      <c r="A259" s="10" t="inlineStr">
        <is>
          <t>GRN52374</t>
        </is>
      </c>
      <c r="B259" s="10" t="inlineStr">
        <is>
          <t>PO18677</t>
        </is>
      </c>
      <c r="C259" s="10" t="inlineStr">
        <is>
          <t>SUP2506</t>
        </is>
      </c>
      <c r="D259" s="10">
        <f>INDEX(Suppliers!$B:$B,MATCH(C259,Suppliers!$A:$A,0))</f>
        <v/>
      </c>
      <c r="E259" s="10" t="inlineStr">
        <is>
          <t>Air freight</t>
        </is>
      </c>
      <c r="F259" s="5" t="n">
        <v>46289</v>
      </c>
      <c r="G259" s="5" t="n">
        <v>46296</v>
      </c>
      <c r="H259" s="5" t="n">
        <v>46296</v>
      </c>
      <c r="I259" s="10" t="inlineStr">
        <is>
          <t>On time</t>
        </is>
      </c>
      <c r="J259" s="6" t="n">
        <v>0</v>
      </c>
      <c r="K259" s="10" t="n"/>
      <c r="L259" s="6" t="n">
        <v>27</v>
      </c>
      <c r="M259" s="6" t="n">
        <v>0</v>
      </c>
      <c r="N259" s="6" t="n">
        <v>9315</v>
      </c>
      <c r="O259" s="6">
        <f>IF(OR(I259="On time",I259="Late",I259="Very late"),1,0)</f>
        <v/>
      </c>
      <c r="P259" s="6">
        <f>IF(AND(O259=1,M259=0),1,0)</f>
        <v/>
      </c>
    </row>
    <row r="260">
      <c r="A260" s="10" t="inlineStr">
        <is>
          <t>GRN52375</t>
        </is>
      </c>
      <c r="B260" s="10" t="inlineStr">
        <is>
          <t>PO18679</t>
        </is>
      </c>
      <c r="C260" s="10" t="inlineStr">
        <is>
          <t>SUP2542</t>
        </is>
      </c>
      <c r="D260" s="10">
        <f>INDEX(Suppliers!$B:$B,MATCH(C260,Suppliers!$A:$A,0))</f>
        <v/>
      </c>
      <c r="E260" s="10" t="inlineStr">
        <is>
          <t>Supplier's own truck</t>
        </is>
      </c>
      <c r="F260" s="5" t="n">
        <v>46287</v>
      </c>
      <c r="G260" s="5" t="n">
        <v>46296</v>
      </c>
      <c r="H260" s="5" t="n">
        <v>46296</v>
      </c>
      <c r="I260" s="10" t="inlineStr">
        <is>
          <t>On time</t>
        </is>
      </c>
      <c r="J260" s="6" t="n">
        <v>0</v>
      </c>
      <c r="K260" s="10" t="n"/>
      <c r="L260" s="6" t="n">
        <v>3</v>
      </c>
      <c r="M260" s="6" t="n">
        <v>0</v>
      </c>
      <c r="N260" s="6" t="n">
        <v>681</v>
      </c>
      <c r="O260" s="6">
        <f>IF(OR(I260="On time",I260="Late",I260="Very late"),1,0)</f>
        <v/>
      </c>
      <c r="P260" s="6">
        <f>IF(AND(O260=1,M260=0),1,0)</f>
        <v/>
      </c>
    </row>
    <row r="261">
      <c r="A261" s="10" t="inlineStr">
        <is>
          <t>GRN52376</t>
        </is>
      </c>
      <c r="B261" s="10" t="inlineStr">
        <is>
          <t>PO18680</t>
        </is>
      </c>
      <c r="C261" s="10" t="inlineStr">
        <is>
          <t>SUP2151</t>
        </is>
      </c>
      <c r="D261" s="10">
        <f>INDEX(Suppliers!$B:$B,MATCH(C261,Suppliers!$A:$A,0))</f>
        <v/>
      </c>
      <c r="E261" s="10" t="inlineStr">
        <is>
          <t>Line-haul (road)</t>
        </is>
      </c>
      <c r="F261" s="5" t="n">
        <v>46287</v>
      </c>
      <c r="G261" s="5" t="n">
        <v>46297</v>
      </c>
      <c r="H261" s="5" t="n">
        <v>46297</v>
      </c>
      <c r="I261" s="10" t="inlineStr">
        <is>
          <t>On time</t>
        </is>
      </c>
      <c r="J261" s="6" t="n">
        <v>0</v>
      </c>
      <c r="K261" s="10" t="n"/>
      <c r="L261" s="6" t="n">
        <v>11</v>
      </c>
      <c r="M261" s="6" t="n">
        <v>0</v>
      </c>
      <c r="N261" s="6" t="n">
        <v>6380</v>
      </c>
      <c r="O261" s="6">
        <f>IF(OR(I261="On time",I261="Late",I261="Very late"),1,0)</f>
        <v/>
      </c>
      <c r="P261" s="6">
        <f>IF(AND(O261=1,M261=0),1,0)</f>
        <v/>
      </c>
    </row>
    <row r="262">
      <c r="A262" s="10" t="inlineStr">
        <is>
          <t>GRN52377</t>
        </is>
      </c>
      <c r="B262" s="10" t="inlineStr">
        <is>
          <t>PO18681</t>
        </is>
      </c>
      <c r="C262" s="10" t="inlineStr">
        <is>
          <t>SUP2208</t>
        </is>
      </c>
      <c r="D262" s="10">
        <f>INDEX(Suppliers!$B:$B,MATCH(C262,Suppliers!$A:$A,0))</f>
        <v/>
      </c>
      <c r="E262" s="10" t="inlineStr">
        <is>
          <t>Supplier's own truck</t>
        </is>
      </c>
      <c r="F262" s="5" t="n">
        <v>46289</v>
      </c>
      <c r="G262" s="5" t="n">
        <v>46297</v>
      </c>
      <c r="H262" s="5" t="n">
        <v>46297</v>
      </c>
      <c r="I262" s="10" t="inlineStr">
        <is>
          <t>On time</t>
        </is>
      </c>
      <c r="J262" s="6" t="n">
        <v>0</v>
      </c>
      <c r="K262" s="10" t="n"/>
      <c r="L262" s="6" t="n">
        <v>7</v>
      </c>
      <c r="M262" s="6" t="n">
        <v>0</v>
      </c>
      <c r="N262" s="6" t="n">
        <v>4935</v>
      </c>
      <c r="O262" s="6">
        <f>IF(OR(I262="On time",I262="Late",I262="Very late"),1,0)</f>
        <v/>
      </c>
      <c r="P262" s="6">
        <f>IF(AND(O262=1,M262=0),1,0)</f>
        <v/>
      </c>
    </row>
    <row r="263">
      <c r="A263" s="10" t="inlineStr">
        <is>
          <t>GRN52378</t>
        </is>
      </c>
      <c r="B263" s="10" t="inlineStr">
        <is>
          <t>PO18683</t>
        </is>
      </c>
      <c r="C263" s="10" t="inlineStr">
        <is>
          <t>SUP2219</t>
        </is>
      </c>
      <c r="D263" s="10">
        <f>INDEX(Suppliers!$B:$B,MATCH(C263,Suppliers!$A:$A,0))</f>
        <v/>
      </c>
      <c r="E263" s="10" t="inlineStr">
        <is>
          <t>Supplier's own truck</t>
        </is>
      </c>
      <c r="F263" s="5" t="n">
        <v>46288</v>
      </c>
      <c r="G263" s="5" t="n">
        <v>46297</v>
      </c>
      <c r="H263" s="5" t="n">
        <v>46297</v>
      </c>
      <c r="I263" s="10" t="inlineStr">
        <is>
          <t>On time</t>
        </is>
      </c>
      <c r="J263" s="6" t="n">
        <v>0</v>
      </c>
      <c r="K263" s="10" t="n"/>
      <c r="L263" s="6" t="n">
        <v>20</v>
      </c>
      <c r="M263" s="6" t="n">
        <v>0</v>
      </c>
      <c r="N263" s="6" t="n">
        <v>5200</v>
      </c>
      <c r="O263" s="6">
        <f>IF(OR(I263="On time",I263="Late",I263="Very late"),1,0)</f>
        <v/>
      </c>
      <c r="P263" s="6">
        <f>IF(AND(O263=1,M263=0),1,0)</f>
        <v/>
      </c>
    </row>
    <row r="264">
      <c r="A264" s="10" t="inlineStr">
        <is>
          <t>GRN52379</t>
        </is>
      </c>
      <c r="B264" s="10" t="inlineStr">
        <is>
          <t>PO18684</t>
        </is>
      </c>
      <c r="C264" s="10" t="inlineStr">
        <is>
          <t>SUP2304</t>
        </is>
      </c>
      <c r="D264" s="10">
        <f>INDEX(Suppliers!$B:$B,MATCH(C264,Suppliers!$A:$A,0))</f>
        <v/>
      </c>
      <c r="E264" s="10" t="inlineStr">
        <is>
          <t>Supplier's own truck</t>
        </is>
      </c>
      <c r="F264" s="5" t="n">
        <v>46290</v>
      </c>
      <c r="G264" s="5" t="n">
        <v>46297</v>
      </c>
      <c r="H264" s="5" t="n">
        <v>46297</v>
      </c>
      <c r="I264" s="10" t="inlineStr">
        <is>
          <t>On time</t>
        </is>
      </c>
      <c r="J264" s="6" t="n">
        <v>0</v>
      </c>
      <c r="K264" s="10" t="n"/>
      <c r="L264" s="6" t="n">
        <v>7</v>
      </c>
      <c r="M264" s="6" t="n">
        <v>0</v>
      </c>
      <c r="N264" s="6" t="n">
        <v>3374</v>
      </c>
      <c r="O264" s="6">
        <f>IF(OR(I264="On time",I264="Late",I264="Very late"),1,0)</f>
        <v/>
      </c>
      <c r="P264" s="6">
        <f>IF(AND(O264=1,M264=0),1,0)</f>
        <v/>
      </c>
    </row>
    <row r="265">
      <c r="A265" s="10" t="inlineStr">
        <is>
          <t>GRN52380</t>
        </is>
      </c>
      <c r="B265" s="10" t="inlineStr">
        <is>
          <t>PO18685</t>
        </is>
      </c>
      <c r="C265" s="10" t="inlineStr">
        <is>
          <t>SUP2336</t>
        </is>
      </c>
      <c r="D265" s="10">
        <f>INDEX(Suppliers!$B:$B,MATCH(C265,Suppliers!$A:$A,0))</f>
        <v/>
      </c>
      <c r="E265" s="10" t="inlineStr">
        <is>
          <t>Line-haul (road)</t>
        </is>
      </c>
      <c r="F265" s="5" t="n">
        <v>46288</v>
      </c>
      <c r="G265" s="5" t="n">
        <v>46297</v>
      </c>
      <c r="H265" s="5" t="n">
        <v>46297</v>
      </c>
      <c r="I265" s="10" t="inlineStr">
        <is>
          <t>On time</t>
        </is>
      </c>
      <c r="J265" s="6" t="n">
        <v>0</v>
      </c>
      <c r="K265" s="10" t="n"/>
      <c r="L265" s="6" t="n">
        <v>11</v>
      </c>
      <c r="M265" s="6" t="n">
        <v>0</v>
      </c>
      <c r="N265" s="6" t="n">
        <v>3762</v>
      </c>
      <c r="O265" s="6">
        <f>IF(OR(I265="On time",I265="Late",I265="Very late"),1,0)</f>
        <v/>
      </c>
      <c r="P265" s="6">
        <f>IF(AND(O265=1,M265=0),1,0)</f>
        <v/>
      </c>
    </row>
    <row r="266">
      <c r="A266" s="10" t="inlineStr">
        <is>
          <t>GRN52381</t>
        </is>
      </c>
      <c r="B266" s="10" t="inlineStr">
        <is>
          <t>PO18686</t>
        </is>
      </c>
      <c r="C266" s="10" t="inlineStr">
        <is>
          <t>SUP2422</t>
        </is>
      </c>
      <c r="D266" s="10">
        <f>INDEX(Suppliers!$B:$B,MATCH(C266,Suppliers!$A:$A,0))</f>
        <v/>
      </c>
      <c r="E266" s="10" t="inlineStr">
        <is>
          <t>Line-haul (rail)</t>
        </is>
      </c>
      <c r="F266" s="5" t="n">
        <v>46287</v>
      </c>
      <c r="G266" s="5" t="n">
        <v>46297</v>
      </c>
      <c r="H266" s="5" t="n">
        <v>46297</v>
      </c>
      <c r="I266" s="10" t="inlineStr">
        <is>
          <t>On time</t>
        </is>
      </c>
      <c r="J266" s="6" t="n">
        <v>0</v>
      </c>
      <c r="K266" s="10" t="n"/>
      <c r="L266" s="6" t="n">
        <v>14</v>
      </c>
      <c r="M266" s="6" t="n">
        <v>0</v>
      </c>
      <c r="N266" s="6" t="n">
        <v>12166</v>
      </c>
      <c r="O266" s="6">
        <f>IF(OR(I266="On time",I266="Late",I266="Very late"),1,0)</f>
        <v/>
      </c>
      <c r="P266" s="6">
        <f>IF(AND(O266=1,M266=0),1,0)</f>
        <v/>
      </c>
    </row>
    <row r="267">
      <c r="A267" s="10" t="inlineStr">
        <is>
          <t>GRN52382</t>
        </is>
      </c>
      <c r="B267" s="10" t="inlineStr">
        <is>
          <t>PO18687</t>
        </is>
      </c>
      <c r="C267" s="10" t="inlineStr">
        <is>
          <t>SUP2438</t>
        </is>
      </c>
      <c r="D267" s="10">
        <f>INDEX(Suppliers!$B:$B,MATCH(C267,Suppliers!$A:$A,0))</f>
        <v/>
      </c>
      <c r="E267" s="10" t="inlineStr">
        <is>
          <t>Line-haul (road)</t>
        </is>
      </c>
      <c r="F267" s="5" t="n">
        <v>46290</v>
      </c>
      <c r="G267" s="5" t="n">
        <v>46297</v>
      </c>
      <c r="H267" s="5" t="n">
        <v>46297</v>
      </c>
      <c r="I267" s="10" t="inlineStr">
        <is>
          <t>On time</t>
        </is>
      </c>
      <c r="J267" s="6" t="n">
        <v>0</v>
      </c>
      <c r="K267" s="10" t="n"/>
      <c r="L267" s="6" t="n">
        <v>28</v>
      </c>
      <c r="M267" s="6" t="n">
        <v>0</v>
      </c>
      <c r="N267" s="6" t="n">
        <v>9856</v>
      </c>
      <c r="O267" s="6">
        <f>IF(OR(I267="On time",I267="Late",I267="Very late"),1,0)</f>
        <v/>
      </c>
      <c r="P267" s="6">
        <f>IF(AND(O267=1,M267=0),1,0)</f>
        <v/>
      </c>
    </row>
    <row r="268">
      <c r="A268" s="10" t="inlineStr">
        <is>
          <t>GRN52383</t>
        </is>
      </c>
      <c r="B268" s="10" t="inlineStr">
        <is>
          <t>PO18688</t>
        </is>
      </c>
      <c r="C268" s="10" t="inlineStr">
        <is>
          <t>SUP2461</t>
        </is>
      </c>
      <c r="D268" s="10">
        <f>INDEX(Suppliers!$B:$B,MATCH(C268,Suppliers!$A:$A,0))</f>
        <v/>
      </c>
      <c r="E268" s="10" t="inlineStr">
        <is>
          <t>Line-haul (road)</t>
        </is>
      </c>
      <c r="F268" s="5" t="n">
        <v>46290</v>
      </c>
      <c r="G268" s="5" t="n">
        <v>46297</v>
      </c>
      <c r="H268" s="5" t="n">
        <v>46297</v>
      </c>
      <c r="I268" s="10" t="inlineStr">
        <is>
          <t>On time</t>
        </is>
      </c>
      <c r="J268" s="6" t="n">
        <v>0</v>
      </c>
      <c r="K268" s="10" t="n"/>
      <c r="L268" s="6" t="n">
        <v>13</v>
      </c>
      <c r="M268" s="6" t="n">
        <v>0</v>
      </c>
      <c r="N268" s="6" t="n">
        <v>5499</v>
      </c>
      <c r="O268" s="6">
        <f>IF(OR(I268="On time",I268="Late",I268="Very late"),1,0)</f>
        <v/>
      </c>
      <c r="P268" s="6">
        <f>IF(AND(O268=1,M268=0),1,0)</f>
        <v/>
      </c>
    </row>
    <row r="269">
      <c r="A269" s="10" t="inlineStr">
        <is>
          <t>GRN52384</t>
        </is>
      </c>
      <c r="B269" s="10" t="inlineStr">
        <is>
          <t>PO18689</t>
        </is>
      </c>
      <c r="C269" s="10" t="inlineStr">
        <is>
          <t>SUP2480</t>
        </is>
      </c>
      <c r="D269" s="10">
        <f>INDEX(Suppliers!$B:$B,MATCH(C269,Suppliers!$A:$A,0))</f>
        <v/>
      </c>
      <c r="E269" s="10" t="inlineStr">
        <is>
          <t>Supplier's own truck</t>
        </is>
      </c>
      <c r="F269" s="5" t="n">
        <v>46288</v>
      </c>
      <c r="G269" s="5" t="n">
        <v>46297</v>
      </c>
      <c r="H269" s="5" t="n">
        <v>46297</v>
      </c>
      <c r="I269" s="10" t="inlineStr">
        <is>
          <t>On time</t>
        </is>
      </c>
      <c r="J269" s="6" t="n">
        <v>0</v>
      </c>
      <c r="K269" s="10" t="n"/>
      <c r="L269" s="6" t="n">
        <v>6</v>
      </c>
      <c r="M269" s="6" t="n">
        <v>0</v>
      </c>
      <c r="N269" s="6" t="n">
        <v>5316</v>
      </c>
      <c r="O269" s="6">
        <f>IF(OR(I269="On time",I269="Late",I269="Very late"),1,0)</f>
        <v/>
      </c>
      <c r="P269" s="6">
        <f>IF(AND(O269=1,M269=0),1,0)</f>
        <v/>
      </c>
    </row>
    <row r="270">
      <c r="A270" s="10" t="inlineStr">
        <is>
          <t>GRN52385</t>
        </is>
      </c>
      <c r="B270" s="10" t="inlineStr">
        <is>
          <t>PO18690</t>
        </is>
      </c>
      <c r="C270" s="10" t="inlineStr">
        <is>
          <t>SUP2542</t>
        </is>
      </c>
      <c r="D270" s="10">
        <f>INDEX(Suppliers!$B:$B,MATCH(C270,Suppliers!$A:$A,0))</f>
        <v/>
      </c>
      <c r="E270" s="10" t="inlineStr">
        <is>
          <t>Supplier's own truck</t>
        </is>
      </c>
      <c r="F270" s="5" t="n">
        <v>46293</v>
      </c>
      <c r="G270" s="5" t="n">
        <v>46297</v>
      </c>
      <c r="H270" s="5" t="n">
        <v>46297</v>
      </c>
      <c r="I270" s="10" t="inlineStr">
        <is>
          <t>On time</t>
        </is>
      </c>
      <c r="J270" s="6" t="n">
        <v>0</v>
      </c>
      <c r="K270" s="10" t="n"/>
      <c r="L270" s="6" t="n">
        <v>3</v>
      </c>
      <c r="M270" s="6" t="n">
        <v>0</v>
      </c>
      <c r="N270" s="6" t="n">
        <v>2322</v>
      </c>
      <c r="O270" s="6">
        <f>IF(OR(I270="On time",I270="Late",I270="Very late"),1,0)</f>
        <v/>
      </c>
      <c r="P270" s="6">
        <f>IF(AND(O270=1,M270=0),1,0)</f>
        <v/>
      </c>
    </row>
    <row r="271">
      <c r="A271" s="10" t="inlineStr">
        <is>
          <t>GRN52386</t>
        </is>
      </c>
      <c r="B271" s="10" t="inlineStr">
        <is>
          <t>PO18692</t>
        </is>
      </c>
      <c r="C271" s="10" t="inlineStr">
        <is>
          <t>SUP2208</t>
        </is>
      </c>
      <c r="D271" s="10">
        <f>INDEX(Suppliers!$B:$B,MATCH(C271,Suppliers!$A:$A,0))</f>
        <v/>
      </c>
      <c r="E271" s="10" t="inlineStr">
        <is>
          <t>Supplier's own truck</t>
        </is>
      </c>
      <c r="F271" s="5" t="n">
        <v>46290</v>
      </c>
      <c r="G271" s="5" t="n">
        <v>46301</v>
      </c>
      <c r="H271" s="5" t="n"/>
      <c r="I271" s="10" t="inlineStr">
        <is>
          <t>Due</t>
        </is>
      </c>
      <c r="J271" s="6" t="n">
        <v>0</v>
      </c>
      <c r="K271" s="10" t="n"/>
      <c r="L271" s="6" t="n">
        <v>12</v>
      </c>
      <c r="M271" s="6" t="n">
        <v>0</v>
      </c>
      <c r="N271" s="6" t="n">
        <v>6336</v>
      </c>
      <c r="O271" s="6">
        <f>IF(OR(I271="On time",I271="Late",I271="Very late"),1,0)</f>
        <v/>
      </c>
      <c r="P271" s="6">
        <f>IF(AND(O271=1,M271=0),1,0)</f>
        <v/>
      </c>
    </row>
    <row r="272">
      <c r="A272" s="10" t="inlineStr">
        <is>
          <t>GRN52387</t>
        </is>
      </c>
      <c r="B272" s="10" t="inlineStr">
        <is>
          <t>PO18694</t>
        </is>
      </c>
      <c r="C272" s="10" t="inlineStr">
        <is>
          <t>SUP2304</t>
        </is>
      </c>
      <c r="D272" s="10">
        <f>INDEX(Suppliers!$B:$B,MATCH(C272,Suppliers!$A:$A,0))</f>
        <v/>
      </c>
      <c r="E272" s="10" t="inlineStr">
        <is>
          <t>Supplier's own truck</t>
        </is>
      </c>
      <c r="F272" s="5" t="n">
        <v>46290</v>
      </c>
      <c r="G272" s="5" t="n">
        <v>46301</v>
      </c>
      <c r="H272" s="5" t="n">
        <v>46301</v>
      </c>
      <c r="I272" s="10" t="inlineStr">
        <is>
          <t>On time</t>
        </is>
      </c>
      <c r="J272" s="6" t="n">
        <v>0</v>
      </c>
      <c r="K272" s="10" t="n"/>
      <c r="L272" s="6" t="n">
        <v>3</v>
      </c>
      <c r="M272" s="6" t="n">
        <v>0</v>
      </c>
      <c r="N272" s="6" t="n">
        <v>1296</v>
      </c>
      <c r="O272" s="6">
        <f>IF(OR(I272="On time",I272="Late",I272="Very late"),1,0)</f>
        <v/>
      </c>
      <c r="P272" s="6">
        <f>IF(AND(O272=1,M272=0),1,0)</f>
        <v/>
      </c>
    </row>
    <row r="273">
      <c r="A273" s="10" t="inlineStr">
        <is>
          <t>GRN52388</t>
        </is>
      </c>
      <c r="B273" s="10" t="inlineStr">
        <is>
          <t>PO18695</t>
        </is>
      </c>
      <c r="C273" s="10" t="inlineStr">
        <is>
          <t>SUP2438</t>
        </is>
      </c>
      <c r="D273" s="10">
        <f>INDEX(Suppliers!$B:$B,MATCH(C273,Suppliers!$A:$A,0))</f>
        <v/>
      </c>
      <c r="E273" s="10" t="inlineStr">
        <is>
          <t>Line-haul (road)</t>
        </is>
      </c>
      <c r="F273" s="5" t="n">
        <v>46294</v>
      </c>
      <c r="G273" s="5" t="n">
        <v>46301</v>
      </c>
      <c r="H273" s="5" t="n">
        <v>46301</v>
      </c>
      <c r="I273" s="10" t="inlineStr">
        <is>
          <t>On time</t>
        </is>
      </c>
      <c r="J273" s="6" t="n">
        <v>0</v>
      </c>
      <c r="K273" s="10" t="n"/>
      <c r="L273" s="6" t="n">
        <v>22</v>
      </c>
      <c r="M273" s="6" t="n">
        <v>0</v>
      </c>
      <c r="N273" s="6" t="n">
        <v>16104</v>
      </c>
      <c r="O273" s="6">
        <f>IF(OR(I273="On time",I273="Late",I273="Very late"),1,0)</f>
        <v/>
      </c>
      <c r="P273" s="6">
        <f>IF(AND(O273=1,M273=0),1,0)</f>
        <v/>
      </c>
    </row>
    <row r="274">
      <c r="A274" s="10" t="inlineStr">
        <is>
          <t>GRN52389</t>
        </is>
      </c>
      <c r="B274" s="10" t="inlineStr">
        <is>
          <t>PO18696</t>
        </is>
      </c>
      <c r="C274" s="10" t="inlineStr">
        <is>
          <t>SUP2461</t>
        </is>
      </c>
      <c r="D274" s="10">
        <f>INDEX(Suppliers!$B:$B,MATCH(C274,Suppliers!$A:$A,0))</f>
        <v/>
      </c>
      <c r="E274" s="10" t="inlineStr">
        <is>
          <t>Line-haul (road)</t>
        </is>
      </c>
      <c r="F274" s="5" t="n">
        <v>46289</v>
      </c>
      <c r="G274" s="5" t="n">
        <v>46301</v>
      </c>
      <c r="H274" s="5" t="n"/>
      <c r="I274" s="10" t="inlineStr">
        <is>
          <t>Due</t>
        </is>
      </c>
      <c r="J274" s="6" t="n">
        <v>0</v>
      </c>
      <c r="K274" s="10" t="n"/>
      <c r="L274" s="6" t="n">
        <v>18</v>
      </c>
      <c r="M274" s="6" t="n">
        <v>0</v>
      </c>
      <c r="N274" s="6" t="n">
        <v>6624</v>
      </c>
      <c r="O274" s="6">
        <f>IF(OR(I274="On time",I274="Late",I274="Very late"),1,0)</f>
        <v/>
      </c>
      <c r="P274" s="6">
        <f>IF(AND(O274=1,M274=0),1,0)</f>
        <v/>
      </c>
    </row>
    <row r="275">
      <c r="A275" s="10" t="inlineStr">
        <is>
          <t>GRN52390</t>
        </is>
      </c>
      <c r="B275" s="10" t="inlineStr">
        <is>
          <t>PO18697</t>
        </is>
      </c>
      <c r="C275" s="10" t="inlineStr">
        <is>
          <t>SUP2480</t>
        </is>
      </c>
      <c r="D275" s="10">
        <f>INDEX(Suppliers!$B:$B,MATCH(C275,Suppliers!$A:$A,0))</f>
        <v/>
      </c>
      <c r="E275" s="10" t="inlineStr">
        <is>
          <t>Supplier's own truck</t>
        </is>
      </c>
      <c r="F275" s="5" t="n">
        <v>46294</v>
      </c>
      <c r="G275" s="5" t="n">
        <v>46301</v>
      </c>
      <c r="H275" s="5" t="n">
        <v>46301</v>
      </c>
      <c r="I275" s="10" t="inlineStr">
        <is>
          <t>On time</t>
        </is>
      </c>
      <c r="J275" s="6" t="n">
        <v>0</v>
      </c>
      <c r="K275" s="10" t="n"/>
      <c r="L275" s="6" t="n">
        <v>13</v>
      </c>
      <c r="M275" s="6" t="n">
        <v>3</v>
      </c>
      <c r="N275" s="6" t="n">
        <v>2535</v>
      </c>
      <c r="O275" s="6">
        <f>IF(OR(I275="On time",I275="Late",I275="Very late"),1,0)</f>
        <v/>
      </c>
      <c r="P275" s="6">
        <f>IF(AND(O275=1,M275=0),1,0)</f>
        <v/>
      </c>
    </row>
    <row r="276">
      <c r="A276" s="10" t="inlineStr">
        <is>
          <t>GRN52391</t>
        </is>
      </c>
      <c r="B276" s="10" t="inlineStr">
        <is>
          <t>PO18698</t>
        </is>
      </c>
      <c r="C276" s="10" t="inlineStr">
        <is>
          <t>SUP2506</t>
        </is>
      </c>
      <c r="D276" s="10">
        <f>INDEX(Suppliers!$B:$B,MATCH(C276,Suppliers!$A:$A,0))</f>
        <v/>
      </c>
      <c r="E276" s="10" t="inlineStr">
        <is>
          <t>Air freight</t>
        </is>
      </c>
      <c r="F276" s="5" t="n">
        <v>46294</v>
      </c>
      <c r="G276" s="5" t="n">
        <v>46301</v>
      </c>
      <c r="H276" s="5" t="n">
        <v>46301</v>
      </c>
      <c r="I276" s="10" t="inlineStr">
        <is>
          <t>On time</t>
        </is>
      </c>
      <c r="J276" s="6" t="n">
        <v>0</v>
      </c>
      <c r="K276" s="10" t="n"/>
      <c r="L276" s="6" t="n">
        <v>24</v>
      </c>
      <c r="M276" s="6" t="n">
        <v>0</v>
      </c>
      <c r="N276" s="6" t="n">
        <v>17688</v>
      </c>
      <c r="O276" s="6">
        <f>IF(OR(I276="On time",I276="Late",I276="Very late"),1,0)</f>
        <v/>
      </c>
      <c r="P276" s="6">
        <f>IF(AND(O276=1,M276=0),1,0)</f>
        <v/>
      </c>
    </row>
    <row r="277">
      <c r="A277" s="10" t="inlineStr">
        <is>
          <t>GRN52392</t>
        </is>
      </c>
      <c r="B277" s="10" t="inlineStr">
        <is>
          <t>PO18700</t>
        </is>
      </c>
      <c r="C277" s="10" t="inlineStr">
        <is>
          <t>SUP2542</t>
        </is>
      </c>
      <c r="D277" s="10">
        <f>INDEX(Suppliers!$B:$B,MATCH(C277,Suppliers!$A:$A,0))</f>
        <v/>
      </c>
      <c r="E277" s="10" t="inlineStr">
        <is>
          <t>Supplier's own truck</t>
        </is>
      </c>
      <c r="F277" s="5" t="n">
        <v>46293</v>
      </c>
      <c r="G277" s="5" t="n">
        <v>46301</v>
      </c>
      <c r="H277" s="5" t="n">
        <v>46301</v>
      </c>
      <c r="I277" s="10" t="inlineStr">
        <is>
          <t>On time</t>
        </is>
      </c>
      <c r="J277" s="6" t="n">
        <v>0</v>
      </c>
      <c r="K277" s="10" t="n"/>
      <c r="L277" s="6" t="n">
        <v>26</v>
      </c>
      <c r="M277" s="6" t="n">
        <v>0</v>
      </c>
      <c r="N277" s="6" t="n">
        <v>18200</v>
      </c>
      <c r="O277" s="6">
        <f>IF(OR(I277="On time",I277="Late",I277="Very late"),1,0)</f>
        <v/>
      </c>
      <c r="P277" s="6">
        <f>IF(AND(O277=1,M277=0),1,0)</f>
        <v/>
      </c>
    </row>
    <row r="278">
      <c r="A278" s="10" t="inlineStr">
        <is>
          <t>GRN52393</t>
        </is>
      </c>
      <c r="B278" s="10" t="inlineStr">
        <is>
          <t>PO18702</t>
        </is>
      </c>
      <c r="C278" s="10" t="inlineStr">
        <is>
          <t>SUP2189</t>
        </is>
      </c>
      <c r="D278" s="10">
        <f>INDEX(Suppliers!$B:$B,MATCH(C278,Suppliers!$A:$A,0))</f>
        <v/>
      </c>
      <c r="E278" s="10" t="inlineStr">
        <is>
          <t>Container cartage</t>
        </is>
      </c>
      <c r="F278" s="5" t="n">
        <v>46290</v>
      </c>
      <c r="G278" s="5" t="n">
        <v>46302</v>
      </c>
      <c r="H278" s="5" t="n"/>
      <c r="I278" s="10" t="inlineStr">
        <is>
          <t>Due</t>
        </is>
      </c>
      <c r="J278" s="6" t="n">
        <v>0</v>
      </c>
      <c r="K278" s="10" t="n"/>
      <c r="L278" s="6" t="n">
        <v>23</v>
      </c>
      <c r="M278" s="6" t="n">
        <v>0</v>
      </c>
      <c r="N278" s="6" t="n">
        <v>15870</v>
      </c>
      <c r="O278" s="6">
        <f>IF(OR(I278="On time",I278="Late",I278="Very late"),1,0)</f>
        <v/>
      </c>
      <c r="P278" s="6">
        <f>IF(AND(O278=1,M278=0),1,0)</f>
        <v/>
      </c>
    </row>
    <row r="279">
      <c r="A279" s="10" t="inlineStr">
        <is>
          <t>GRN52394</t>
        </is>
      </c>
      <c r="B279" s="10" t="inlineStr">
        <is>
          <t>PO18703</t>
        </is>
      </c>
      <c r="C279" s="10" t="inlineStr">
        <is>
          <t>SUP2461</t>
        </is>
      </c>
      <c r="D279" s="10">
        <f>INDEX(Suppliers!$B:$B,MATCH(C279,Suppliers!$A:$A,0))</f>
        <v/>
      </c>
      <c r="E279" s="10" t="inlineStr">
        <is>
          <t>Line-haul (road)</t>
        </is>
      </c>
      <c r="F279" s="5" t="n">
        <v>46294</v>
      </c>
      <c r="G279" s="5" t="n">
        <v>46302</v>
      </c>
      <c r="H279" s="5" t="n"/>
      <c r="I279" s="10" t="inlineStr">
        <is>
          <t>Due</t>
        </is>
      </c>
      <c r="J279" s="6" t="n">
        <v>0</v>
      </c>
      <c r="K279" s="10" t="n"/>
      <c r="L279" s="6" t="n">
        <v>19</v>
      </c>
      <c r="M279" s="6" t="n">
        <v>0</v>
      </c>
      <c r="N279" s="6" t="n">
        <v>16929</v>
      </c>
      <c r="O279" s="6">
        <f>IF(OR(I279="On time",I279="Late",I279="Very late"),1,0)</f>
        <v/>
      </c>
      <c r="P279" s="6">
        <f>IF(AND(O279=1,M279=0),1,0)</f>
        <v/>
      </c>
    </row>
    <row r="280">
      <c r="A280" s="10" t="inlineStr">
        <is>
          <t>GRN52395</t>
        </is>
      </c>
      <c r="B280" s="10" t="inlineStr">
        <is>
          <t>PO18705</t>
        </is>
      </c>
      <c r="C280" s="10" t="inlineStr">
        <is>
          <t>SUP2506</t>
        </is>
      </c>
      <c r="D280" s="10">
        <f>INDEX(Suppliers!$B:$B,MATCH(C280,Suppliers!$A:$A,0))</f>
        <v/>
      </c>
      <c r="E280" s="10" t="inlineStr">
        <is>
          <t>Air freight</t>
        </is>
      </c>
      <c r="F280" s="5" t="n">
        <v>46293</v>
      </c>
      <c r="G280" s="5" t="n">
        <v>46302</v>
      </c>
      <c r="H280" s="5" t="n"/>
      <c r="I280" s="10" t="inlineStr">
        <is>
          <t>Due</t>
        </is>
      </c>
      <c r="J280" s="6" t="n">
        <v>0</v>
      </c>
      <c r="K280" s="10" t="n"/>
      <c r="L280" s="6" t="n">
        <v>10</v>
      </c>
      <c r="M280" s="6" t="n">
        <v>0</v>
      </c>
      <c r="N280" s="6" t="n">
        <v>6680</v>
      </c>
      <c r="O280" s="6">
        <f>IF(OR(I280="On time",I280="Late",I280="Very late"),1,0)</f>
        <v/>
      </c>
      <c r="P280" s="6">
        <f>IF(AND(O280=1,M280=0),1,0)</f>
        <v/>
      </c>
    </row>
    <row r="281">
      <c r="A281" s="10" t="inlineStr">
        <is>
          <t>GRN52396</t>
        </is>
      </c>
      <c r="B281" s="10" t="inlineStr">
        <is>
          <t>PO18706</t>
        </is>
      </c>
      <c r="C281" s="10" t="inlineStr">
        <is>
          <t>SUP2189</t>
        </is>
      </c>
      <c r="D281" s="10">
        <f>INDEX(Suppliers!$B:$B,MATCH(C281,Suppliers!$A:$A,0))</f>
        <v/>
      </c>
      <c r="E281" s="10" t="inlineStr">
        <is>
          <t>Container cartage</t>
        </is>
      </c>
      <c r="F281" s="5" t="n">
        <v>46297</v>
      </c>
      <c r="G281" s="5" t="n">
        <v>46303</v>
      </c>
      <c r="H281" s="5" t="n"/>
      <c r="I281" s="10" t="inlineStr">
        <is>
          <t>Due</t>
        </is>
      </c>
      <c r="J281" s="6" t="n">
        <v>0</v>
      </c>
      <c r="K281" s="10" t="n"/>
      <c r="L281" s="6" t="n">
        <v>14</v>
      </c>
      <c r="M281" s="6" t="n">
        <v>0</v>
      </c>
      <c r="N281" s="6" t="n">
        <v>9940</v>
      </c>
      <c r="O281" s="6">
        <f>IF(OR(I281="On time",I281="Late",I281="Very late"),1,0)</f>
        <v/>
      </c>
      <c r="P281" s="6">
        <f>IF(AND(O281=1,M281=0),1,0)</f>
        <v/>
      </c>
    </row>
    <row r="282">
      <c r="A282" s="10" t="inlineStr">
        <is>
          <t>GRN52397</t>
        </is>
      </c>
      <c r="B282" s="10" t="inlineStr">
        <is>
          <t>PO18707</t>
        </is>
      </c>
      <c r="C282" s="10" t="inlineStr">
        <is>
          <t>SUP2208</t>
        </is>
      </c>
      <c r="D282" s="10">
        <f>INDEX(Suppliers!$B:$B,MATCH(C282,Suppliers!$A:$A,0))</f>
        <v/>
      </c>
      <c r="E282" s="10" t="inlineStr">
        <is>
          <t>Supplier's own truck</t>
        </is>
      </c>
      <c r="F282" s="5" t="n">
        <v>46295</v>
      </c>
      <c r="G282" s="5" t="n">
        <v>46303</v>
      </c>
      <c r="H282" s="5" t="n"/>
      <c r="I282" s="10" t="inlineStr">
        <is>
          <t>Due</t>
        </is>
      </c>
      <c r="J282" s="6" t="n">
        <v>0</v>
      </c>
      <c r="K282" s="10" t="n"/>
      <c r="L282" s="6" t="n">
        <v>22</v>
      </c>
      <c r="M282" s="6" t="n">
        <v>0</v>
      </c>
      <c r="N282" s="6" t="n">
        <v>19558</v>
      </c>
      <c r="O282" s="6">
        <f>IF(OR(I282="On time",I282="Late",I282="Very late"),1,0)</f>
        <v/>
      </c>
      <c r="P282" s="6">
        <f>IF(AND(O282=1,M282=0),1,0)</f>
        <v/>
      </c>
    </row>
    <row r="283">
      <c r="A283" s="10" t="inlineStr">
        <is>
          <t>GRN52398</t>
        </is>
      </c>
      <c r="B283" s="10" t="inlineStr">
        <is>
          <t>PO18708</t>
        </is>
      </c>
      <c r="C283" s="10" t="inlineStr">
        <is>
          <t>SUP2304</t>
        </is>
      </c>
      <c r="D283" s="10">
        <f>INDEX(Suppliers!$B:$B,MATCH(C283,Suppliers!$A:$A,0))</f>
        <v/>
      </c>
      <c r="E283" s="10" t="inlineStr">
        <is>
          <t>Supplier's own truck</t>
        </is>
      </c>
      <c r="F283" s="5" t="n">
        <v>46297</v>
      </c>
      <c r="G283" s="5" t="n">
        <v>46303</v>
      </c>
      <c r="H283" s="5" t="n"/>
      <c r="I283" s="10" t="inlineStr">
        <is>
          <t>Due</t>
        </is>
      </c>
      <c r="J283" s="6" t="n">
        <v>0</v>
      </c>
      <c r="K283" s="10" t="n"/>
      <c r="L283" s="6" t="n">
        <v>25</v>
      </c>
      <c r="M283" s="6" t="n">
        <v>0</v>
      </c>
      <c r="N283" s="6" t="n">
        <v>11475</v>
      </c>
      <c r="O283" s="6">
        <f>IF(OR(I283="On time",I283="Late",I283="Very late"),1,0)</f>
        <v/>
      </c>
      <c r="P283" s="6">
        <f>IF(AND(O283=1,M283=0),1,0)</f>
        <v/>
      </c>
    </row>
    <row r="284">
      <c r="A284" s="10" t="inlineStr">
        <is>
          <t>GRN52399</t>
        </is>
      </c>
      <c r="B284" s="10" t="inlineStr">
        <is>
          <t>PO18710</t>
        </is>
      </c>
      <c r="C284" s="10" t="inlineStr">
        <is>
          <t>SUP2438</t>
        </is>
      </c>
      <c r="D284" s="10">
        <f>INDEX(Suppliers!$B:$B,MATCH(C284,Suppliers!$A:$A,0))</f>
        <v/>
      </c>
      <c r="E284" s="10" t="inlineStr">
        <is>
          <t>Line-haul (road)</t>
        </is>
      </c>
      <c r="F284" s="5" t="n">
        <v>46295</v>
      </c>
      <c r="G284" s="5" t="n">
        <v>46303</v>
      </c>
      <c r="H284" s="5" t="n"/>
      <c r="I284" s="10" t="inlineStr">
        <is>
          <t>Due</t>
        </is>
      </c>
      <c r="J284" s="6" t="n">
        <v>0</v>
      </c>
      <c r="K284" s="10" t="n"/>
      <c r="L284" s="6" t="n">
        <v>11</v>
      </c>
      <c r="M284" s="6" t="n">
        <v>0</v>
      </c>
      <c r="N284" s="6" t="n">
        <v>6281</v>
      </c>
      <c r="O284" s="6">
        <f>IF(OR(I284="On time",I284="Late",I284="Very late"),1,0)</f>
        <v/>
      </c>
      <c r="P284" s="6">
        <f>IF(AND(O284=1,M284=0),1,0)</f>
        <v/>
      </c>
    </row>
    <row r="285">
      <c r="A285" s="10" t="inlineStr">
        <is>
          <t>GRN52400</t>
        </is>
      </c>
      <c r="B285" s="10" t="inlineStr">
        <is>
          <t>PO18712</t>
        </is>
      </c>
      <c r="C285" s="10" t="inlineStr">
        <is>
          <t>SUP2461</t>
        </is>
      </c>
      <c r="D285" s="10">
        <f>INDEX(Suppliers!$B:$B,MATCH(C285,Suppliers!$A:$A,0))</f>
        <v/>
      </c>
      <c r="E285" s="10" t="inlineStr">
        <is>
          <t>Line-haul (road)</t>
        </is>
      </c>
      <c r="F285" s="5" t="n">
        <v>46289</v>
      </c>
      <c r="G285" s="5" t="n">
        <v>46303</v>
      </c>
      <c r="H285" s="5" t="n"/>
      <c r="I285" s="10" t="inlineStr">
        <is>
          <t>Due</t>
        </is>
      </c>
      <c r="J285" s="6" t="n">
        <v>0</v>
      </c>
      <c r="K285" s="10" t="n"/>
      <c r="L285" s="6" t="n">
        <v>29</v>
      </c>
      <c r="M285" s="6" t="n">
        <v>0</v>
      </c>
      <c r="N285" s="6" t="n">
        <v>18966</v>
      </c>
      <c r="O285" s="6">
        <f>IF(OR(I285="On time",I285="Late",I285="Very late"),1,0)</f>
        <v/>
      </c>
      <c r="P285" s="6">
        <f>IF(AND(O285=1,M285=0),1,0)</f>
        <v/>
      </c>
    </row>
    <row r="286">
      <c r="A286" s="10" t="inlineStr">
        <is>
          <t>GRN52401</t>
        </is>
      </c>
      <c r="B286" s="10" t="inlineStr">
        <is>
          <t>PO18713</t>
        </is>
      </c>
      <c r="C286" s="10" t="inlineStr">
        <is>
          <t>SUP2506</t>
        </is>
      </c>
      <c r="D286" s="10">
        <f>INDEX(Suppliers!$B:$B,MATCH(C286,Suppliers!$A:$A,0))</f>
        <v/>
      </c>
      <c r="E286" s="10" t="inlineStr">
        <is>
          <t>Air freight</t>
        </is>
      </c>
      <c r="F286" s="5" t="n">
        <v>46295</v>
      </c>
      <c r="G286" s="5" t="n">
        <v>46303</v>
      </c>
      <c r="H286" s="5" t="n"/>
      <c r="I286" s="10" t="inlineStr">
        <is>
          <t>Due</t>
        </is>
      </c>
      <c r="J286" s="6" t="n">
        <v>0</v>
      </c>
      <c r="K286" s="10" t="n"/>
      <c r="L286" s="6" t="n">
        <v>11</v>
      </c>
      <c r="M286" s="6" t="n">
        <v>0</v>
      </c>
      <c r="N286" s="6" t="n">
        <v>9064</v>
      </c>
      <c r="O286" s="6">
        <f>IF(OR(I286="On time",I286="Late",I286="Very late"),1,0)</f>
        <v/>
      </c>
      <c r="P286" s="6">
        <f>IF(AND(O286=1,M286=0),1,0)</f>
        <v/>
      </c>
    </row>
    <row r="287">
      <c r="A287" s="10" t="inlineStr">
        <is>
          <t>GRN52402</t>
        </is>
      </c>
      <c r="B287" s="10" t="inlineStr">
        <is>
          <t>PO18715</t>
        </is>
      </c>
      <c r="C287" s="10" t="inlineStr">
        <is>
          <t>SUP2542</t>
        </is>
      </c>
      <c r="D287" s="10">
        <f>INDEX(Suppliers!$B:$B,MATCH(C287,Suppliers!$A:$A,0))</f>
        <v/>
      </c>
      <c r="E287" s="10" t="inlineStr">
        <is>
          <t>Supplier's own truck</t>
        </is>
      </c>
      <c r="F287" s="5" t="n">
        <v>46294</v>
      </c>
      <c r="G287" s="5" t="n">
        <v>46303</v>
      </c>
      <c r="H287" s="5" t="n"/>
      <c r="I287" s="10" t="inlineStr">
        <is>
          <t>Due</t>
        </is>
      </c>
      <c r="J287" s="6" t="n">
        <v>0</v>
      </c>
      <c r="K287" s="10" t="n"/>
      <c r="L287" s="6" t="n">
        <v>20</v>
      </c>
      <c r="M287" s="6" t="n">
        <v>0</v>
      </c>
      <c r="N287" s="6" t="n">
        <v>4360</v>
      </c>
      <c r="O287" s="6">
        <f>IF(OR(I287="On time",I287="Late",I287="Very late"),1,0)</f>
        <v/>
      </c>
      <c r="P287" s="6">
        <f>IF(AND(O287=1,M287=0),1,0)</f>
        <v/>
      </c>
    </row>
    <row r="288">
      <c r="A288" s="10" t="inlineStr">
        <is>
          <t>GRN52403</t>
        </is>
      </c>
      <c r="B288" s="10" t="inlineStr">
        <is>
          <t>PO18716</t>
        </is>
      </c>
      <c r="C288" s="10" t="inlineStr">
        <is>
          <t>SUP2151</t>
        </is>
      </c>
      <c r="D288" s="10">
        <f>INDEX(Suppliers!$B:$B,MATCH(C288,Suppliers!$A:$A,0))</f>
        <v/>
      </c>
      <c r="E288" s="10" t="inlineStr">
        <is>
          <t>Line-haul (road)</t>
        </is>
      </c>
      <c r="F288" s="5" t="n">
        <v>46294</v>
      </c>
      <c r="G288" s="5" t="n">
        <v>46304</v>
      </c>
      <c r="H288" s="5" t="n"/>
      <c r="I288" s="10" t="inlineStr">
        <is>
          <t>Due</t>
        </is>
      </c>
      <c r="J288" s="6" t="n">
        <v>0</v>
      </c>
      <c r="K288" s="10" t="n"/>
      <c r="L288" s="6" t="n">
        <v>10</v>
      </c>
      <c r="M288" s="6" t="n">
        <v>0</v>
      </c>
      <c r="N288" s="6" t="n">
        <v>7500</v>
      </c>
      <c r="O288" s="6">
        <f>IF(OR(I288="On time",I288="Late",I288="Very late"),1,0)</f>
        <v/>
      </c>
      <c r="P288" s="6">
        <f>IF(AND(O288=1,M288=0),1,0)</f>
        <v/>
      </c>
    </row>
    <row r="289">
      <c r="A289" s="10" t="inlineStr">
        <is>
          <t>GRN52404</t>
        </is>
      </c>
      <c r="B289" s="10" t="inlineStr">
        <is>
          <t>PO18717</t>
        </is>
      </c>
      <c r="C289" s="10" t="inlineStr">
        <is>
          <t>SUP2189</t>
        </is>
      </c>
      <c r="D289" s="10">
        <f>INDEX(Suppliers!$B:$B,MATCH(C289,Suppliers!$A:$A,0))</f>
        <v/>
      </c>
      <c r="E289" s="10" t="inlineStr">
        <is>
          <t>Container cartage</t>
        </is>
      </c>
      <c r="F289" s="5" t="n">
        <v>46297</v>
      </c>
      <c r="G289" s="5" t="n">
        <v>46304</v>
      </c>
      <c r="H289" s="5" t="n"/>
      <c r="I289" s="10" t="inlineStr">
        <is>
          <t>Due</t>
        </is>
      </c>
      <c r="J289" s="6" t="n">
        <v>0</v>
      </c>
      <c r="K289" s="10" t="n"/>
      <c r="L289" s="6" t="n">
        <v>17</v>
      </c>
      <c r="M289" s="6" t="n">
        <v>0</v>
      </c>
      <c r="N289" s="6" t="n">
        <v>6443</v>
      </c>
      <c r="O289" s="6">
        <f>IF(OR(I289="On time",I289="Late",I289="Very late"),1,0)</f>
        <v/>
      </c>
      <c r="P289" s="6">
        <f>IF(AND(O289=1,M289=0),1,0)</f>
        <v/>
      </c>
    </row>
    <row r="290">
      <c r="A290" s="10" t="inlineStr">
        <is>
          <t>GRN52405</t>
        </is>
      </c>
      <c r="B290" s="10" t="inlineStr">
        <is>
          <t>PO18718</t>
        </is>
      </c>
      <c r="C290" s="10" t="inlineStr">
        <is>
          <t>SUP2219</t>
        </is>
      </c>
      <c r="D290" s="10">
        <f>INDEX(Suppliers!$B:$B,MATCH(C290,Suppliers!$A:$A,0))</f>
        <v/>
      </c>
      <c r="E290" s="10" t="inlineStr">
        <is>
          <t>Supplier's own truck</t>
        </is>
      </c>
      <c r="F290" s="5" t="n">
        <v>46294</v>
      </c>
      <c r="G290" s="5" t="n">
        <v>46304</v>
      </c>
      <c r="H290" s="5" t="n"/>
      <c r="I290" s="10" t="inlineStr">
        <is>
          <t>Due</t>
        </is>
      </c>
      <c r="J290" s="6" t="n">
        <v>0</v>
      </c>
      <c r="K290" s="10" t="n"/>
      <c r="L290" s="6" t="n">
        <v>29</v>
      </c>
      <c r="M290" s="6" t="n">
        <v>0</v>
      </c>
      <c r="N290" s="6" t="n">
        <v>16704</v>
      </c>
      <c r="O290" s="6">
        <f>IF(OR(I290="On time",I290="Late",I290="Very late"),1,0)</f>
        <v/>
      </c>
      <c r="P290" s="6">
        <f>IF(AND(O290=1,M290=0),1,0)</f>
        <v/>
      </c>
    </row>
    <row r="291">
      <c r="A291" s="10" t="inlineStr">
        <is>
          <t>GRN52406</t>
        </is>
      </c>
      <c r="B291" s="10" t="inlineStr">
        <is>
          <t>PO18720</t>
        </is>
      </c>
      <c r="C291" s="10" t="inlineStr">
        <is>
          <t>SUP2336</t>
        </is>
      </c>
      <c r="D291" s="10">
        <f>INDEX(Suppliers!$B:$B,MATCH(C291,Suppliers!$A:$A,0))</f>
        <v/>
      </c>
      <c r="E291" s="10" t="inlineStr">
        <is>
          <t>Line-haul (road)</t>
        </is>
      </c>
      <c r="F291" s="5" t="n">
        <v>46294</v>
      </c>
      <c r="G291" s="5" t="n">
        <v>46304</v>
      </c>
      <c r="H291" s="5" t="n"/>
      <c r="I291" s="10" t="inlineStr">
        <is>
          <t>Due</t>
        </is>
      </c>
      <c r="J291" s="6" t="n">
        <v>0</v>
      </c>
      <c r="K291" s="10" t="n"/>
      <c r="L291" s="6" t="n">
        <v>23</v>
      </c>
      <c r="M291" s="6" t="n">
        <v>0</v>
      </c>
      <c r="N291" s="6" t="n">
        <v>13087</v>
      </c>
      <c r="O291" s="6">
        <f>IF(OR(I291="On time",I291="Late",I291="Very late"),1,0)</f>
        <v/>
      </c>
      <c r="P291" s="6">
        <f>IF(AND(O291=1,M291=0),1,0)</f>
        <v/>
      </c>
    </row>
    <row r="292">
      <c r="A292" s="10" t="inlineStr">
        <is>
          <t>GRN52407</t>
        </is>
      </c>
      <c r="B292" s="10" t="inlineStr">
        <is>
          <t>PO18722</t>
        </is>
      </c>
      <c r="C292" s="10" t="inlineStr">
        <is>
          <t>SUP2461</t>
        </is>
      </c>
      <c r="D292" s="10">
        <f>INDEX(Suppliers!$B:$B,MATCH(C292,Suppliers!$A:$A,0))</f>
        <v/>
      </c>
      <c r="E292" s="10" t="inlineStr">
        <is>
          <t>Line-haul (road)</t>
        </is>
      </c>
      <c r="F292" s="5" t="n">
        <v>46293</v>
      </c>
      <c r="G292" s="5" t="n">
        <v>46304</v>
      </c>
      <c r="H292" s="5" t="n"/>
      <c r="I292" s="10" t="inlineStr">
        <is>
          <t>Due</t>
        </is>
      </c>
      <c r="J292" s="6" t="n">
        <v>0</v>
      </c>
      <c r="K292" s="10" t="n"/>
      <c r="L292" s="6" t="n">
        <v>4</v>
      </c>
      <c r="M292" s="6" t="n">
        <v>0</v>
      </c>
      <c r="N292" s="6" t="n">
        <v>1572</v>
      </c>
      <c r="O292" s="6">
        <f>IF(OR(I292="On time",I292="Late",I292="Very late"),1,0)</f>
        <v/>
      </c>
      <c r="P292" s="6">
        <f>IF(AND(O292=1,M292=0),1,0)</f>
        <v/>
      </c>
    </row>
    <row r="293">
      <c r="A293" s="10" t="inlineStr">
        <is>
          <t>GRN52408</t>
        </is>
      </c>
      <c r="B293" s="10" t="inlineStr">
        <is>
          <t>PO18724</t>
        </is>
      </c>
      <c r="C293" s="10" t="inlineStr">
        <is>
          <t>SUP2506</t>
        </is>
      </c>
      <c r="D293" s="10">
        <f>INDEX(Suppliers!$B:$B,MATCH(C293,Suppliers!$A:$A,0))</f>
        <v/>
      </c>
      <c r="E293" s="10" t="inlineStr">
        <is>
          <t>Air freight</t>
        </is>
      </c>
      <c r="F293" s="5" t="n">
        <v>46296</v>
      </c>
      <c r="G293" s="5" t="n">
        <v>46304</v>
      </c>
      <c r="H293" s="5" t="n"/>
      <c r="I293" s="10" t="inlineStr">
        <is>
          <t>Due</t>
        </is>
      </c>
      <c r="J293" s="6" t="n">
        <v>0</v>
      </c>
      <c r="K293" s="10" t="n"/>
      <c r="L293" s="6" t="n">
        <v>11</v>
      </c>
      <c r="M293" s="6" t="n">
        <v>0</v>
      </c>
      <c r="N293" s="6" t="n">
        <v>7590</v>
      </c>
      <c r="O293" s="6">
        <f>IF(OR(I293="On time",I293="Late",I293="Very late"),1,0)</f>
        <v/>
      </c>
      <c r="P293" s="6">
        <f>IF(AND(O293=1,M293=0),1,0)</f>
        <v/>
      </c>
    </row>
    <row r="294">
      <c r="A294" s="10" t="inlineStr">
        <is>
          <t>GRN52409</t>
        </is>
      </c>
      <c r="B294" s="10" t="inlineStr">
        <is>
          <t>PO18725</t>
        </is>
      </c>
      <c r="C294" s="10" t="inlineStr">
        <is>
          <t>SUP2542</t>
        </is>
      </c>
      <c r="D294" s="10">
        <f>INDEX(Suppliers!$B:$B,MATCH(C294,Suppliers!$A:$A,0))</f>
        <v/>
      </c>
      <c r="E294" s="10" t="inlineStr">
        <is>
          <t>Supplier's own truck</t>
        </is>
      </c>
      <c r="F294" s="5" t="n">
        <v>46295</v>
      </c>
      <c r="G294" s="5" t="n">
        <v>46304</v>
      </c>
      <c r="H294" s="5" t="n"/>
      <c r="I294" s="10" t="inlineStr">
        <is>
          <t>Due</t>
        </is>
      </c>
      <c r="J294" s="6" t="n">
        <v>0</v>
      </c>
      <c r="K294" s="10" t="n"/>
      <c r="L294" s="6" t="n">
        <v>6</v>
      </c>
      <c r="M294" s="6" t="n">
        <v>0</v>
      </c>
      <c r="N294" s="6" t="n">
        <v>4428</v>
      </c>
      <c r="O294" s="6">
        <f>IF(OR(I294="On time",I294="Late",I294="Very late"),1,0)</f>
        <v/>
      </c>
      <c r="P294" s="6">
        <f>IF(AND(O294=1,M294=0),1,0)</f>
        <v/>
      </c>
    </row>
  </sheetData>
  <autoFilter ref="A5:P294"/>
  <conditionalFormatting sqref="I6:I294">
    <cfRule type="cellIs" priority="1" operator="equal" dxfId="0">
      <formula>"Late"</formula>
    </cfRule>
    <cfRule type="cellIs" priority="2" operator="equal" dxfId="1">
      <formula>"Very late"</formula>
    </cfRule>
    <cfRule type="cellIs" priority="3" operator="equal" dxfId="1">
      <formula>"Overdue"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Distribution Pty Ltd&amp;R&amp;"Roboto,Regular"&amp;8 &amp;A</oddHeader>
    <oddFooter>&amp;L&amp;"Roboto,Regular"&amp;8 deliveries-sample.xlsx&amp;C&amp;"Roboto,Regular"&amp;8 Data retrieved 2pm, Tue 6 Oct 2026 · Generated 22 Oct 2026, 7:51pm&amp;R&amp;"Roboto,Regular"&amp;8 Page &amp;P of &amp;N</oddFooter>
    <evenHeader/>
    <evenFooter/>
    <firstHeader/>
    <firstFooter/>
  </headerFooter>
  <rowBreaks count="6" manualBreakCount="6">
    <brk id="53" min="0" max="16383" man="1"/>
    <brk id="105" min="0" max="16383" man="1"/>
    <brk id="123" min="0" max="16383" man="1"/>
    <brk id="175" min="0" max="16383" man="1"/>
    <brk id="227" min="0" max="16383" man="1"/>
    <brk id="25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2026-10-22T09:51:07Z</dcterms:created>
  <dcterms:modified xmlns:dcterms="http://purl.org/dc/terms/" xmlns:xsi="http://www.w3.org/2001/XMLSchema-instance" xsi:type="dcterms:W3CDTF">2026-10-22T09:51:40Z</dcterms:modified>
</cp:coreProperties>
</file>