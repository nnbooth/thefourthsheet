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ctober_all_fundraising">'Report'!$B$10</definedName>
    <definedName name="Year_to_date_Jul_to_Oct_2025">'Report'!$B$11</definedName>
    <definedName name="October_Grants">'Report'!$B$35</definedName>
    <definedName name="Year_to_date_Jul_to_Oct_2025_2">'Report'!$B$36</definedName>
    <definedName name="October_Donations">'Report'!$B$46</definedName>
    <definedName name="Year_to_date_Jul_to_Oct_2025_3">'Report'!$B$47</definedName>
    <definedName name="October_Fundraising_events">'Report'!$B$57</definedName>
    <definedName name="Year_to_date_Jul_to_Oct_2025_4">'Report'!$B$58</definedName>
    <definedName name="_xlnm.Print_Area" localSheetId="0">'Report'!$A$1:$D$67</definedName>
    <definedName name="_xlnm.Print_Area" localSheetId="1">'Workings'!$A$1:$C$83</definedName>
    <definedName name="_xlnm.Print_Titles" localSheetId="2">'Data'!$5:$5</definedName>
    <definedName name="_xlnm.Print_Area" localSheetId="2">'Data'!$A$1:$I$18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October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'Data'!$A$6:$A$18</f>
            </numRef>
          </cat>
          <val>
            <numRef>
              <f>'Data'!$C$6:$C$18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18" headerRowCount="1">
  <autoFilter ref="A5:I18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Each dollar raised cost 11¢ in October, and 15¢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October · all fundraising</t>
        </is>
      </c>
      <c r="B10" s="8">
        <f>Workings!B10</f>
        <v/>
      </c>
      <c r="C10" s="9" t="inlineStr">
        <is>
          <t>September 21¢</t>
        </is>
      </c>
    </row>
    <row r="11">
      <c r="A11" t="inlineStr">
        <is>
          <t>Year to date (Jul to Oct 2025)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October 2025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10</v>
      </c>
    </row>
    <row r="16">
      <c r="A16" t="inlineStr">
        <is>
          <t>Donations</t>
        </is>
      </c>
      <c r="B16" s="8" t="n">
        <v>14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October cost 11¢ to raise each dollar, against 21¢ in September. This financial year to date it has cost 15¢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October · Grants</t>
        </is>
      </c>
      <c r="B35" s="8">
        <f>Workings!B39</f>
        <v/>
      </c>
      <c r="C35" s="9" t="inlineStr">
        <is>
          <t>September 11¢</t>
        </is>
      </c>
    </row>
    <row r="36">
      <c r="A36" t="inlineStr">
        <is>
          <t>Year to date (Jul to Oct 2025)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($28,400 of grant writing and reporting for $251,929).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October · Donations</t>
        </is>
      </c>
      <c r="B46" s="8">
        <f>Workings!B56</f>
        <v/>
      </c>
      <c r="C46" s="9" t="inlineStr">
        <is>
          <t>September 14¢</t>
        </is>
      </c>
    </row>
    <row r="47">
      <c r="A47" t="inlineStr">
        <is>
          <t>Year to date (Jul to Oct 2025)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14¢ to raise each dollar this financial year to date ($8,800 of donor campaigns for $61,800).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October · Fundraising events</t>
        </is>
      </c>
      <c r="B57" t="inlineStr">
        <is>
          <t>–</t>
        </is>
      </c>
      <c r="C57" s="9" t="inlineStr">
        <is>
          <t>September 41¢</t>
        </is>
      </c>
    </row>
    <row r="58">
      <c r="A58" t="inlineStr">
        <is>
          <t>Year to date (Jul to Oct 2025)</t>
        </is>
      </c>
      <c r="B58" s="8">
        <f>Workings!B82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($15,200 of event costs for $36,800).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Cost to raise a dollar, all fundraising, October and September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Oct 25</t>
        </is>
      </c>
      <c r="C7" s="7" t="inlineStr">
        <is>
          <t>Sep 25</t>
        </is>
      </c>
    </row>
    <row r="8">
      <c r="A8" t="inlineStr">
        <is>
          <t>Cost of raising it</t>
        </is>
      </c>
      <c r="B8" s="13" t="n">
        <v>9300</v>
      </c>
      <c r="C8" s="13" t="n">
        <v>24500</v>
      </c>
    </row>
    <row r="9">
      <c r="A9" t="inlineStr">
        <is>
          <t>Money raised</t>
        </is>
      </c>
      <c r="B9" s="13" t="n">
        <v>85385</v>
      </c>
      <c r="C9" s="13" t="n">
        <v>115037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52400</v>
      </c>
    </row>
    <row r="17">
      <c r="A17" t="inlineStr">
        <is>
          <t>Raised, year to date</t>
        </is>
      </c>
      <c r="B17" s="13" t="n">
        <v>350529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October 2025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Oct 2025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69185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16200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October. </t>
        </is>
      </c>
    </row>
    <row r="32"/>
    <row r="33"/>
    <row r="34">
      <c r="A34" s="5" t="inlineStr">
        <is>
          <t>Cost to raise a dollar, grants, October and September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Oct 25</t>
        </is>
      </c>
      <c r="C36" s="7" t="inlineStr">
        <is>
          <t>Sep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69185</v>
      </c>
      <c r="C38" s="13" t="n">
        <v>62137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28400</v>
      </c>
    </row>
    <row r="46">
      <c r="A46" t="inlineStr">
        <is>
          <t>Raised, year to date</t>
        </is>
      </c>
      <c r="B46" s="13" t="n">
        <v>251929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October and September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Oct 25</t>
        </is>
      </c>
      <c r="C53" s="7" t="inlineStr">
        <is>
          <t>Sep 25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16200</v>
      </c>
      <c r="C55" s="13" t="n">
        <v>16100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8800</v>
      </c>
    </row>
    <row r="63">
      <c r="A63" t="inlineStr">
        <is>
          <t>Raised, year to date</t>
        </is>
      </c>
      <c r="B63" s="13" t="n">
        <v>61800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October and September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Oct 25</t>
        </is>
      </c>
      <c r="C70" s="7" t="inlineStr">
        <is>
          <t>Sep 25</t>
        </is>
      </c>
    </row>
    <row r="71">
      <c r="A71" t="inlineStr">
        <is>
          <t>Cost of raising it</t>
        </is>
      </c>
      <c r="B71" s="13" t="n">
        <v>0</v>
      </c>
      <c r="C71" s="13" t="n">
        <v>15200</v>
      </c>
    </row>
    <row r="72">
      <c r="A72" t="inlineStr">
        <is>
          <t>Money raised</t>
        </is>
      </c>
      <c r="B72" s="13" t="n">
        <v>0</v>
      </c>
      <c r="C72" s="13" t="n">
        <v>36800</v>
      </c>
    </row>
    <row r="73">
      <c r="A73" s="14" t="inlineStr">
        <is>
          <t>Cents per dollar</t>
        </is>
      </c>
      <c r="B73" s="15">
        <f>IFERROR(B71/B72*100,"–")</f>
        <v/>
      </c>
      <c r="C73" s="15">
        <f>C71/C72*100</f>
        <v/>
      </c>
    </row>
    <row r="74">
      <c r="A74" s="2" t="inlineStr">
        <is>
          <t>Nothing raised in one of the months, so there's no cost per dollar for it.</t>
        </is>
      </c>
    </row>
    <row r="75"/>
    <row r="76"/>
    <row r="77">
      <c r="A77" s="5" t="inlineStr">
        <is>
          <t>Cost to raise a dollar, fundraising events, year to date</t>
        </is>
      </c>
    </row>
    <row r="78">
      <c r="A78" s="12" t="inlineStr">
        <is>
          <t>Cost ÷ money raised, in cents</t>
        </is>
      </c>
    </row>
    <row r="79">
      <c r="A79" s="6" t="inlineStr"/>
      <c r="B79" s="7" t="inlineStr">
        <is>
          <t>Year to date</t>
        </is>
      </c>
    </row>
    <row r="80">
      <c r="A80" t="inlineStr">
        <is>
          <t>Cost, year to date</t>
        </is>
      </c>
      <c r="B80" s="13" t="n">
        <v>15200</v>
      </c>
    </row>
    <row r="81">
      <c r="A81" t="inlineStr">
        <is>
          <t>Raised, year to date</t>
        </is>
      </c>
      <c r="B81" s="13" t="n">
        <v>36800</v>
      </c>
    </row>
    <row r="82">
      <c r="A82" s="14" t="inlineStr">
        <is>
          <t>Cents, year to date</t>
        </is>
      </c>
      <c r="B82" s="15">
        <f>B80/B81*100</f>
        <v/>
      </c>
    </row>
    <row r="83">
      <c r="A83" s="2" t="inlineStr">
        <is>
          <t>Same period last year: Not available: the data starts October 2024.</t>
        </is>
      </c>
    </row>
    <row r="84"/>
    <row r="85"/>
    <row r="8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2026-10-22T06:58:28Z</dcterms:modified>
</cp:coreProperties>
</file>