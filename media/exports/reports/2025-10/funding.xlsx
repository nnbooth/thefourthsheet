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October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'Data'!$D$6:$D$18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'Data'!$D$19:$D$31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'Data'!$B$6:$B$18</f>
            </numRef>
          </cat>
          <val>
            <numRef>
              <f>'Data'!$D$32:$D$44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44" headerRowCount="1">
  <autoFilter ref="A5:G44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October; donations 14¢.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October 2025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14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October it cost: Grants 10¢, donations 14¢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October: grants (10¢ a dollar). Dearest: donations (14¢).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$251,929 raised this financial year to date (71.9% of everything raised), $28,400 to raise it, so $223,529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$61,800 raised this financial year to date (17.6% of everything raised), $8,800 to raise it, so $53,000 left for programs: 14¢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$36,800 raised this financial year to date (10.5% of everything raised), $15,200 to raise it, so $21,600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October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October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Oct 2025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Oct 2025),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$251,929</t>
        </is>
      </c>
      <c r="C60" s="15" t="inlineStr">
        <is>
          <t>$28,400</t>
        </is>
      </c>
      <c r="D60" s="15" t="inlineStr">
        <is>
          <t>$223,529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$61,800</t>
        </is>
      </c>
      <c r="C61" s="15" t="inlineStr">
        <is>
          <t>$8,800</t>
        </is>
      </c>
      <c r="D61" s="15" t="inlineStr">
        <is>
          <t>$53,000</t>
        </is>
      </c>
      <c r="E61" s="15" t="inlineStr">
        <is>
          <t>14¢</t>
        </is>
      </c>
    </row>
    <row r="62">
      <c r="A62" s="14" t="inlineStr">
        <is>
          <t>Fundraising events</t>
        </is>
      </c>
      <c r="B62" s="15" t="inlineStr">
        <is>
          <t>$36,800</t>
        </is>
      </c>
      <c r="C62" s="15" t="inlineStr">
        <is>
          <t>$15,200</t>
        </is>
      </c>
      <c r="D62" s="15" t="inlineStr">
        <is>
          <t>$21,600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Cost to raise a dollar, by source, October 2025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Oct 2025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69185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16200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October. </t>
        </is>
      </c>
    </row>
    <row r="15"/>
    <row r="16"/>
    <row r="17">
      <c r="A17" s="5" t="inlineStr">
        <is>
          <t>Cost to raise a dollar, by source, October 2025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Oct 2025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69185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16200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October. </t>
        </is>
      </c>
    </row>
    <row r="27"/>
    <row r="28"/>
    <row r="29">
      <c r="A29" s="5" t="inlineStr">
        <is>
          <t>Cost to raise a dollar, by source, October 2025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Oct 2025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69185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16200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October. </t>
        </is>
      </c>
    </row>
    <row r="39"/>
    <row r="40"/>
    <row r="41">
      <c r="A41" s="5" t="inlineStr">
        <is>
          <t>Raised, financial year to date (Jul to Oct 2025)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251929</v>
      </c>
    </row>
    <row r="45">
      <c r="A45" t="inlineStr">
        <is>
          <t>Donations, raised</t>
        </is>
      </c>
      <c r="B45" s="16" t="n">
        <v>61800</v>
      </c>
    </row>
    <row r="46">
      <c r="A46" t="inlineStr">
        <is>
          <t>Fundraising events, raised</t>
        </is>
      </c>
      <c r="B46" s="16" t="n">
        <v>36800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Donations</t>
        </is>
      </c>
      <c r="B19" s="21" t="inlineStr">
        <is>
          <t>Oct 24</t>
        </is>
      </c>
      <c r="C19" s="21" t="inlineStr">
        <is>
          <t>Locked</t>
        </is>
      </c>
      <c r="D19" s="16" t="n">
        <v>15300</v>
      </c>
      <c r="E19" s="16" t="n">
        <v>2200</v>
      </c>
      <c r="F19" s="16">
        <f>D19-E19</f>
        <v/>
      </c>
      <c r="G19" s="17">
        <f>IF(D19=0,"",E19/D19*100)</f>
        <v/>
      </c>
    </row>
    <row r="20">
      <c r="A20" s="21" t="inlineStr">
        <is>
          <t>Donations</t>
        </is>
      </c>
      <c r="B20" s="21" t="inlineStr">
        <is>
          <t>Nov 24</t>
        </is>
      </c>
      <c r="C20" s="21" t="inlineStr">
        <is>
          <t>Locked</t>
        </is>
      </c>
      <c r="D20" s="16" t="n">
        <v>17700</v>
      </c>
      <c r="E20" s="16" t="n">
        <v>3100</v>
      </c>
      <c r="F20" s="16">
        <f>D20-E20</f>
        <v/>
      </c>
      <c r="G20" s="17">
        <f>IF(D20=0,"",E20/D20*100)</f>
        <v/>
      </c>
    </row>
    <row r="21">
      <c r="A21" s="21" t="inlineStr">
        <is>
          <t>Donations</t>
        </is>
      </c>
      <c r="B21" s="21" t="inlineStr">
        <is>
          <t>Dec 24</t>
        </is>
      </c>
      <c r="C21" s="21" t="inlineStr">
        <is>
          <t>Locked</t>
        </is>
      </c>
      <c r="D21" s="16" t="n">
        <v>24700</v>
      </c>
      <c r="E21" s="16" t="n">
        <v>4400</v>
      </c>
      <c r="F21" s="16">
        <f>D21-E21</f>
        <v/>
      </c>
      <c r="G21" s="17">
        <f>IF(D21=0,"",E21/D21*100)</f>
        <v/>
      </c>
    </row>
    <row r="22">
      <c r="A22" s="21" t="inlineStr">
        <is>
          <t>Donations</t>
        </is>
      </c>
      <c r="B22" s="21" t="inlineStr">
        <is>
          <t>Jan 25</t>
        </is>
      </c>
      <c r="C22" s="21" t="inlineStr">
        <is>
          <t>Locked</t>
        </is>
      </c>
      <c r="D22" s="16" t="n">
        <v>12400</v>
      </c>
      <c r="E22" s="16" t="n">
        <v>2200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Feb 25</t>
        </is>
      </c>
      <c r="C23" s="21" t="inlineStr">
        <is>
          <t>Locked</t>
        </is>
      </c>
      <c r="D23" s="16" t="n">
        <v>15600</v>
      </c>
      <c r="E23" s="16" t="n">
        <v>2200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Mar 25</t>
        </is>
      </c>
      <c r="C24" s="21" t="inlineStr">
        <is>
          <t>Locked</t>
        </is>
      </c>
      <c r="D24" s="16" t="n">
        <v>15700</v>
      </c>
      <c r="E24" s="16" t="n">
        <v>2200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Apr 25</t>
        </is>
      </c>
      <c r="C25" s="21" t="inlineStr">
        <is>
          <t>Locked</t>
        </is>
      </c>
      <c r="D25" s="16" t="n">
        <v>15700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May 25</t>
        </is>
      </c>
      <c r="C26" s="21" t="inlineStr">
        <is>
          <t>Locked</t>
        </is>
      </c>
      <c r="D26" s="16" t="n">
        <v>15800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Jun 25</t>
        </is>
      </c>
      <c r="C27" s="21" t="inlineStr">
        <is>
          <t>Locked</t>
        </is>
      </c>
      <c r="D27" s="16" t="n">
        <v>38100</v>
      </c>
      <c r="E27" s="16" t="n">
        <v>5500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Jul 25</t>
        </is>
      </c>
      <c r="C28" s="21" t="inlineStr">
        <is>
          <t>Locked</t>
        </is>
      </c>
      <c r="D28" s="16" t="n">
        <v>13500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Aug 25</t>
        </is>
      </c>
      <c r="C29" s="21" t="inlineStr">
        <is>
          <t>Locked</t>
        </is>
      </c>
      <c r="D29" s="16" t="n">
        <v>16000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Sep 25</t>
        </is>
      </c>
      <c r="C30" s="21" t="inlineStr">
        <is>
          <t>Locked</t>
        </is>
      </c>
      <c r="D30" s="16" t="n">
        <v>16100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Oct 25</t>
        </is>
      </c>
      <c r="C31" s="21" t="inlineStr">
        <is>
          <t>Locked</t>
        </is>
      </c>
      <c r="D31" s="16" t="n">
        <v>16200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Fundraising events</t>
        </is>
      </c>
      <c r="B32" s="21" t="inlineStr">
        <is>
          <t>Oct 24</t>
        </is>
      </c>
      <c r="C32" s="21" t="inlineStr">
        <is>
          <t>Locked</t>
        </is>
      </c>
      <c r="D32" s="16" t="n">
        <v>0</v>
      </c>
      <c r="E32" s="16" t="n">
        <v>0</v>
      </c>
      <c r="F32" s="16">
        <f>D32-E32</f>
        <v/>
      </c>
      <c r="G32" s="17">
        <f>IF(D32=0,"",E32/D32*100)</f>
        <v/>
      </c>
    </row>
    <row r="33">
      <c r="A33" s="21" t="inlineStr">
        <is>
          <t>Fundraising events</t>
        </is>
      </c>
      <c r="B33" s="21" t="inlineStr">
        <is>
          <t>Nov 24</t>
        </is>
      </c>
      <c r="C33" s="21" t="inlineStr">
        <is>
          <t>Locked</t>
        </is>
      </c>
      <c r="D33" s="16" t="n">
        <v>0</v>
      </c>
      <c r="E33" s="16" t="n">
        <v>0</v>
      </c>
      <c r="F33" s="16">
        <f>D33-E33</f>
        <v/>
      </c>
      <c r="G33" s="17">
        <f>IF(D33=0,"",E33/D33*100)</f>
        <v/>
      </c>
    </row>
    <row r="34">
      <c r="A34" s="21" t="inlineStr">
        <is>
          <t>Fundraising events</t>
        </is>
      </c>
      <c r="B34" s="21" t="inlineStr">
        <is>
          <t>Dec 24</t>
        </is>
      </c>
      <c r="C34" s="21" t="inlineStr">
        <is>
          <t>Locked</t>
        </is>
      </c>
      <c r="D34" s="16" t="n">
        <v>6200</v>
      </c>
      <c r="E34" s="16" t="n">
        <v>2600</v>
      </c>
      <c r="F34" s="16">
        <f>D34-E34</f>
        <v/>
      </c>
      <c r="G34" s="17">
        <f>IF(D34=0,"",E34/D34*100)</f>
        <v/>
      </c>
    </row>
    <row r="35">
      <c r="A35" s="21" t="inlineStr">
        <is>
          <t>Fundraising events</t>
        </is>
      </c>
      <c r="B35" s="21" t="inlineStr">
        <is>
          <t>Jan 25</t>
        </is>
      </c>
      <c r="C35" s="21" t="inlineStr">
        <is>
          <t>Locked</t>
        </is>
      </c>
      <c r="D35" s="16" t="n">
        <v>0</v>
      </c>
      <c r="E35" s="16" t="n">
        <v>0</v>
      </c>
      <c r="F35" s="16">
        <f>D35-E35</f>
        <v/>
      </c>
      <c r="G35" s="17">
        <f>IF(D35=0,"",E35/D35*100)</f>
        <v/>
      </c>
    </row>
    <row r="36">
      <c r="A36" s="21" t="inlineStr">
        <is>
          <t>Fundraising events</t>
        </is>
      </c>
      <c r="B36" s="21" t="inlineStr">
        <is>
          <t>Feb 25</t>
        </is>
      </c>
      <c r="C36" s="21" t="inlineStr">
        <is>
          <t>Locked</t>
        </is>
      </c>
      <c r="D36" s="16" t="n">
        <v>0</v>
      </c>
      <c r="E36" s="16" t="n">
        <v>0</v>
      </c>
      <c r="F36" s="16">
        <f>D36-E36</f>
        <v/>
      </c>
      <c r="G36" s="17">
        <f>IF(D36=0,"",E36/D36*100)</f>
        <v/>
      </c>
    </row>
    <row r="37">
      <c r="A37" s="21" t="inlineStr">
        <is>
          <t>Fundraising events</t>
        </is>
      </c>
      <c r="B37" s="21" t="inlineStr">
        <is>
          <t>Mar 25</t>
        </is>
      </c>
      <c r="C37" s="21" t="inlineStr">
        <is>
          <t>Locked</t>
        </is>
      </c>
      <c r="D37" s="16" t="n">
        <v>0</v>
      </c>
      <c r="E37" s="16" t="n">
        <v>0</v>
      </c>
      <c r="F37" s="16">
        <f>D37-E37</f>
        <v/>
      </c>
      <c r="G37" s="17">
        <f>IF(D37=0,"",E37/D37*100)</f>
        <v/>
      </c>
    </row>
    <row r="38">
      <c r="A38" s="21" t="inlineStr">
        <is>
          <t>Fundraising events</t>
        </is>
      </c>
      <c r="B38" s="21" t="inlineStr">
        <is>
          <t>Apr 25</t>
        </is>
      </c>
      <c r="C38" s="21" t="inlineStr">
        <is>
          <t>Locked</t>
        </is>
      </c>
      <c r="D38" s="16" t="n">
        <v>0</v>
      </c>
      <c r="E38" s="16" t="n">
        <v>0</v>
      </c>
      <c r="F38" s="16">
        <f>D38-E38</f>
        <v/>
      </c>
      <c r="G38" s="17">
        <f>IF(D38=0,"",E38/D38*100)</f>
        <v/>
      </c>
    </row>
    <row r="39">
      <c r="A39" s="21" t="inlineStr">
        <is>
          <t>Fundraising events</t>
        </is>
      </c>
      <c r="B39" s="21" t="inlineStr">
        <is>
          <t>May 25</t>
        </is>
      </c>
      <c r="C39" s="21" t="inlineStr">
        <is>
          <t>Locked</t>
        </is>
      </c>
      <c r="D39" s="16" t="n">
        <v>0</v>
      </c>
      <c r="E39" s="16" t="n">
        <v>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Jun 25</t>
        </is>
      </c>
      <c r="C40" s="21" t="inlineStr">
        <is>
          <t>Locked</t>
        </is>
      </c>
      <c r="D40" s="16" t="n">
        <v>0</v>
      </c>
      <c r="E40" s="16" t="n">
        <v>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Jul 25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Aug 25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Sep 25</t>
        </is>
      </c>
      <c r="C43" s="21" t="inlineStr">
        <is>
          <t>Locked</t>
        </is>
      </c>
      <c r="D43" s="16" t="n">
        <v>36800</v>
      </c>
      <c r="E43" s="16" t="n">
        <v>15200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Oct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