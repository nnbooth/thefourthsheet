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Aug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Housing support costs $53,592 in full in August: $23,092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August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Mental health first aid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</t>
        </is>
      </c>
      <c r="B15" s="9">
        <f>Workings!B67</f>
        <v/>
      </c>
      <c r="C15" s="10">
        <f>Workings!B62</f>
        <v/>
      </c>
    </row>
    <row r="16">
      <c r="A16" t="inlineStr">
        <is>
          <t>Volunteer coordinator</t>
        </is>
      </c>
      <c r="B16" s="9">
        <f>Workings!B80</f>
        <v/>
      </c>
      <c r="C16" s="10">
        <f>Workings!B75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$53,592 in August once its share of untied program costs and administration is added to $30,500 of grant spending. Shared costs add 75.7%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$53,592 in full in August: $30,500 paid by the State Housing Program grant, and $23,092 of shared costs no grant covers. It has spent 94.4% of its budget to date, with $133,500 left and 4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$53,592 a month; $23,092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$37,778 in full in August: $21,500 paid by the State Department of Families grant, and $16,278 of shared costs no grant covers. It has spent 101.3% of its budget to date, with $196,500 left and 10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$37,778 a month; $16,278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$16,517 in full in August: $9,400 paid by the Federal health program grant, and $7,117 of shared costs no grant covers. It has spent 92.8% of its budget to date, with $73,600 left and 7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$16,517 a month; $7,117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$9,137 in full in August: $5,200 paid by the Philanthropic foundation grant, and $3,937 of shared costs no grant covers. It has spent 99.5% of its budget to date, with $35,300 left and 7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$9,137 a month; $3,937 of it is shared cost the grant doesn't pay for. Worth asking for as much of it as the funder allows at renewal.</t>
        </is>
      </c>
    </row>
    <row r="58"/>
    <row r="59">
      <c r="A59" s="5" t="inlineStr">
        <is>
          <t>Program: Community meals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cost $7,204 in full in August: $4,100 paid by the Local council community grant grant, and $3,104 of shared costs no grant covers. It has spent 96.3% of its budget to date, with $40,300 left and 10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$7,204 a month; $3,104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$5,271 in full in August: $3,000 paid by the State volunteering grant grant, and $2,271 of shared costs no grant covers. It has spent 100.0% of its budget to date, with $18,000 left and 6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$5,271 a month; $2,271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Housing support: full cost, August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Aug 2026</t>
        </is>
      </c>
    </row>
    <row r="8">
      <c r="A8" t="inlineStr">
        <is>
          <t>Grant spending on the program</t>
        </is>
      </c>
      <c r="B8" s="13" t="n">
        <v>30500</v>
      </c>
    </row>
    <row r="9">
      <c r="A9" t="inlineStr">
        <is>
          <t>All grant-funded program spending</t>
        </is>
      </c>
      <c r="B9" s="13" t="n">
        <v>73700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19500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36300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August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Aug 2026</t>
        </is>
      </c>
    </row>
    <row r="21">
      <c r="A21" t="inlineStr">
        <is>
          <t>Grant spending on the program</t>
        </is>
      </c>
      <c r="B21" s="13" t="n">
        <v>21500</v>
      </c>
    </row>
    <row r="22">
      <c r="A22" t="inlineStr">
        <is>
          <t>All grant-funded program spending</t>
        </is>
      </c>
      <c r="B22" s="13" t="n">
        <v>73700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19500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36300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Mental health first aid: full cost, August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Aug 2026</t>
        </is>
      </c>
    </row>
    <row r="34">
      <c r="A34" t="inlineStr">
        <is>
          <t>Grant spending on the program</t>
        </is>
      </c>
      <c r="B34" s="13" t="n">
        <v>9400</v>
      </c>
    </row>
    <row r="35">
      <c r="A35" t="inlineStr">
        <is>
          <t>All grant-funded program spending</t>
        </is>
      </c>
      <c r="B35" s="13" t="n">
        <v>73700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19500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36300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August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Aug 2026</t>
        </is>
      </c>
    </row>
    <row r="47">
      <c r="A47" t="inlineStr">
        <is>
          <t>Grant spending on the program</t>
        </is>
      </c>
      <c r="B47" s="13" t="n">
        <v>5200</v>
      </c>
    </row>
    <row r="48">
      <c r="A48" t="inlineStr">
        <is>
          <t>All grant-funded program spending</t>
        </is>
      </c>
      <c r="B48" s="13" t="n">
        <v>73700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19500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36300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meals: full cost, August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Aug 2026</t>
        </is>
      </c>
    </row>
    <row r="60">
      <c r="A60" t="inlineStr">
        <is>
          <t>Grant spending on the program</t>
        </is>
      </c>
      <c r="B60" s="13" t="n">
        <v>4100</v>
      </c>
    </row>
    <row r="61">
      <c r="A61" t="inlineStr">
        <is>
          <t>All grant-funded program spending</t>
        </is>
      </c>
      <c r="B61" s="13" t="n">
        <v>73700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19500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36300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>
      <c r="A70" s="5" t="inlineStr">
        <is>
          <t>Volunteer coordinator: full cost, August</t>
        </is>
      </c>
    </row>
    <row r="71">
      <c r="A71" s="12" t="inlineStr">
        <is>
          <t>Grant spending + its share of untied program costs and administration (shared by grant spending)</t>
        </is>
      </c>
    </row>
    <row r="72">
      <c r="A72" s="7" t="inlineStr"/>
      <c r="B72" s="8" t="inlineStr">
        <is>
          <t>Aug 2026</t>
        </is>
      </c>
    </row>
    <row r="73">
      <c r="A73" t="inlineStr">
        <is>
          <t>Grant spending on the program</t>
        </is>
      </c>
      <c r="B73" s="13" t="n">
        <v>3000</v>
      </c>
    </row>
    <row r="74">
      <c r="A74" t="inlineStr">
        <is>
          <t>All grant-funded program spending</t>
        </is>
      </c>
      <c r="B74" s="13" t="n">
        <v>73700</v>
      </c>
    </row>
    <row r="75">
      <c r="A75" t="inlineStr">
        <is>
          <t>Share of program spending</t>
        </is>
      </c>
      <c r="B75" s="14">
        <f>B73/B74</f>
        <v/>
      </c>
    </row>
    <row r="76">
      <c r="A76" t="inlineStr">
        <is>
          <t>Untied program costs (all programs)</t>
        </is>
      </c>
      <c r="B76" s="13" t="n">
        <v>19500</v>
      </c>
    </row>
    <row r="77">
      <c r="A77" t="inlineStr">
        <is>
          <t>Share of untied program costs</t>
        </is>
      </c>
      <c r="B77" s="13">
        <f>B75*B76</f>
        <v/>
      </c>
    </row>
    <row r="78">
      <c r="A78" t="inlineStr">
        <is>
          <t>Administration (all)</t>
        </is>
      </c>
      <c r="B78" s="13" t="n">
        <v>36300</v>
      </c>
    </row>
    <row r="79">
      <c r="A79" t="inlineStr">
        <is>
          <t>Share of administration</t>
        </is>
      </c>
      <c r="B79" s="13">
        <f>B75*B78</f>
        <v/>
      </c>
    </row>
    <row r="80">
      <c r="A80" s="15" t="inlineStr">
        <is>
          <t>Full cost of the program</t>
        </is>
      </c>
      <c r="B80" s="16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t="inlineStr">
        <is>
          <t>All grant-funded program spending, August 2026</t>
        </is>
      </c>
      <c r="B5" s="9" t="n">
        <v>73700</v>
      </c>
    </row>
    <row r="6">
      <c r="A6" t="inlineStr">
        <is>
          <t>Untied program costs, August 2026 (all programs)</t>
        </is>
      </c>
      <c r="B6" s="9" t="n">
        <v>19500</v>
      </c>
    </row>
    <row r="7">
      <c r="A7" t="inlineStr">
        <is>
          <t>Administration, August 2026 (all)</t>
        </is>
      </c>
      <c r="B7" s="9" t="n">
        <v>36300</v>
      </c>
    </row>
    <row r="8"/>
    <row r="9">
      <c r="A9" s="7" t="inlineStr">
        <is>
          <t>Program</t>
        </is>
      </c>
      <c r="B9" s="8" t="inlineStr">
        <is>
          <t>Grant spending, Aug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30500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21500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9400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5200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</t>
        </is>
      </c>
      <c r="B14" s="13" t="n">
        <v>4100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3000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