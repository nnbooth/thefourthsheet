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August">'Report'!$B$9</definedName>
    <definedName name="Median_wait_August">'Report'!$B$10</definedName>
    <definedName name="Enquiries_August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8" headerRowCount="1">
  <autoFilter ref="A5:G28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 ht="32" customHeight="1">
      <c r="A5" s="3" t="inlineStr">
        <is>
          <t>In short: 57.1% called back within 2 working hours in August (target 80.0%); median wait 113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August</t>
        </is>
      </c>
      <c r="B9" s="7">
        <f>Workings!B10</f>
        <v/>
      </c>
      <c r="C9" s="8" t="inlineStr">
        <is>
          <t>target 80.0% · July 57.4%</t>
        </is>
      </c>
    </row>
    <row r="10">
      <c r="A10" t="inlineStr">
        <is>
          <t>Median wait, August</t>
        </is>
      </c>
      <c r="B10" s="9">
        <f>Workings!B16</f>
        <v/>
      </c>
      <c r="C10" s="8" t="inlineStr">
        <is>
          <t>July 92 min (working minutes)</t>
        </is>
      </c>
    </row>
    <row r="11">
      <c r="A11" t="inlineStr">
        <is>
          <t>Enquiries, August</t>
        </is>
      </c>
      <c r="B11" s="9">
        <f>Workings!B25</f>
        <v/>
      </c>
      <c r="C11" s="8" t="inlineStr">
        <is>
          <t>July 122</t>
        </is>
      </c>
    </row>
    <row r="12"/>
    <row r="13">
      <c r="A13" s="10" t="inlineStr">
        <is>
          <t>Called back within 2 working hours, by channel, August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57.1% of the 112 enquiries called back in August heard back within 2 working hours (target 80.0%), down from 57.4% in July. The median wait was 113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26 more enquiries would have needed a faster callback to reach the 80.0% target. Web form enquiries are the slowest: 51.9%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13" t="inlineStr">
        <is>
          <t>Callbacks within 2 working hours, August and July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Aug 26</t>
        </is>
      </c>
      <c r="C7" s="6" t="inlineStr">
        <is>
          <t>Jul 26</t>
        </is>
      </c>
    </row>
    <row r="8">
      <c r="A8" t="inlineStr">
        <is>
          <t>Called back</t>
        </is>
      </c>
      <c r="B8" s="14" t="n">
        <v>112</v>
      </c>
      <c r="C8" s="14" t="n">
        <v>122</v>
      </c>
    </row>
    <row r="9">
      <c r="A9" t="inlineStr">
        <is>
          <t>Within 2 working hours</t>
        </is>
      </c>
      <c r="B9" s="14" t="n">
        <v>64</v>
      </c>
      <c r="C9" s="14" t="n">
        <v>70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August and July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Aug 26</t>
        </is>
      </c>
      <c r="C15" s="6" t="inlineStr">
        <is>
          <t>Jul 26</t>
        </is>
      </c>
    </row>
    <row r="16">
      <c r="A16" t="inlineStr">
        <is>
          <t>Median wait (working minutes)</t>
        </is>
      </c>
      <c r="B16" s="14" t="n">
        <v>113</v>
      </c>
      <c r="C16" s="14" t="n">
        <v>92</v>
      </c>
    </row>
    <row r="17">
      <c r="A17" s="15" t="inlineStr">
        <is>
          <t>Enquiries called back</t>
        </is>
      </c>
      <c r="B17" s="17" t="n">
        <v>112</v>
      </c>
      <c r="C17" s="17" t="n">
        <v>122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Aug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Aug 26</t>
        </is>
      </c>
    </row>
    <row r="24">
      <c r="A24" t="inlineStr">
        <is>
          <t>Enquiries</t>
        </is>
      </c>
      <c r="B24" s="14" t="n">
        <v>112</v>
      </c>
    </row>
    <row r="25">
      <c r="A25" t="inlineStr">
        <is>
          <t>Called back</t>
        </is>
      </c>
      <c r="B25" s="14" t="n">
        <v>112</v>
      </c>
    </row>
    <row r="26">
      <c r="A26" t="inlineStr">
        <is>
          <t>Called back within 2 working hours</t>
        </is>
      </c>
      <c r="B26" s="14" t="n">
        <v>64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113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August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Aug 2026</t>
        </is>
      </c>
    </row>
    <row r="35">
      <c r="A35" t="inlineStr">
        <is>
          <t>Called back</t>
        </is>
      </c>
      <c r="B35" s="14" t="n">
        <v>59</v>
      </c>
    </row>
    <row r="36">
      <c r="A36" t="inlineStr">
        <is>
          <t>Within 2 working hours</t>
        </is>
      </c>
      <c r="B36" s="14" t="n">
        <v>33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August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Aug 2026</t>
        </is>
      </c>
    </row>
    <row r="43">
      <c r="A43" t="inlineStr">
        <is>
          <t>Called back</t>
        </is>
      </c>
      <c r="B43" s="14" t="n">
        <v>27</v>
      </c>
    </row>
    <row r="44">
      <c r="A44" t="inlineStr">
        <is>
          <t>Within 2 working hours</t>
        </is>
      </c>
      <c r="B44" s="14" t="n">
        <v>14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August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Aug 2026</t>
        </is>
      </c>
    </row>
    <row r="51">
      <c r="A51" t="inlineStr">
        <is>
          <t>Called back</t>
        </is>
      </c>
      <c r="B51" s="14" t="n">
        <v>26</v>
      </c>
    </row>
    <row r="52">
      <c r="A52" t="inlineStr">
        <is>
          <t>Within 2 working hours</t>
        </is>
      </c>
      <c r="B52" s="14" t="n">
        <v>17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August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August 2026 · Data status: Aug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95</v>
      </c>
      <c r="D24" s="14" t="n">
        <v>95</v>
      </c>
      <c r="E24" s="14" t="n">
        <v>56</v>
      </c>
      <c r="F24" s="18">
        <f>IF(D24=0,"",E24/D24)</f>
        <v/>
      </c>
      <c r="G24" s="14" t="n">
        <v>90</v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110</v>
      </c>
      <c r="D25" s="14" t="n">
        <v>110</v>
      </c>
      <c r="E25" s="14" t="n">
        <v>64</v>
      </c>
      <c r="F25" s="18">
        <f>IF(D25=0,"",E25/D25)</f>
        <v/>
      </c>
      <c r="G25" s="14" t="n">
        <v>91</v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114</v>
      </c>
      <c r="D26" s="14" t="n">
        <v>114</v>
      </c>
      <c r="E26" s="14" t="n">
        <v>64</v>
      </c>
      <c r="F26" s="18">
        <f>IF(D26=0,"",E26/D26)</f>
        <v/>
      </c>
      <c r="G26" s="14" t="n">
        <v>99</v>
      </c>
    </row>
    <row r="27">
      <c r="A27" s="19" t="inlineStr">
        <is>
          <t>Jul 26</t>
        </is>
      </c>
      <c r="B27" s="19" t="inlineStr">
        <is>
          <t>Locked</t>
        </is>
      </c>
      <c r="C27" s="14" t="n">
        <v>122</v>
      </c>
      <c r="D27" s="14" t="n">
        <v>122</v>
      </c>
      <c r="E27" s="14" t="n">
        <v>70</v>
      </c>
      <c r="F27" s="18">
        <f>IF(D27=0,"",E27/D27)</f>
        <v/>
      </c>
      <c r="G27" s="14" t="n">
        <v>92</v>
      </c>
    </row>
    <row r="28">
      <c r="A28" s="19" t="inlineStr">
        <is>
          <t>Aug 26</t>
        </is>
      </c>
      <c r="B28" s="19" t="inlineStr">
        <is>
          <t>Locked</t>
        </is>
      </c>
      <c r="C28" s="14" t="n">
        <v>112</v>
      </c>
      <c r="D28" s="14" t="n">
        <v>112</v>
      </c>
      <c r="E28" s="14" t="n">
        <v>64</v>
      </c>
      <c r="F28" s="18">
        <f>IF(D28=0,"",E28/D28)</f>
        <v/>
      </c>
      <c r="G28" s="14" t="n">
        <v>113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