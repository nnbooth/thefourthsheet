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August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'Data'!$B$6:$B$28</f>
            </numRef>
          </cat>
          <val>
            <numRef>
              <f>'Data'!$D$6:$D$28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'Data'!$B$6:$B$28</f>
            </numRef>
          </cat>
          <val>
            <numRef>
              <f>'Data'!$D$29:$D$51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'Data'!$B$6:$B$28</f>
            </numRef>
          </cat>
          <val>
            <numRef>
              <f>'Data'!$D$52:$D$74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74" headerRowCount="1">
  <autoFilter ref="A5:G74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Grants cost 10¢ to raise each dollar in August; donations 12¢.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August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12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August it cost: Grants 10¢, donations 12¢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August: grants (10¢ a dollar). Dearest: donations (12¢).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$146,318 raised this financial year to date (81.7% of everything raised), $14,200 to raise it, so $132,118 left for programs: 10¢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$32,700 raised this financial year to date (18.3% of everything raised), $4,400 to raise it, so $28,300 left for programs: 13¢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$0 raised this financial year to date (0.0% of everything raised), $2,400 to raise it, so ($2,400) left for programs: –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August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August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Aug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Aug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$146,318</t>
        </is>
      </c>
      <c r="C60" s="15" t="inlineStr">
        <is>
          <t>$14,200</t>
        </is>
      </c>
      <c r="D60" s="15" t="inlineStr">
        <is>
          <t>$132,118</t>
        </is>
      </c>
      <c r="E60" s="15" t="inlineStr">
        <is>
          <t>10¢</t>
        </is>
      </c>
    </row>
    <row r="61">
      <c r="A61" s="14" t="inlineStr">
        <is>
          <t>Donations</t>
        </is>
      </c>
      <c r="B61" s="15" t="inlineStr">
        <is>
          <t>$32,700</t>
        </is>
      </c>
      <c r="C61" s="15" t="inlineStr">
        <is>
          <t>$4,400</t>
        </is>
      </c>
      <c r="D61" s="15" t="inlineStr">
        <is>
          <t>$28,300</t>
        </is>
      </c>
      <c r="E61" s="15" t="inlineStr">
        <is>
          <t>13¢</t>
        </is>
      </c>
    </row>
    <row r="62">
      <c r="A62" s="14" t="inlineStr">
        <is>
          <t>Fundraising events</t>
        </is>
      </c>
      <c r="B62" s="15" t="inlineStr">
        <is>
          <t>$0</t>
        </is>
      </c>
      <c r="C62" s="15" t="inlineStr">
        <is>
          <t>$2,400</t>
        </is>
      </c>
      <c r="D62" s="15" t="inlineStr">
        <is>
          <t>($2,400)</t>
        </is>
      </c>
      <c r="E62" s="15" t="inlineStr">
        <is>
          <t>–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Cost to raise a dollar, by source, August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Aug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73700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18400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August. </t>
        </is>
      </c>
    </row>
    <row r="15"/>
    <row r="16"/>
    <row r="17">
      <c r="A17" s="5" t="inlineStr">
        <is>
          <t>Cost to raise a dollar, by source, August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Aug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73700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18400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August. </t>
        </is>
      </c>
    </row>
    <row r="27"/>
    <row r="28"/>
    <row r="29">
      <c r="A29" s="5" t="inlineStr">
        <is>
          <t>Cost to raise a dollar, by source, August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Aug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73700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18400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August. </t>
        </is>
      </c>
    </row>
    <row r="39"/>
    <row r="40"/>
    <row r="41">
      <c r="A41" s="5" t="inlineStr">
        <is>
          <t>Raised, financial year to date (Jul to Aug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146318</v>
      </c>
    </row>
    <row r="45">
      <c r="A45" t="inlineStr">
        <is>
          <t>Donations, raised</t>
        </is>
      </c>
      <c r="B45" s="16" t="n">
        <v>32700</v>
      </c>
    </row>
    <row r="46">
      <c r="A46" t="inlineStr">
        <is>
          <t>Fundraising events, raised</t>
        </is>
      </c>
      <c r="B46" s="16" t="n">
        <v>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Apr 26</t>
        </is>
      </c>
      <c r="C24" s="21" t="inlineStr">
        <is>
          <t>Locked</t>
        </is>
      </c>
      <c r="D24" s="16" t="n">
        <v>66729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Grants</t>
        </is>
      </c>
      <c r="B25" s="21" t="inlineStr">
        <is>
          <t>May 26</t>
        </is>
      </c>
      <c r="C25" s="21" t="inlineStr">
        <is>
          <t>Locked</t>
        </is>
      </c>
      <c r="D25" s="16" t="n">
        <v>72245</v>
      </c>
      <c r="E25" s="16" t="n">
        <v>7100</v>
      </c>
      <c r="F25" s="16">
        <f>D25-E25</f>
        <v/>
      </c>
      <c r="G25" s="17">
        <f>IF(D25=0,"",E25/D25*100)</f>
        <v/>
      </c>
    </row>
    <row r="26">
      <c r="A26" s="21" t="inlineStr">
        <is>
          <t>Grants</t>
        </is>
      </c>
      <c r="B26" s="21" t="inlineStr">
        <is>
          <t>Jun 26</t>
        </is>
      </c>
      <c r="C26" s="21" t="inlineStr">
        <is>
          <t>Locked</t>
        </is>
      </c>
      <c r="D26" s="16" t="n">
        <v>70872</v>
      </c>
      <c r="E26" s="16" t="n">
        <v>7100</v>
      </c>
      <c r="F26" s="16">
        <f>D26-E26</f>
        <v/>
      </c>
      <c r="G26" s="17">
        <f>IF(D26=0,"",E26/D26*100)</f>
        <v/>
      </c>
    </row>
    <row r="27">
      <c r="A27" s="21" t="inlineStr">
        <is>
          <t>Grants</t>
        </is>
      </c>
      <c r="B27" s="21" t="inlineStr">
        <is>
          <t>Jul 26</t>
        </is>
      </c>
      <c r="C27" s="21" t="inlineStr">
        <is>
          <t>Locked</t>
        </is>
      </c>
      <c r="D27" s="16" t="n">
        <v>72618</v>
      </c>
      <c r="E27" s="16" t="n">
        <v>7100</v>
      </c>
      <c r="F27" s="16">
        <f>D27-E27</f>
        <v/>
      </c>
      <c r="G27" s="17">
        <f>IF(D27=0,"",E27/D27*100)</f>
        <v/>
      </c>
    </row>
    <row r="28">
      <c r="A28" s="21" t="inlineStr">
        <is>
          <t>Grants</t>
        </is>
      </c>
      <c r="B28" s="21" t="inlineStr">
        <is>
          <t>Aug 26</t>
        </is>
      </c>
      <c r="C28" s="21" t="inlineStr">
        <is>
          <t>Locked</t>
        </is>
      </c>
      <c r="D28" s="16" t="n">
        <v>73700</v>
      </c>
      <c r="E28" s="16" t="n">
        <v>7100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Oct 24</t>
        </is>
      </c>
      <c r="C29" s="21" t="inlineStr">
        <is>
          <t>Locked</t>
        </is>
      </c>
      <c r="D29" s="16" t="n">
        <v>15300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Nov 24</t>
        </is>
      </c>
      <c r="C30" s="21" t="inlineStr">
        <is>
          <t>Locked</t>
        </is>
      </c>
      <c r="D30" s="16" t="n">
        <v>17700</v>
      </c>
      <c r="E30" s="16" t="n">
        <v>3100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Dec 24</t>
        </is>
      </c>
      <c r="C31" s="21" t="inlineStr">
        <is>
          <t>Locked</t>
        </is>
      </c>
      <c r="D31" s="16" t="n">
        <v>24700</v>
      </c>
      <c r="E31" s="16" t="n">
        <v>4400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Jan 25</t>
        </is>
      </c>
      <c r="C32" s="21" t="inlineStr">
        <is>
          <t>Locked</t>
        </is>
      </c>
      <c r="D32" s="16" t="n">
        <v>12400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Feb 25</t>
        </is>
      </c>
      <c r="C33" s="21" t="inlineStr">
        <is>
          <t>Locked</t>
        </is>
      </c>
      <c r="D33" s="16" t="n">
        <v>15600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Mar 25</t>
        </is>
      </c>
      <c r="C34" s="21" t="inlineStr">
        <is>
          <t>Locked</t>
        </is>
      </c>
      <c r="D34" s="16" t="n">
        <v>15700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Apr 25</t>
        </is>
      </c>
      <c r="C35" s="21" t="inlineStr">
        <is>
          <t>Locked</t>
        </is>
      </c>
      <c r="D35" s="16" t="n">
        <v>15700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May 25</t>
        </is>
      </c>
      <c r="C36" s="21" t="inlineStr">
        <is>
          <t>Locked</t>
        </is>
      </c>
      <c r="D36" s="16" t="n">
        <v>15800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Jun 25</t>
        </is>
      </c>
      <c r="C37" s="21" t="inlineStr">
        <is>
          <t>Locked</t>
        </is>
      </c>
      <c r="D37" s="16" t="n">
        <v>38100</v>
      </c>
      <c r="E37" s="16" t="n">
        <v>5500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Jul 25</t>
        </is>
      </c>
      <c r="C38" s="21" t="inlineStr">
        <is>
          <t>Locked</t>
        </is>
      </c>
      <c r="D38" s="16" t="n">
        <v>13500</v>
      </c>
      <c r="E38" s="16" t="n">
        <v>2200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Aug 25</t>
        </is>
      </c>
      <c r="C39" s="21" t="inlineStr">
        <is>
          <t>Locked</t>
        </is>
      </c>
      <c r="D39" s="16" t="n">
        <v>16000</v>
      </c>
      <c r="E39" s="16" t="n">
        <v>2200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Sep 25</t>
        </is>
      </c>
      <c r="C40" s="21" t="inlineStr">
        <is>
          <t>Locked</t>
        </is>
      </c>
      <c r="D40" s="16" t="n">
        <v>16100</v>
      </c>
      <c r="E40" s="16" t="n">
        <v>2200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Oct 25</t>
        </is>
      </c>
      <c r="C41" s="21" t="inlineStr">
        <is>
          <t>Locked</t>
        </is>
      </c>
      <c r="D41" s="16" t="n">
        <v>16200</v>
      </c>
      <c r="E41" s="16" t="n">
        <v>2200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Nov 25</t>
        </is>
      </c>
      <c r="C42" s="21" t="inlineStr">
        <is>
          <t>Locked</t>
        </is>
      </c>
      <c r="D42" s="16" t="n">
        <v>18700</v>
      </c>
      <c r="E42" s="16" t="n">
        <v>3100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Dec 25</t>
        </is>
      </c>
      <c r="C43" s="21" t="inlineStr">
        <is>
          <t>Locked</t>
        </is>
      </c>
      <c r="D43" s="16" t="n">
        <v>26100</v>
      </c>
      <c r="E43" s="16" t="n">
        <v>4400</v>
      </c>
      <c r="F43" s="16">
        <f>D43-E43</f>
        <v/>
      </c>
      <c r="G43" s="17">
        <f>IF(D43=0,"",E43/D43*100)</f>
        <v/>
      </c>
    </row>
    <row r="44">
      <c r="A44" s="21" t="inlineStr">
        <is>
          <t>Donations</t>
        </is>
      </c>
      <c r="B44" s="21" t="inlineStr">
        <is>
          <t>Jan 26</t>
        </is>
      </c>
      <c r="C44" s="21" t="inlineStr">
        <is>
          <t>Locked</t>
        </is>
      </c>
      <c r="D44" s="16" t="n">
        <v>13100</v>
      </c>
      <c r="E44" s="16" t="n">
        <v>2200</v>
      </c>
      <c r="F44" s="16">
        <f>D44-E44</f>
        <v/>
      </c>
      <c r="G44" s="17">
        <f>IF(D44=0,"",E44/D44*100)</f>
        <v/>
      </c>
    </row>
    <row r="45">
      <c r="A45" s="21" t="inlineStr">
        <is>
          <t>Donations</t>
        </is>
      </c>
      <c r="B45" s="21" t="inlineStr">
        <is>
          <t>Feb 26</t>
        </is>
      </c>
      <c r="C45" s="21" t="inlineStr">
        <is>
          <t>Locked</t>
        </is>
      </c>
      <c r="D45" s="16" t="n">
        <v>16400</v>
      </c>
      <c r="E45" s="16" t="n">
        <v>2200</v>
      </c>
      <c r="F45" s="16">
        <f>D45-E45</f>
        <v/>
      </c>
      <c r="G45" s="17">
        <f>IF(D45=0,"",E45/D45*100)</f>
        <v/>
      </c>
    </row>
    <row r="46">
      <c r="A46" s="21" t="inlineStr">
        <is>
          <t>Donations</t>
        </is>
      </c>
      <c r="B46" s="21" t="inlineStr">
        <is>
          <t>Mar 26</t>
        </is>
      </c>
      <c r="C46" s="21" t="inlineStr">
        <is>
          <t>Locked</t>
        </is>
      </c>
      <c r="D46" s="16" t="n">
        <v>16500</v>
      </c>
      <c r="E46" s="16" t="n">
        <v>2200</v>
      </c>
      <c r="F46" s="16">
        <f>D46-E46</f>
        <v/>
      </c>
      <c r="G46" s="17">
        <f>IF(D46=0,"",E46/D46*100)</f>
        <v/>
      </c>
    </row>
    <row r="47">
      <c r="A47" s="21" t="inlineStr">
        <is>
          <t>Donations</t>
        </is>
      </c>
      <c r="B47" s="21" t="inlineStr">
        <is>
          <t>Apr 26</t>
        </is>
      </c>
      <c r="C47" s="21" t="inlineStr">
        <is>
          <t>Locked</t>
        </is>
      </c>
      <c r="D47" s="16" t="n">
        <v>16600</v>
      </c>
      <c r="E47" s="16" t="n">
        <v>2200</v>
      </c>
      <c r="F47" s="16">
        <f>D47-E47</f>
        <v/>
      </c>
      <c r="G47" s="17">
        <f>IF(D47=0,"",E47/D47*100)</f>
        <v/>
      </c>
    </row>
    <row r="48">
      <c r="A48" s="21" t="inlineStr">
        <is>
          <t>Donations</t>
        </is>
      </c>
      <c r="B48" s="21" t="inlineStr">
        <is>
          <t>May 26</t>
        </is>
      </c>
      <c r="C48" s="21" t="inlineStr">
        <is>
          <t>Locked</t>
        </is>
      </c>
      <c r="D48" s="16" t="n">
        <v>16600</v>
      </c>
      <c r="E48" s="16" t="n">
        <v>2200</v>
      </c>
      <c r="F48" s="16">
        <f>D48-E48</f>
        <v/>
      </c>
      <c r="G48" s="17">
        <f>IF(D48=0,"",E48/D48*100)</f>
        <v/>
      </c>
    </row>
    <row r="49">
      <c r="A49" s="21" t="inlineStr">
        <is>
          <t>Donations</t>
        </is>
      </c>
      <c r="B49" s="21" t="inlineStr">
        <is>
          <t>Jun 26</t>
        </is>
      </c>
      <c r="C49" s="21" t="inlineStr">
        <is>
          <t>Locked</t>
        </is>
      </c>
      <c r="D49" s="16" t="n">
        <v>40100</v>
      </c>
      <c r="E49" s="16" t="n">
        <v>5500</v>
      </c>
      <c r="F49" s="16">
        <f>D49-E49</f>
        <v/>
      </c>
      <c r="G49" s="17">
        <f>IF(D49=0,"",E49/D49*100)</f>
        <v/>
      </c>
    </row>
    <row r="50">
      <c r="A50" s="21" t="inlineStr">
        <is>
          <t>Donations</t>
        </is>
      </c>
      <c r="B50" s="21" t="inlineStr">
        <is>
          <t>Jul 26</t>
        </is>
      </c>
      <c r="C50" s="21" t="inlineStr">
        <is>
          <t>Locked</t>
        </is>
      </c>
      <c r="D50" s="16" t="n">
        <v>14300</v>
      </c>
      <c r="E50" s="16" t="n">
        <v>2200</v>
      </c>
      <c r="F50" s="16">
        <f>D50-E50</f>
        <v/>
      </c>
      <c r="G50" s="17">
        <f>IF(D50=0,"",E50/D50*100)</f>
        <v/>
      </c>
    </row>
    <row r="51">
      <c r="A51" s="21" t="inlineStr">
        <is>
          <t>Donations</t>
        </is>
      </c>
      <c r="B51" s="21" t="inlineStr">
        <is>
          <t>Aug 26</t>
        </is>
      </c>
      <c r="C51" s="21" t="inlineStr">
        <is>
          <t>Locked</t>
        </is>
      </c>
      <c r="D51" s="16" t="n">
        <v>18400</v>
      </c>
      <c r="E51" s="16" t="n">
        <v>2200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Oct 24</t>
        </is>
      </c>
      <c r="C52" s="21" t="inlineStr">
        <is>
          <t>Locked</t>
        </is>
      </c>
      <c r="D52" s="16" t="n">
        <v>0</v>
      </c>
      <c r="E52" s="16" t="n">
        <v>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Nov 24</t>
        </is>
      </c>
      <c r="C53" s="21" t="inlineStr">
        <is>
          <t>Locked</t>
        </is>
      </c>
      <c r="D53" s="16" t="n">
        <v>0</v>
      </c>
      <c r="E53" s="16" t="n">
        <v>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Dec 24</t>
        </is>
      </c>
      <c r="C54" s="21" t="inlineStr">
        <is>
          <t>Locked</t>
        </is>
      </c>
      <c r="D54" s="16" t="n">
        <v>6200</v>
      </c>
      <c r="E54" s="16" t="n">
        <v>2600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Jan 25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Feb 25</t>
        </is>
      </c>
      <c r="C56" s="21" t="inlineStr">
        <is>
          <t>Locked</t>
        </is>
      </c>
      <c r="D56" s="16" t="n">
        <v>0</v>
      </c>
      <c r="E56" s="16" t="n">
        <v>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Mar 25</t>
        </is>
      </c>
      <c r="C57" s="21" t="inlineStr">
        <is>
          <t>Locked</t>
        </is>
      </c>
      <c r="D57" s="16" t="n">
        <v>0</v>
      </c>
      <c r="E57" s="16" t="n">
        <v>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Apr 25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May 25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Jun 25</t>
        </is>
      </c>
      <c r="C60" s="21" t="inlineStr">
        <is>
          <t>Locked</t>
        </is>
      </c>
      <c r="D60" s="16" t="n">
        <v>0</v>
      </c>
      <c r="E60" s="16" t="n">
        <v>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Jul 25</t>
        </is>
      </c>
      <c r="C61" s="21" t="inlineStr">
        <is>
          <t>Locked</t>
        </is>
      </c>
      <c r="D61" s="16" t="n">
        <v>0</v>
      </c>
      <c r="E61" s="16" t="n">
        <v>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Aug 25</t>
        </is>
      </c>
      <c r="C62" s="21" t="inlineStr">
        <is>
          <t>Locked</t>
        </is>
      </c>
      <c r="D62" s="16" t="n">
        <v>0</v>
      </c>
      <c r="E62" s="16" t="n">
        <v>0</v>
      </c>
      <c r="F62" s="16">
        <f>D62-E62</f>
        <v/>
      </c>
      <c r="G62" s="17">
        <f>IF(D62=0,"",E62/D62*100)</f>
        <v/>
      </c>
    </row>
    <row r="63">
      <c r="A63" s="21" t="inlineStr">
        <is>
          <t>Fundraising events</t>
        </is>
      </c>
      <c r="B63" s="21" t="inlineStr">
        <is>
          <t>Sep 25</t>
        </is>
      </c>
      <c r="C63" s="21" t="inlineStr">
        <is>
          <t>Locked</t>
        </is>
      </c>
      <c r="D63" s="16" t="n">
        <v>36800</v>
      </c>
      <c r="E63" s="16" t="n">
        <v>15200</v>
      </c>
      <c r="F63" s="16">
        <f>D63-E63</f>
        <v/>
      </c>
      <c r="G63" s="17">
        <f>IF(D63=0,"",E63/D63*100)</f>
        <v/>
      </c>
    </row>
    <row r="64">
      <c r="A64" s="21" t="inlineStr">
        <is>
          <t>Fundraising events</t>
        </is>
      </c>
      <c r="B64" s="21" t="inlineStr">
        <is>
          <t>Oct 25</t>
        </is>
      </c>
      <c r="C64" s="21" t="inlineStr">
        <is>
          <t>Locked</t>
        </is>
      </c>
      <c r="D64" s="16" t="n">
        <v>0</v>
      </c>
      <c r="E64" s="16" t="n">
        <v>0</v>
      </c>
      <c r="F64" s="16">
        <f>D64-E64</f>
        <v/>
      </c>
      <c r="G64" s="17">
        <f>IF(D64=0,"",E64/D64*100)</f>
        <v/>
      </c>
    </row>
    <row r="65">
      <c r="A65" s="21" t="inlineStr">
        <is>
          <t>Fundraising events</t>
        </is>
      </c>
      <c r="B65" s="21" t="inlineStr">
        <is>
          <t>Nov 25</t>
        </is>
      </c>
      <c r="C65" s="21" t="inlineStr">
        <is>
          <t>Locked</t>
        </is>
      </c>
      <c r="D65" s="16" t="n">
        <v>0</v>
      </c>
      <c r="E65" s="16" t="n">
        <v>0</v>
      </c>
      <c r="F65" s="16">
        <f>D65-E65</f>
        <v/>
      </c>
      <c r="G65" s="17">
        <f>IF(D65=0,"",E65/D65*100)</f>
        <v/>
      </c>
    </row>
    <row r="66">
      <c r="A66" s="21" t="inlineStr">
        <is>
          <t>Fundraising events</t>
        </is>
      </c>
      <c r="B66" s="21" t="inlineStr">
        <is>
          <t>Dec 25</t>
        </is>
      </c>
      <c r="C66" s="21" t="inlineStr">
        <is>
          <t>Locked</t>
        </is>
      </c>
      <c r="D66" s="16" t="n">
        <v>6200</v>
      </c>
      <c r="E66" s="16" t="n">
        <v>2600</v>
      </c>
      <c r="F66" s="16">
        <f>D66-E66</f>
        <v/>
      </c>
      <c r="G66" s="17">
        <f>IF(D66=0,"",E66/D66*100)</f>
        <v/>
      </c>
    </row>
    <row r="67">
      <c r="A67" s="21" t="inlineStr">
        <is>
          <t>Fundraising events</t>
        </is>
      </c>
      <c r="B67" s="21" t="inlineStr">
        <is>
          <t>Jan 26</t>
        </is>
      </c>
      <c r="C67" s="21" t="inlineStr">
        <is>
          <t>Locked</t>
        </is>
      </c>
      <c r="D67" s="16" t="n">
        <v>0</v>
      </c>
      <c r="E67" s="16" t="n">
        <v>0</v>
      </c>
      <c r="F67" s="16">
        <f>D67-E67</f>
        <v/>
      </c>
      <c r="G67" s="17">
        <f>IF(D67=0,"",E67/D67*100)</f>
        <v/>
      </c>
    </row>
    <row r="68">
      <c r="A68" s="21" t="inlineStr">
        <is>
          <t>Fundraising events</t>
        </is>
      </c>
      <c r="B68" s="21" t="inlineStr">
        <is>
          <t>Feb 26</t>
        </is>
      </c>
      <c r="C68" s="21" t="inlineStr">
        <is>
          <t>Locked</t>
        </is>
      </c>
      <c r="D68" s="16" t="n">
        <v>0</v>
      </c>
      <c r="E68" s="16" t="n">
        <v>0</v>
      </c>
      <c r="F68" s="16">
        <f>D68-E68</f>
        <v/>
      </c>
      <c r="G68" s="17">
        <f>IF(D68=0,"",E68/D68*100)</f>
        <v/>
      </c>
    </row>
    <row r="69">
      <c r="A69" s="21" t="inlineStr">
        <is>
          <t>Fundraising events</t>
        </is>
      </c>
      <c r="B69" s="21" t="inlineStr">
        <is>
          <t>Mar 26</t>
        </is>
      </c>
      <c r="C69" s="21" t="inlineStr">
        <is>
          <t>Locked</t>
        </is>
      </c>
      <c r="D69" s="16" t="n">
        <v>0</v>
      </c>
      <c r="E69" s="16" t="n">
        <v>0</v>
      </c>
      <c r="F69" s="16">
        <f>D69-E69</f>
        <v/>
      </c>
      <c r="G69" s="17">
        <f>IF(D69=0,"",E69/D69*100)</f>
        <v/>
      </c>
    </row>
    <row r="70">
      <c r="A70" s="21" t="inlineStr">
        <is>
          <t>Fundraising events</t>
        </is>
      </c>
      <c r="B70" s="21" t="inlineStr">
        <is>
          <t>Apr 26</t>
        </is>
      </c>
      <c r="C70" s="21" t="inlineStr">
        <is>
          <t>Locked</t>
        </is>
      </c>
      <c r="D70" s="16" t="n">
        <v>0</v>
      </c>
      <c r="E70" s="16" t="n">
        <v>0</v>
      </c>
      <c r="F70" s="16">
        <f>D70-E70</f>
        <v/>
      </c>
      <c r="G70" s="17">
        <f>IF(D70=0,"",E70/D70*100)</f>
        <v/>
      </c>
    </row>
    <row r="71">
      <c r="A71" s="21" t="inlineStr">
        <is>
          <t>Fundraising events</t>
        </is>
      </c>
      <c r="B71" s="21" t="inlineStr">
        <is>
          <t>May 26</t>
        </is>
      </c>
      <c r="C71" s="21" t="inlineStr">
        <is>
          <t>Locked</t>
        </is>
      </c>
      <c r="D71" s="16" t="n">
        <v>0</v>
      </c>
      <c r="E71" s="16" t="n">
        <v>0</v>
      </c>
      <c r="F71" s="16">
        <f>D71-E71</f>
        <v/>
      </c>
      <c r="G71" s="17">
        <f>IF(D71=0,"",E71/D71*100)</f>
        <v/>
      </c>
    </row>
    <row r="72">
      <c r="A72" s="21" t="inlineStr">
        <is>
          <t>Fundraising events</t>
        </is>
      </c>
      <c r="B72" s="21" t="inlineStr">
        <is>
          <t>Jun 26</t>
        </is>
      </c>
      <c r="C72" s="21" t="inlineStr">
        <is>
          <t>Locked</t>
        </is>
      </c>
      <c r="D72" s="16" t="n">
        <v>0</v>
      </c>
      <c r="E72" s="16" t="n">
        <v>0</v>
      </c>
      <c r="F72" s="16">
        <f>D72-E72</f>
        <v/>
      </c>
      <c r="G72" s="17">
        <f>IF(D72=0,"",E72/D72*100)</f>
        <v/>
      </c>
    </row>
    <row r="73">
      <c r="A73" s="21" t="inlineStr">
        <is>
          <t>Fundraising events</t>
        </is>
      </c>
      <c r="B73" s="21" t="inlineStr">
        <is>
          <t>Jul 26</t>
        </is>
      </c>
      <c r="C73" s="21" t="inlineStr">
        <is>
          <t>Locked</t>
        </is>
      </c>
      <c r="D73" s="16" t="n">
        <v>0</v>
      </c>
      <c r="E73" s="16" t="n">
        <v>0</v>
      </c>
      <c r="F73" s="16">
        <f>D73-E73</f>
        <v/>
      </c>
      <c r="G73" s="17">
        <f>IF(D73=0,"",E73/D73*100)</f>
        <v/>
      </c>
    </row>
    <row r="74">
      <c r="A74" s="21" t="inlineStr">
        <is>
          <t>Fundraising events</t>
        </is>
      </c>
      <c r="B74" s="21" t="inlineStr">
        <is>
          <t>Aug 26</t>
        </is>
      </c>
      <c r="C74" s="21" t="inlineStr">
        <is>
          <t>Locked</t>
        </is>
      </c>
      <c r="D74" s="16" t="n">
        <v>0</v>
      </c>
      <c r="E74" s="16" t="n">
        <v>2400</v>
      </c>
      <c r="F74" s="16">
        <f>D74-E74</f>
        <v/>
      </c>
      <c r="G74" s="17">
        <f>IF(D74=0,"",E74/D74*100)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