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June">'Report'!$B$9</definedName>
    <definedName name="Volunteers_who_did_a_shift_June">'Report'!$B$10</definedName>
    <definedName name="Hours_per_volunteer_June">'Report'!$B$11</definedName>
    <definedName name="June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6" headerRowCount="1">
  <autoFilter ref="A5:E26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 ht="32" customHeight="1">
      <c r="A5" s="3" t="inlineStr">
        <is>
          <t>In short: 878.5 h of volunteer time in June, from 60 volunteers; most went to Youth outreach.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June</t>
        </is>
      </c>
      <c r="B9" s="7">
        <f>Workings!B8</f>
        <v/>
      </c>
      <c r="C9" s="8" t="inlineStr">
        <is>
          <t>May 830.5 h</t>
        </is>
      </c>
    </row>
    <row r="10">
      <c r="A10" t="inlineStr">
        <is>
          <t>Volunteers who did a shift, June</t>
        </is>
      </c>
      <c r="B10" s="9">
        <f>Workings!B17</f>
        <v/>
      </c>
      <c r="C10" s="8" t="inlineStr">
        <is>
          <t>May 59</t>
        </is>
      </c>
    </row>
    <row r="11">
      <c r="A11" t="inlineStr">
        <is>
          <t>Hours per volunteer, June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June last year</t>
        </is>
      </c>
      <c r="B12" s="7">
        <f>Workings!B32</f>
        <v/>
      </c>
      <c r="C12" s="8" t="inlineStr">
        <is>
          <t>40 volunteers</t>
        </is>
      </c>
    </row>
    <row r="13"/>
    <row r="14">
      <c r="A14" s="10" t="inlineStr">
        <is>
          <t>Volunteer hours by program, June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Youth outreach</t>
        </is>
      </c>
      <c r="B16" s="7">
        <f>Workings!B40</f>
        <v/>
      </c>
    </row>
    <row r="17">
      <c r="A17" t="inlineStr">
        <is>
          <t>Community meals</t>
        </is>
      </c>
      <c r="B17" s="7">
        <f>Workings!B48</f>
        <v/>
      </c>
    </row>
    <row r="18">
      <c r="A18" t="inlineStr">
        <is>
          <t>Mental health first aid</t>
        </is>
      </c>
      <c r="B18" s="7">
        <f>Workings!B56</f>
        <v/>
      </c>
    </row>
    <row r="19">
      <c r="A19" t="inlineStr">
        <is>
          <t>Housing support</t>
        </is>
      </c>
      <c r="B19" s="7">
        <f>Workings!B64</f>
        <v/>
      </c>
    </row>
    <row r="20">
      <c r="A20" t="inlineStr">
        <is>
          <t>Digital literacy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60 volunteers gave 878.5 h in June, against 830.5 h in May. Youth outreach drew the most (187.0 h, 21.3%).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(71.0 h). Hours are up 54.7% on June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13" t="inlineStr">
        <is>
          <t>Volunteer hours, June and May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Jun 26</t>
        </is>
      </c>
      <c r="C7" s="6" t="inlineStr">
        <is>
          <t>May 26</t>
        </is>
      </c>
    </row>
    <row r="8">
      <c r="A8" t="inlineStr">
        <is>
          <t>Volunteer hours</t>
        </is>
      </c>
      <c r="B8" s="14" t="n">
        <v>878.5</v>
      </c>
      <c r="C8" s="14" t="n">
        <v>830.5</v>
      </c>
    </row>
    <row r="9">
      <c r="A9" t="inlineStr">
        <is>
          <t>Volunteers who did a shift</t>
        </is>
      </c>
      <c r="B9" s="15" t="n">
        <v>60</v>
      </c>
      <c r="C9" s="15" t="n">
        <v>59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June and May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Jun 26</t>
        </is>
      </c>
      <c r="C15" s="6" t="inlineStr">
        <is>
          <t>May 26</t>
        </is>
      </c>
    </row>
    <row r="16">
      <c r="A16" t="inlineStr">
        <is>
          <t>Volunteer hours</t>
        </is>
      </c>
      <c r="B16" s="14" t="n">
        <v>878.5</v>
      </c>
      <c r="C16" s="14" t="n">
        <v>830.5</v>
      </c>
    </row>
    <row r="17">
      <c r="A17" t="inlineStr">
        <is>
          <t>Volunteers who did a shift</t>
        </is>
      </c>
      <c r="B17" s="15" t="n">
        <v>60</v>
      </c>
      <c r="C17" s="15" t="n">
        <v>59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June and May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Jun 26</t>
        </is>
      </c>
      <c r="C23" s="6" t="inlineStr">
        <is>
          <t>May 26</t>
        </is>
      </c>
    </row>
    <row r="24">
      <c r="A24" t="inlineStr">
        <is>
          <t>Volunteer hours</t>
        </is>
      </c>
      <c r="B24" s="14" t="n">
        <v>878.5</v>
      </c>
      <c r="C24" s="14" t="n">
        <v>830.5</v>
      </c>
    </row>
    <row r="25">
      <c r="A25" t="inlineStr">
        <is>
          <t>Volunteers who did a shift</t>
        </is>
      </c>
      <c r="B25" s="15" t="n">
        <v>60</v>
      </c>
      <c r="C25" s="15" t="n">
        <v>59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Jun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Jun 25</t>
        </is>
      </c>
    </row>
    <row r="32">
      <c r="A32" t="inlineStr">
        <is>
          <t>Volunteer hours</t>
        </is>
      </c>
      <c r="B32" s="14" t="n">
        <v>568</v>
      </c>
    </row>
    <row r="33">
      <c r="A33" t="inlineStr">
        <is>
          <t>Volunteers who did a shift</t>
        </is>
      </c>
      <c r="B33" s="15" t="n">
        <v>40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Youth outreach: volunteer hours, June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Jun 2026</t>
        </is>
      </c>
    </row>
    <row r="40">
      <c r="A40" t="inlineStr">
        <is>
          <t>Volunteer hours</t>
        </is>
      </c>
      <c r="B40" s="14" t="n">
        <v>187</v>
      </c>
    </row>
    <row r="41">
      <c r="A41" t="inlineStr">
        <is>
          <t>All volunteer hours</t>
        </is>
      </c>
      <c r="B41" s="14" t="n">
        <v>878.5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Community meals: volunteer hours, June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Jun 2026</t>
        </is>
      </c>
    </row>
    <row r="48">
      <c r="A48" t="inlineStr">
        <is>
          <t>Volunteer hours</t>
        </is>
      </c>
      <c r="B48" s="14" t="n">
        <v>184</v>
      </c>
    </row>
    <row r="49">
      <c r="A49" t="inlineStr">
        <is>
          <t>All volunteer hours</t>
        </is>
      </c>
      <c r="B49" s="14" t="n">
        <v>878.5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Mental health first aid: volunteer hours, June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Jun 2026</t>
        </is>
      </c>
    </row>
    <row r="56">
      <c r="A56" t="inlineStr">
        <is>
          <t>Volunteer hours</t>
        </is>
      </c>
      <c r="B56" s="14" t="n">
        <v>166.5</v>
      </c>
    </row>
    <row r="57">
      <c r="A57" t="inlineStr">
        <is>
          <t>All volunteer hours</t>
        </is>
      </c>
      <c r="B57" s="14" t="n">
        <v>878.5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Housing support: volunteer hours, June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Jun 2026</t>
        </is>
      </c>
    </row>
    <row r="64">
      <c r="A64" t="inlineStr">
        <is>
          <t>Volunteer hours</t>
        </is>
      </c>
      <c r="B64" s="14" t="n">
        <v>137.5</v>
      </c>
    </row>
    <row r="65">
      <c r="A65" t="inlineStr">
        <is>
          <t>All volunteer hours</t>
        </is>
      </c>
      <c r="B65" s="14" t="n">
        <v>878.5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Digital literacy: volunteer hours, June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Jun 2026</t>
        </is>
      </c>
    </row>
    <row r="72">
      <c r="A72" t="inlineStr">
        <is>
          <t>Volunteer hours</t>
        </is>
      </c>
      <c r="B72" s="14" t="n">
        <v>132.5</v>
      </c>
    </row>
    <row r="73">
      <c r="A73" t="inlineStr">
        <is>
          <t>All volunteer hours</t>
        </is>
      </c>
      <c r="B73" s="14" t="n">
        <v>878.5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June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Jun 2026</t>
        </is>
      </c>
    </row>
    <row r="80">
      <c r="A80" t="inlineStr">
        <is>
          <t>Volunteer hours</t>
        </is>
      </c>
      <c r="B80" s="14" t="n">
        <v>71</v>
      </c>
    </row>
    <row r="81">
      <c r="A81" t="inlineStr">
        <is>
          <t>All volunteer hours</t>
        </is>
      </c>
      <c r="B81" s="14" t="n">
        <v>878.5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781</v>
      </c>
      <c r="D22" s="15" t="n">
        <v>56</v>
      </c>
      <c r="E22" s="14">
        <f>IF(D22=0,"",C22/D22)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870</v>
      </c>
      <c r="D23" s="15" t="n">
        <v>58</v>
      </c>
      <c r="E23" s="14">
        <f>IF(D23=0,"",C23/D23)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816</v>
      </c>
      <c r="D24" s="15" t="n">
        <v>58</v>
      </c>
      <c r="E24" s="14">
        <f>IF(D24=0,"",C24/D24)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830.5</v>
      </c>
      <c r="D25" s="15" t="n">
        <v>59</v>
      </c>
      <c r="E25" s="14">
        <f>IF(D25=0,"",C25/D25)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878.5</v>
      </c>
      <c r="D26" s="15" t="n">
        <v>60</v>
      </c>
      <c r="E26" s="14">
        <f>IF(D26=0,"",C26/D26)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