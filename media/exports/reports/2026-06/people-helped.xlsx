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June">'Report'!$B$9</definedName>
    <definedName name="Couldn_t_reach_June">'Report'!$B$10</definedName>
    <definedName name="Share_reached_June">'Report'!$B$11</definedName>
    <definedName name="_xlnm.Print_Area" localSheetId="0">'Report'!$A$1:$D$41</definedName>
    <definedName name="_xlnm.Print_Area" localSheetId="1">'Workings'!$A$1:$C$66</definedName>
    <definedName name="_xlnm.Print_Titles" localSheetId="3">'Data'!$5:$5</definedName>
    <definedName name="_xlnm.Print_Area" localSheetId="3">'Data'!$A$1:$E$26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June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3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3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6" headerRowCount="1">
  <autoFilter ref="A5:E26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you help this month, and how many couldn't you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 ht="32" customHeight="1">
      <c r="A5" s="3" t="inlineStr">
        <is>
          <t>In short: 490 people helped in June; 95 couldn't be reached (83.8%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June</t>
        </is>
      </c>
      <c r="B9" s="7">
        <f>Workings!B8</f>
        <v/>
      </c>
      <c r="C9" s="8" t="inlineStr">
        <is>
          <t>May 487</t>
        </is>
      </c>
    </row>
    <row r="10">
      <c r="A10" t="inlineStr">
        <is>
          <t>Couldn't reach, June</t>
        </is>
      </c>
      <c r="B10" s="7">
        <f>Workings!B17</f>
        <v/>
      </c>
      <c r="C10" s="8" t="inlineStr">
        <is>
          <t>May 62</t>
        </is>
      </c>
    </row>
    <row r="11">
      <c r="A11" t="inlineStr">
        <is>
          <t>Share reached, June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June 2026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Housing support</t>
        </is>
      </c>
      <c r="B17" s="9">
        <f>Workings!B50</f>
        <v/>
      </c>
      <c r="C17" s="7">
        <f>Workings!B48</f>
        <v/>
      </c>
    </row>
    <row r="18">
      <c r="A18" t="inlineStr">
        <is>
          <t>Mental health first aid</t>
        </is>
      </c>
      <c r="B18" s="9">
        <f>Workings!B58</f>
        <v/>
      </c>
      <c r="C18" s="7">
        <f>Workings!B56</f>
        <v/>
      </c>
    </row>
    <row r="19">
      <c r="A19" t="inlineStr">
        <is>
          <t>Digital literacy</t>
        </is>
      </c>
      <c r="B19" s="9">
        <f>Workings!B66</f>
        <v/>
      </c>
      <c r="C19" s="7">
        <f>Workings!B64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June 2026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32</t>
        </is>
      </c>
    </row>
    <row r="32">
      <c r="A32" s="12" t="inlineStr">
        <is>
          <t>Waitlist</t>
        </is>
      </c>
      <c r="B32" s="13" t="inlineStr">
        <is>
          <t>24</t>
        </is>
      </c>
    </row>
    <row r="33">
      <c r="A33" s="12" t="inlineStr">
        <is>
          <t>Outside the service area</t>
        </is>
      </c>
      <c r="B33" s="13" t="inlineStr">
        <is>
          <t>15</t>
        </is>
      </c>
    </row>
    <row r="34">
      <c r="A34" s="12" t="inlineStr">
        <is>
          <t>Not eligible</t>
        </is>
      </c>
      <c r="B34" s="13" t="inlineStr">
        <is>
          <t>14</t>
        </is>
      </c>
    </row>
    <row r="35">
      <c r="A35" s="12" t="inlineStr">
        <is>
          <t>Couldn't make contact</t>
        </is>
      </c>
      <c r="B35" s="13" t="inlineStr">
        <is>
          <t>10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490 people were helped in June, and 95 came to a program but couldn't be helped: 83.8% reached (target 90.0%), against 88.7% in May.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Mental health first aid reached the smallest share: 81.4% (16 couldn't be helped). The main reason: program at capacity (32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15" t="inlineStr">
        <is>
          <t>People helped, June and May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Jun 26</t>
        </is>
      </c>
      <c r="C7" s="6" t="inlineStr">
        <is>
          <t>May 26</t>
        </is>
      </c>
    </row>
    <row r="8">
      <c r="A8" t="inlineStr">
        <is>
          <t>People helped</t>
        </is>
      </c>
      <c r="B8" s="16" t="n">
        <v>490</v>
      </c>
      <c r="C8" s="16" t="n">
        <v>487</v>
      </c>
    </row>
    <row r="9">
      <c r="A9" t="inlineStr">
        <is>
          <t>People not reached</t>
        </is>
      </c>
      <c r="B9" s="16" t="n">
        <v>95</v>
      </c>
      <c r="C9" s="16" t="n">
        <v>62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June and May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Jun 26</t>
        </is>
      </c>
      <c r="C15" s="6" t="inlineStr">
        <is>
          <t>May 26</t>
        </is>
      </c>
    </row>
    <row r="16">
      <c r="A16" t="inlineStr">
        <is>
          <t>People helped</t>
        </is>
      </c>
      <c r="B16" s="16" t="n">
        <v>490</v>
      </c>
      <c r="C16" s="16" t="n">
        <v>487</v>
      </c>
    </row>
    <row r="17">
      <c r="A17" t="inlineStr">
        <is>
          <t>People not reached</t>
        </is>
      </c>
      <c r="B17" s="16" t="n">
        <v>95</v>
      </c>
      <c r="C17" s="16" t="n">
        <v>62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June and May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Jun 26</t>
        </is>
      </c>
      <c r="C23" s="6" t="inlineStr">
        <is>
          <t>May 26</t>
        </is>
      </c>
    </row>
    <row r="24">
      <c r="A24" t="inlineStr">
        <is>
          <t>People helped</t>
        </is>
      </c>
      <c r="B24" s="16" t="n">
        <v>490</v>
      </c>
      <c r="C24" s="16" t="n">
        <v>487</v>
      </c>
    </row>
    <row r="25">
      <c r="A25" t="inlineStr">
        <is>
          <t>People not reached</t>
        </is>
      </c>
      <c r="B25" s="16" t="n">
        <v>95</v>
      </c>
      <c r="C25" s="16" t="n">
        <v>62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June 2026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Jun 2026</t>
        </is>
      </c>
    </row>
    <row r="32">
      <c r="A32" t="inlineStr">
        <is>
          <t>People helped</t>
        </is>
      </c>
      <c r="B32" s="16" t="n">
        <v>168</v>
      </c>
    </row>
    <row r="33">
      <c r="A33" t="inlineStr">
        <is>
          <t>Couldn't reach</t>
        </is>
      </c>
      <c r="B33" s="16" t="n">
        <v>33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June 2026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Jun 2026</t>
        </is>
      </c>
    </row>
    <row r="40">
      <c r="A40" t="inlineStr">
        <is>
          <t>People helped</t>
        </is>
      </c>
      <c r="B40" s="16" t="n">
        <v>110</v>
      </c>
    </row>
    <row r="41">
      <c r="A41" t="inlineStr">
        <is>
          <t>Couldn't reach</t>
        </is>
      </c>
      <c r="B41" s="16" t="n">
        <v>24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Housing support, June 2026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Jun 2026</t>
        </is>
      </c>
    </row>
    <row r="48">
      <c r="A48" t="inlineStr">
        <is>
          <t>People helped</t>
        </is>
      </c>
      <c r="B48" s="16" t="n">
        <v>97</v>
      </c>
    </row>
    <row r="49">
      <c r="A49" t="inlineStr">
        <is>
          <t>Couldn't reach</t>
        </is>
      </c>
      <c r="B49" s="16" t="n">
        <v>15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Mental health first aid, June 2026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Jun 2026</t>
        </is>
      </c>
    </row>
    <row r="56">
      <c r="A56" t="inlineStr">
        <is>
          <t>People helped</t>
        </is>
      </c>
      <c r="B56" s="16" t="n">
        <v>70</v>
      </c>
    </row>
    <row r="57">
      <c r="A57" t="inlineStr">
        <is>
          <t>Couldn't reach</t>
        </is>
      </c>
      <c r="B57" s="16" t="n">
        <v>16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>
      <c r="A61" s="15" t="inlineStr">
        <is>
          <t>Digital literacy, June 2026</t>
        </is>
      </c>
    </row>
    <row r="62">
      <c r="A62" s="11" t="inlineStr">
        <is>
          <t>Helped ÷ (helped + couldn't reach)</t>
        </is>
      </c>
    </row>
    <row r="63">
      <c r="A63" s="5" t="inlineStr"/>
      <c r="B63" s="6" t="inlineStr">
        <is>
          <t>Jun 2026</t>
        </is>
      </c>
    </row>
    <row r="64">
      <c r="A64" t="inlineStr">
        <is>
          <t>People helped</t>
        </is>
      </c>
      <c r="B64" s="16" t="n">
        <v>45</v>
      </c>
    </row>
    <row r="65">
      <c r="A65" t="inlineStr">
        <is>
          <t>Couldn't reach</t>
        </is>
      </c>
      <c r="B65" s="16" t="n">
        <v>7</v>
      </c>
    </row>
    <row r="66">
      <c r="A66" s="17" t="inlineStr">
        <is>
          <t>Share reached</t>
        </is>
      </c>
      <c r="B66" s="18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June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6" t="n">
        <v>427</v>
      </c>
      <c r="D21" s="16" t="n">
        <v>49</v>
      </c>
      <c r="E21" s="20">
        <f>IF(C21+D21=0,"",C21/(C21+D21))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6" t="n">
        <v>396</v>
      </c>
      <c r="D22" s="16" t="n">
        <v>43</v>
      </c>
      <c r="E22" s="20">
        <f>IF(C22+D22=0,"",C22/(C22+D22))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6" t="n">
        <v>412</v>
      </c>
      <c r="D23" s="16" t="n">
        <v>69</v>
      </c>
      <c r="E23" s="20">
        <f>IF(C23+D23=0,"",C23/(C23+D23))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6" t="n">
        <v>491</v>
      </c>
      <c r="D24" s="16" t="n">
        <v>93</v>
      </c>
      <c r="E24" s="20">
        <f>IF(C24+D24=0,"",C24/(C24+D24))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6" t="n">
        <v>487</v>
      </c>
      <c r="D25" s="16" t="n">
        <v>62</v>
      </c>
      <c r="E25" s="20">
        <f>IF(C25+D25=0,"",C25/(C25+D25))</f>
        <v/>
      </c>
    </row>
    <row r="26">
      <c r="A26" s="19" t="inlineStr">
        <is>
          <t>Jun 26</t>
        </is>
      </c>
      <c r="B26" s="19" t="inlineStr">
        <is>
          <t>Locked</t>
        </is>
      </c>
      <c r="C26" s="16" t="n">
        <v>490</v>
      </c>
      <c r="D26" s="16" t="n">
        <v>95</v>
      </c>
      <c r="E26" s="20">
        <f>IF(C26+D26=0,"",C26/(C26+D26))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2026-10-22T06:58:31Z</dcterms:created>
  <dcterms:modified xmlns:dcterms="http://purl.org/dc/terms/" xmlns:xsi="http://www.w3.org/2001/XMLSchema-instance" xsi:type="dcterms:W3CDTF">2026-10-22T06:58:31Z</dcterms:modified>
</cp:coreProperties>
</file>