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June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'Data'!$B$6:$B$26</f>
            </numRef>
          </cat>
          <val>
            <numRef>
              <f>'Data'!$D$6:$D$26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'Data'!$B$6:$B$26</f>
            </numRef>
          </cat>
          <val>
            <numRef>
              <f>'Data'!$D$27:$D$47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'Data'!$B$6:$B$26</f>
            </numRef>
          </cat>
          <val>
            <numRef>
              <f>'Data'!$D$48:$D$68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68" headerRowCount="1">
  <autoFilter ref="A5:G68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 ht="32" customHeight="1">
      <c r="A5" s="3" t="inlineStr">
        <is>
          <t>In short: Grants cost 10¢ to raise each dollar in June; donations 14¢.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June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10</v>
      </c>
    </row>
    <row r="12">
      <c r="A12" t="inlineStr">
        <is>
          <t>Donations</t>
        </is>
      </c>
      <c r="B12" s="9" t="n">
        <v>14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June it cost: Grants 10¢, donations 14¢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June: grants (10¢ a dollar). Dearest: donations (14¢).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$770,082 raised this financial year to date (74.1% of everything raised), $85,200 to raise it, so $684,882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$225,900 raised this financial year to date (21.7% of everything raised), $32,800 to raise it, so $193,100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$43,000 raised this financial year to date (4.1% of everything raised), $17,800 to raise it, so $25,200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Workings!B24</f>
        <v/>
      </c>
      <c r="C52" s="11" t="inlineStr">
        <is>
          <t>per $1 raised in June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June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Jun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Jun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$770,082</t>
        </is>
      </c>
      <c r="C60" s="15" t="inlineStr">
        <is>
          <t>$85,200</t>
        </is>
      </c>
      <c r="D60" s="15" t="inlineStr">
        <is>
          <t>$684,882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$225,900</t>
        </is>
      </c>
      <c r="C61" s="15" t="inlineStr">
        <is>
          <t>$32,800</t>
        </is>
      </c>
      <c r="D61" s="15" t="inlineStr">
        <is>
          <t>$193,100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$43,000</t>
        </is>
      </c>
      <c r="C62" s="15" t="inlineStr">
        <is>
          <t>$17,800</t>
        </is>
      </c>
      <c r="D62" s="15" t="inlineStr">
        <is>
          <t>$25,200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5" t="inlineStr">
        <is>
          <t>Cost to raise a dollar, by source, June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Jun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70872</v>
      </c>
    </row>
    <row r="10">
      <c r="A10" t="inlineStr">
        <is>
          <t>Donations: cost (donor campaigns)</t>
        </is>
      </c>
      <c r="B10" s="16" t="n">
        <v>5500</v>
      </c>
    </row>
    <row r="11">
      <c r="A11" t="inlineStr">
        <is>
          <t>Donations: raised</t>
        </is>
      </c>
      <c r="B11" s="16" t="n">
        <v>40100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June. </t>
        </is>
      </c>
    </row>
    <row r="15"/>
    <row r="16"/>
    <row r="17">
      <c r="A17" s="5" t="inlineStr">
        <is>
          <t>Cost to raise a dollar, by source, June 2026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Jun 2026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70872</v>
      </c>
    </row>
    <row r="22">
      <c r="A22" t="inlineStr">
        <is>
          <t>Donations: cost (donor campaigns)</t>
        </is>
      </c>
      <c r="B22" s="16" t="n">
        <v>5500</v>
      </c>
    </row>
    <row r="23">
      <c r="A23" t="inlineStr">
        <is>
          <t>Donations: raised</t>
        </is>
      </c>
      <c r="B23" s="16" t="n">
        <v>40100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June. </t>
        </is>
      </c>
    </row>
    <row r="27"/>
    <row r="28"/>
    <row r="29">
      <c r="A29" s="5" t="inlineStr">
        <is>
          <t>Cost to raise a dollar, by source, June 2026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Jun 2026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70872</v>
      </c>
    </row>
    <row r="34">
      <c r="A34" t="inlineStr">
        <is>
          <t>Donations: cost (donor campaigns)</t>
        </is>
      </c>
      <c r="B34" s="16" t="n">
        <v>5500</v>
      </c>
    </row>
    <row r="35">
      <c r="A35" t="inlineStr">
        <is>
          <t>Donations: raised</t>
        </is>
      </c>
      <c r="B35" s="16" t="n">
        <v>40100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June. </t>
        </is>
      </c>
    </row>
    <row r="39"/>
    <row r="40"/>
    <row r="41">
      <c r="A41" s="5" t="inlineStr">
        <is>
          <t>Raised, financial year to date (Jul to Jun 2026)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770082</v>
      </c>
    </row>
    <row r="45">
      <c r="A45" t="inlineStr">
        <is>
          <t>Donations, raised</t>
        </is>
      </c>
      <c r="B45" s="16" t="n">
        <v>225900</v>
      </c>
    </row>
    <row r="46">
      <c r="A46" t="inlineStr">
        <is>
          <t>Fundraising events, raised</t>
        </is>
      </c>
      <c r="B46" s="16" t="n">
        <v>43000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Feb 26</t>
        </is>
      </c>
      <c r="C22" s="21" t="inlineStr">
        <is>
          <t>Locked</t>
        </is>
      </c>
      <c r="D22" s="16" t="n">
        <v>55759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Grants</t>
        </is>
      </c>
      <c r="B23" s="21" t="inlineStr">
        <is>
          <t>Mar 26</t>
        </is>
      </c>
      <c r="C23" s="21" t="inlineStr">
        <is>
          <t>Locked</t>
        </is>
      </c>
      <c r="D23" s="16" t="n">
        <v>53806</v>
      </c>
      <c r="E23" s="16" t="n">
        <v>7100</v>
      </c>
      <c r="F23" s="16">
        <f>D23-E23</f>
        <v/>
      </c>
      <c r="G23" s="17">
        <f>IF(D23=0,"",E23/D23*100)</f>
        <v/>
      </c>
    </row>
    <row r="24">
      <c r="A24" s="21" t="inlineStr">
        <is>
          <t>Grants</t>
        </is>
      </c>
      <c r="B24" s="21" t="inlineStr">
        <is>
          <t>Apr 26</t>
        </is>
      </c>
      <c r="C24" s="21" t="inlineStr">
        <is>
          <t>Locked</t>
        </is>
      </c>
      <c r="D24" s="16" t="n">
        <v>66729</v>
      </c>
      <c r="E24" s="16" t="n">
        <v>7100</v>
      </c>
      <c r="F24" s="16">
        <f>D24-E24</f>
        <v/>
      </c>
      <c r="G24" s="17">
        <f>IF(D24=0,"",E24/D24*100)</f>
        <v/>
      </c>
    </row>
    <row r="25">
      <c r="A25" s="21" t="inlineStr">
        <is>
          <t>Grants</t>
        </is>
      </c>
      <c r="B25" s="21" t="inlineStr">
        <is>
          <t>May 26</t>
        </is>
      </c>
      <c r="C25" s="21" t="inlineStr">
        <is>
          <t>Locked</t>
        </is>
      </c>
      <c r="D25" s="16" t="n">
        <v>72245</v>
      </c>
      <c r="E25" s="16" t="n">
        <v>7100</v>
      </c>
      <c r="F25" s="16">
        <f>D25-E25</f>
        <v/>
      </c>
      <c r="G25" s="17">
        <f>IF(D25=0,"",E25/D25*100)</f>
        <v/>
      </c>
    </row>
    <row r="26">
      <c r="A26" s="21" t="inlineStr">
        <is>
          <t>Grants</t>
        </is>
      </c>
      <c r="B26" s="21" t="inlineStr">
        <is>
          <t>Jun 26</t>
        </is>
      </c>
      <c r="C26" s="21" t="inlineStr">
        <is>
          <t>Locked</t>
        </is>
      </c>
      <c r="D26" s="16" t="n">
        <v>70872</v>
      </c>
      <c r="E26" s="16" t="n">
        <v>7100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Oct 24</t>
        </is>
      </c>
      <c r="C27" s="21" t="inlineStr">
        <is>
          <t>Locked</t>
        </is>
      </c>
      <c r="D27" s="16" t="n">
        <v>15300</v>
      </c>
      <c r="E27" s="16" t="n">
        <v>2200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Nov 24</t>
        </is>
      </c>
      <c r="C28" s="21" t="inlineStr">
        <is>
          <t>Locked</t>
        </is>
      </c>
      <c r="D28" s="16" t="n">
        <v>17700</v>
      </c>
      <c r="E28" s="16" t="n">
        <v>3100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Dec 24</t>
        </is>
      </c>
      <c r="C29" s="21" t="inlineStr">
        <is>
          <t>Locked</t>
        </is>
      </c>
      <c r="D29" s="16" t="n">
        <v>24700</v>
      </c>
      <c r="E29" s="16" t="n">
        <v>4400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Jan 25</t>
        </is>
      </c>
      <c r="C30" s="21" t="inlineStr">
        <is>
          <t>Locked</t>
        </is>
      </c>
      <c r="D30" s="16" t="n">
        <v>12400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Feb 25</t>
        </is>
      </c>
      <c r="C31" s="21" t="inlineStr">
        <is>
          <t>Locked</t>
        </is>
      </c>
      <c r="D31" s="16" t="n">
        <v>15600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Mar 25</t>
        </is>
      </c>
      <c r="C32" s="21" t="inlineStr">
        <is>
          <t>Locked</t>
        </is>
      </c>
      <c r="D32" s="16" t="n">
        <v>15700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Apr 25</t>
        </is>
      </c>
      <c r="C33" s="21" t="inlineStr">
        <is>
          <t>Locked</t>
        </is>
      </c>
      <c r="D33" s="16" t="n">
        <v>15700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May 25</t>
        </is>
      </c>
      <c r="C34" s="21" t="inlineStr">
        <is>
          <t>Locked</t>
        </is>
      </c>
      <c r="D34" s="16" t="n">
        <v>15800</v>
      </c>
      <c r="E34" s="16" t="n">
        <v>2200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Jun 25</t>
        </is>
      </c>
      <c r="C35" s="21" t="inlineStr">
        <is>
          <t>Locked</t>
        </is>
      </c>
      <c r="D35" s="16" t="n">
        <v>38100</v>
      </c>
      <c r="E35" s="16" t="n">
        <v>5500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Jul 25</t>
        </is>
      </c>
      <c r="C36" s="21" t="inlineStr">
        <is>
          <t>Locked</t>
        </is>
      </c>
      <c r="D36" s="16" t="n">
        <v>13500</v>
      </c>
      <c r="E36" s="16" t="n">
        <v>2200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Aug 25</t>
        </is>
      </c>
      <c r="C37" s="21" t="inlineStr">
        <is>
          <t>Locked</t>
        </is>
      </c>
      <c r="D37" s="16" t="n">
        <v>16000</v>
      </c>
      <c r="E37" s="16" t="n">
        <v>2200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Sep 25</t>
        </is>
      </c>
      <c r="C38" s="21" t="inlineStr">
        <is>
          <t>Locked</t>
        </is>
      </c>
      <c r="D38" s="16" t="n">
        <v>16100</v>
      </c>
      <c r="E38" s="16" t="n">
        <v>2200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Oct 25</t>
        </is>
      </c>
      <c r="C39" s="21" t="inlineStr">
        <is>
          <t>Locked</t>
        </is>
      </c>
      <c r="D39" s="16" t="n">
        <v>16200</v>
      </c>
      <c r="E39" s="16" t="n">
        <v>2200</v>
      </c>
      <c r="F39" s="16">
        <f>D39-E39</f>
        <v/>
      </c>
      <c r="G39" s="17">
        <f>IF(D39=0,"",E39/D39*100)</f>
        <v/>
      </c>
    </row>
    <row r="40">
      <c r="A40" s="21" t="inlineStr">
        <is>
          <t>Donations</t>
        </is>
      </c>
      <c r="B40" s="21" t="inlineStr">
        <is>
          <t>Nov 25</t>
        </is>
      </c>
      <c r="C40" s="21" t="inlineStr">
        <is>
          <t>Locked</t>
        </is>
      </c>
      <c r="D40" s="16" t="n">
        <v>18700</v>
      </c>
      <c r="E40" s="16" t="n">
        <v>3100</v>
      </c>
      <c r="F40" s="16">
        <f>D40-E40</f>
        <v/>
      </c>
      <c r="G40" s="17">
        <f>IF(D40=0,"",E40/D40*100)</f>
        <v/>
      </c>
    </row>
    <row r="41">
      <c r="A41" s="21" t="inlineStr">
        <is>
          <t>Donations</t>
        </is>
      </c>
      <c r="B41" s="21" t="inlineStr">
        <is>
          <t>Dec 25</t>
        </is>
      </c>
      <c r="C41" s="21" t="inlineStr">
        <is>
          <t>Locked</t>
        </is>
      </c>
      <c r="D41" s="16" t="n">
        <v>26100</v>
      </c>
      <c r="E41" s="16" t="n">
        <v>4400</v>
      </c>
      <c r="F41" s="16">
        <f>D41-E41</f>
        <v/>
      </c>
      <c r="G41" s="17">
        <f>IF(D41=0,"",E41/D41*100)</f>
        <v/>
      </c>
    </row>
    <row r="42">
      <c r="A42" s="21" t="inlineStr">
        <is>
          <t>Donations</t>
        </is>
      </c>
      <c r="B42" s="21" t="inlineStr">
        <is>
          <t>Jan 26</t>
        </is>
      </c>
      <c r="C42" s="21" t="inlineStr">
        <is>
          <t>Locked</t>
        </is>
      </c>
      <c r="D42" s="16" t="n">
        <v>13100</v>
      </c>
      <c r="E42" s="16" t="n">
        <v>2200</v>
      </c>
      <c r="F42" s="16">
        <f>D42-E42</f>
        <v/>
      </c>
      <c r="G42" s="17">
        <f>IF(D42=0,"",E42/D42*100)</f>
        <v/>
      </c>
    </row>
    <row r="43">
      <c r="A43" s="21" t="inlineStr">
        <is>
          <t>Donations</t>
        </is>
      </c>
      <c r="B43" s="21" t="inlineStr">
        <is>
          <t>Feb 26</t>
        </is>
      </c>
      <c r="C43" s="21" t="inlineStr">
        <is>
          <t>Locked</t>
        </is>
      </c>
      <c r="D43" s="16" t="n">
        <v>16400</v>
      </c>
      <c r="E43" s="16" t="n">
        <v>2200</v>
      </c>
      <c r="F43" s="16">
        <f>D43-E43</f>
        <v/>
      </c>
      <c r="G43" s="17">
        <f>IF(D43=0,"",E43/D43*100)</f>
        <v/>
      </c>
    </row>
    <row r="44">
      <c r="A44" s="21" t="inlineStr">
        <is>
          <t>Donations</t>
        </is>
      </c>
      <c r="B44" s="21" t="inlineStr">
        <is>
          <t>Mar 26</t>
        </is>
      </c>
      <c r="C44" s="21" t="inlineStr">
        <is>
          <t>Locked</t>
        </is>
      </c>
      <c r="D44" s="16" t="n">
        <v>16500</v>
      </c>
      <c r="E44" s="16" t="n">
        <v>2200</v>
      </c>
      <c r="F44" s="16">
        <f>D44-E44</f>
        <v/>
      </c>
      <c r="G44" s="17">
        <f>IF(D44=0,"",E44/D44*100)</f>
        <v/>
      </c>
    </row>
    <row r="45">
      <c r="A45" s="21" t="inlineStr">
        <is>
          <t>Donations</t>
        </is>
      </c>
      <c r="B45" s="21" t="inlineStr">
        <is>
          <t>Apr 26</t>
        </is>
      </c>
      <c r="C45" s="21" t="inlineStr">
        <is>
          <t>Locked</t>
        </is>
      </c>
      <c r="D45" s="16" t="n">
        <v>16600</v>
      </c>
      <c r="E45" s="16" t="n">
        <v>2200</v>
      </c>
      <c r="F45" s="16">
        <f>D45-E45</f>
        <v/>
      </c>
      <c r="G45" s="17">
        <f>IF(D45=0,"",E45/D45*100)</f>
        <v/>
      </c>
    </row>
    <row r="46">
      <c r="A46" s="21" t="inlineStr">
        <is>
          <t>Donations</t>
        </is>
      </c>
      <c r="B46" s="21" t="inlineStr">
        <is>
          <t>May 26</t>
        </is>
      </c>
      <c r="C46" s="21" t="inlineStr">
        <is>
          <t>Locked</t>
        </is>
      </c>
      <c r="D46" s="16" t="n">
        <v>16600</v>
      </c>
      <c r="E46" s="16" t="n">
        <v>2200</v>
      </c>
      <c r="F46" s="16">
        <f>D46-E46</f>
        <v/>
      </c>
      <c r="G46" s="17">
        <f>IF(D46=0,"",E46/D46*100)</f>
        <v/>
      </c>
    </row>
    <row r="47">
      <c r="A47" s="21" t="inlineStr">
        <is>
          <t>Donations</t>
        </is>
      </c>
      <c r="B47" s="21" t="inlineStr">
        <is>
          <t>Jun 26</t>
        </is>
      </c>
      <c r="C47" s="21" t="inlineStr">
        <is>
          <t>Locked</t>
        </is>
      </c>
      <c r="D47" s="16" t="n">
        <v>40100</v>
      </c>
      <c r="E47" s="16" t="n">
        <v>5500</v>
      </c>
      <c r="F47" s="16">
        <f>D47-E47</f>
        <v/>
      </c>
      <c r="G47" s="17">
        <f>IF(D47=0,"",E47/D47*100)</f>
        <v/>
      </c>
    </row>
    <row r="48">
      <c r="A48" s="21" t="inlineStr">
        <is>
          <t>Fundraising events</t>
        </is>
      </c>
      <c r="B48" s="21" t="inlineStr">
        <is>
          <t>Oct 24</t>
        </is>
      </c>
      <c r="C48" s="21" t="inlineStr">
        <is>
          <t>Locked</t>
        </is>
      </c>
      <c r="D48" s="16" t="n">
        <v>0</v>
      </c>
      <c r="E48" s="16" t="n">
        <v>0</v>
      </c>
      <c r="F48" s="16">
        <f>D48-E48</f>
        <v/>
      </c>
      <c r="G48" s="17">
        <f>IF(D48=0,"",E48/D48*100)</f>
        <v/>
      </c>
    </row>
    <row r="49">
      <c r="A49" s="21" t="inlineStr">
        <is>
          <t>Fundraising events</t>
        </is>
      </c>
      <c r="B49" s="21" t="inlineStr">
        <is>
          <t>Nov 24</t>
        </is>
      </c>
      <c r="C49" s="21" t="inlineStr">
        <is>
          <t>Locked</t>
        </is>
      </c>
      <c r="D49" s="16" t="n">
        <v>0</v>
      </c>
      <c r="E49" s="16" t="n">
        <v>0</v>
      </c>
      <c r="F49" s="16">
        <f>D49-E49</f>
        <v/>
      </c>
      <c r="G49" s="17">
        <f>IF(D49=0,"",E49/D49*100)</f>
        <v/>
      </c>
    </row>
    <row r="50">
      <c r="A50" s="21" t="inlineStr">
        <is>
          <t>Fundraising events</t>
        </is>
      </c>
      <c r="B50" s="21" t="inlineStr">
        <is>
          <t>Dec 24</t>
        </is>
      </c>
      <c r="C50" s="21" t="inlineStr">
        <is>
          <t>Locked</t>
        </is>
      </c>
      <c r="D50" s="16" t="n">
        <v>6200</v>
      </c>
      <c r="E50" s="16" t="n">
        <v>2600</v>
      </c>
      <c r="F50" s="16">
        <f>D50-E50</f>
        <v/>
      </c>
      <c r="G50" s="17">
        <f>IF(D50=0,"",E50/D50*100)</f>
        <v/>
      </c>
    </row>
    <row r="51">
      <c r="A51" s="21" t="inlineStr">
        <is>
          <t>Fundraising events</t>
        </is>
      </c>
      <c r="B51" s="21" t="inlineStr">
        <is>
          <t>Jan 25</t>
        </is>
      </c>
      <c r="C51" s="21" t="inlineStr">
        <is>
          <t>Locked</t>
        </is>
      </c>
      <c r="D51" s="16" t="n">
        <v>0</v>
      </c>
      <c r="E51" s="16" t="n">
        <v>0</v>
      </c>
      <c r="F51" s="16">
        <f>D51-E51</f>
        <v/>
      </c>
      <c r="G51" s="17">
        <f>IF(D51=0,"",E51/D51*100)</f>
        <v/>
      </c>
    </row>
    <row r="52">
      <c r="A52" s="21" t="inlineStr">
        <is>
          <t>Fundraising events</t>
        </is>
      </c>
      <c r="B52" s="21" t="inlineStr">
        <is>
          <t>Feb 25</t>
        </is>
      </c>
      <c r="C52" s="21" t="inlineStr">
        <is>
          <t>Locked</t>
        </is>
      </c>
      <c r="D52" s="16" t="n">
        <v>0</v>
      </c>
      <c r="E52" s="16" t="n">
        <v>0</v>
      </c>
      <c r="F52" s="16">
        <f>D52-E52</f>
        <v/>
      </c>
      <c r="G52" s="17">
        <f>IF(D52=0,"",E52/D52*100)</f>
        <v/>
      </c>
    </row>
    <row r="53">
      <c r="A53" s="21" t="inlineStr">
        <is>
          <t>Fundraising events</t>
        </is>
      </c>
      <c r="B53" s="21" t="inlineStr">
        <is>
          <t>Mar 25</t>
        </is>
      </c>
      <c r="C53" s="21" t="inlineStr">
        <is>
          <t>Locked</t>
        </is>
      </c>
      <c r="D53" s="16" t="n">
        <v>0</v>
      </c>
      <c r="E53" s="16" t="n">
        <v>0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Apr 25</t>
        </is>
      </c>
      <c r="C54" s="21" t="inlineStr">
        <is>
          <t>Locked</t>
        </is>
      </c>
      <c r="D54" s="16" t="n">
        <v>0</v>
      </c>
      <c r="E54" s="16" t="n">
        <v>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May 25</t>
        </is>
      </c>
      <c r="C55" s="21" t="inlineStr">
        <is>
          <t>Locked</t>
        </is>
      </c>
      <c r="D55" s="16" t="n">
        <v>0</v>
      </c>
      <c r="E55" s="16" t="n">
        <v>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Jun 25</t>
        </is>
      </c>
      <c r="C56" s="21" t="inlineStr">
        <is>
          <t>Locked</t>
        </is>
      </c>
      <c r="D56" s="16" t="n">
        <v>0</v>
      </c>
      <c r="E56" s="16" t="n">
        <v>0</v>
      </c>
      <c r="F56" s="16">
        <f>D56-E56</f>
        <v/>
      </c>
      <c r="G56" s="17">
        <f>IF(D56=0,"",E56/D56*100)</f>
        <v/>
      </c>
    </row>
    <row r="57">
      <c r="A57" s="21" t="inlineStr">
        <is>
          <t>Fundraising events</t>
        </is>
      </c>
      <c r="B57" s="21" t="inlineStr">
        <is>
          <t>Jul 25</t>
        </is>
      </c>
      <c r="C57" s="21" t="inlineStr">
        <is>
          <t>Locked</t>
        </is>
      </c>
      <c r="D57" s="16" t="n">
        <v>0</v>
      </c>
      <c r="E57" s="16" t="n">
        <v>0</v>
      </c>
      <c r="F57" s="16">
        <f>D57-E57</f>
        <v/>
      </c>
      <c r="G57" s="17">
        <f>IF(D57=0,"",E57/D57*100)</f>
        <v/>
      </c>
    </row>
    <row r="58">
      <c r="A58" s="21" t="inlineStr">
        <is>
          <t>Fundraising events</t>
        </is>
      </c>
      <c r="B58" s="21" t="inlineStr">
        <is>
          <t>Aug 25</t>
        </is>
      </c>
      <c r="C58" s="21" t="inlineStr">
        <is>
          <t>Locked</t>
        </is>
      </c>
      <c r="D58" s="16" t="n">
        <v>0</v>
      </c>
      <c r="E58" s="16" t="n">
        <v>0</v>
      </c>
      <c r="F58" s="16">
        <f>D58-E58</f>
        <v/>
      </c>
      <c r="G58" s="17">
        <f>IF(D58=0,"",E58/D58*100)</f>
        <v/>
      </c>
    </row>
    <row r="59">
      <c r="A59" s="21" t="inlineStr">
        <is>
          <t>Fundraising events</t>
        </is>
      </c>
      <c r="B59" s="21" t="inlineStr">
        <is>
          <t>Sep 25</t>
        </is>
      </c>
      <c r="C59" s="21" t="inlineStr">
        <is>
          <t>Locked</t>
        </is>
      </c>
      <c r="D59" s="16" t="n">
        <v>36800</v>
      </c>
      <c r="E59" s="16" t="n">
        <v>15200</v>
      </c>
      <c r="F59" s="16">
        <f>D59-E59</f>
        <v/>
      </c>
      <c r="G59" s="17">
        <f>IF(D59=0,"",E59/D59*100)</f>
        <v/>
      </c>
    </row>
    <row r="60">
      <c r="A60" s="21" t="inlineStr">
        <is>
          <t>Fundraising events</t>
        </is>
      </c>
      <c r="B60" s="21" t="inlineStr">
        <is>
          <t>Oct 25</t>
        </is>
      </c>
      <c r="C60" s="21" t="inlineStr">
        <is>
          <t>Locked</t>
        </is>
      </c>
      <c r="D60" s="16" t="n">
        <v>0</v>
      </c>
      <c r="E60" s="16" t="n">
        <v>0</v>
      </c>
      <c r="F60" s="16">
        <f>D60-E60</f>
        <v/>
      </c>
      <c r="G60" s="17">
        <f>IF(D60=0,"",E60/D60*100)</f>
        <v/>
      </c>
    </row>
    <row r="61">
      <c r="A61" s="21" t="inlineStr">
        <is>
          <t>Fundraising events</t>
        </is>
      </c>
      <c r="B61" s="21" t="inlineStr">
        <is>
          <t>Nov 25</t>
        </is>
      </c>
      <c r="C61" s="21" t="inlineStr">
        <is>
          <t>Locked</t>
        </is>
      </c>
      <c r="D61" s="16" t="n">
        <v>0</v>
      </c>
      <c r="E61" s="16" t="n">
        <v>0</v>
      </c>
      <c r="F61" s="16">
        <f>D61-E61</f>
        <v/>
      </c>
      <c r="G61" s="17">
        <f>IF(D61=0,"",E61/D61*100)</f>
        <v/>
      </c>
    </row>
    <row r="62">
      <c r="A62" s="21" t="inlineStr">
        <is>
          <t>Fundraising events</t>
        </is>
      </c>
      <c r="B62" s="21" t="inlineStr">
        <is>
          <t>Dec 25</t>
        </is>
      </c>
      <c r="C62" s="21" t="inlineStr">
        <is>
          <t>Locked</t>
        </is>
      </c>
      <c r="D62" s="16" t="n">
        <v>6200</v>
      </c>
      <c r="E62" s="16" t="n">
        <v>2600</v>
      </c>
      <c r="F62" s="16">
        <f>D62-E62</f>
        <v/>
      </c>
      <c r="G62" s="17">
        <f>IF(D62=0,"",E62/D62*100)</f>
        <v/>
      </c>
    </row>
    <row r="63">
      <c r="A63" s="21" t="inlineStr">
        <is>
          <t>Fundraising events</t>
        </is>
      </c>
      <c r="B63" s="21" t="inlineStr">
        <is>
          <t>Jan 26</t>
        </is>
      </c>
      <c r="C63" s="21" t="inlineStr">
        <is>
          <t>Locked</t>
        </is>
      </c>
      <c r="D63" s="16" t="n">
        <v>0</v>
      </c>
      <c r="E63" s="16" t="n">
        <v>0</v>
      </c>
      <c r="F63" s="16">
        <f>D63-E63</f>
        <v/>
      </c>
      <c r="G63" s="17">
        <f>IF(D63=0,"",E63/D63*100)</f>
        <v/>
      </c>
    </row>
    <row r="64">
      <c r="A64" s="21" t="inlineStr">
        <is>
          <t>Fundraising events</t>
        </is>
      </c>
      <c r="B64" s="21" t="inlineStr">
        <is>
          <t>Feb 26</t>
        </is>
      </c>
      <c r="C64" s="21" t="inlineStr">
        <is>
          <t>Locked</t>
        </is>
      </c>
      <c r="D64" s="16" t="n">
        <v>0</v>
      </c>
      <c r="E64" s="16" t="n">
        <v>0</v>
      </c>
      <c r="F64" s="16">
        <f>D64-E64</f>
        <v/>
      </c>
      <c r="G64" s="17">
        <f>IF(D64=0,"",E64/D64*100)</f>
        <v/>
      </c>
    </row>
    <row r="65">
      <c r="A65" s="21" t="inlineStr">
        <is>
          <t>Fundraising events</t>
        </is>
      </c>
      <c r="B65" s="21" t="inlineStr">
        <is>
          <t>Mar 26</t>
        </is>
      </c>
      <c r="C65" s="21" t="inlineStr">
        <is>
          <t>Locked</t>
        </is>
      </c>
      <c r="D65" s="16" t="n">
        <v>0</v>
      </c>
      <c r="E65" s="16" t="n">
        <v>0</v>
      </c>
      <c r="F65" s="16">
        <f>D65-E65</f>
        <v/>
      </c>
      <c r="G65" s="17">
        <f>IF(D65=0,"",E65/D65*100)</f>
        <v/>
      </c>
    </row>
    <row r="66">
      <c r="A66" s="21" t="inlineStr">
        <is>
          <t>Fundraising events</t>
        </is>
      </c>
      <c r="B66" s="21" t="inlineStr">
        <is>
          <t>Apr 26</t>
        </is>
      </c>
      <c r="C66" s="21" t="inlineStr">
        <is>
          <t>Locked</t>
        </is>
      </c>
      <c r="D66" s="16" t="n">
        <v>0</v>
      </c>
      <c r="E66" s="16" t="n">
        <v>0</v>
      </c>
      <c r="F66" s="16">
        <f>D66-E66</f>
        <v/>
      </c>
      <c r="G66" s="17">
        <f>IF(D66=0,"",E66/D66*100)</f>
        <v/>
      </c>
    </row>
    <row r="67">
      <c r="A67" s="21" t="inlineStr">
        <is>
          <t>Fundraising events</t>
        </is>
      </c>
      <c r="B67" s="21" t="inlineStr">
        <is>
          <t>May 26</t>
        </is>
      </c>
      <c r="C67" s="21" t="inlineStr">
        <is>
          <t>Locked</t>
        </is>
      </c>
      <c r="D67" s="16" t="n">
        <v>0</v>
      </c>
      <c r="E67" s="16" t="n">
        <v>0</v>
      </c>
      <c r="F67" s="16">
        <f>D67-E67</f>
        <v/>
      </c>
      <c r="G67" s="17">
        <f>IF(D67=0,"",E67/D67*100)</f>
        <v/>
      </c>
    </row>
    <row r="68">
      <c r="A68" s="21" t="inlineStr">
        <is>
          <t>Fundraising events</t>
        </is>
      </c>
      <c r="B68" s="21" t="inlineStr">
        <is>
          <t>Jun 26</t>
        </is>
      </c>
      <c r="C68" s="21" t="inlineStr">
        <is>
          <t>Locked</t>
        </is>
      </c>
      <c r="D68" s="16" t="n">
        <v>0</v>
      </c>
      <c r="E68" s="16" t="n">
        <v>0</v>
      </c>
      <c r="F68" s="16">
        <f>D68-E68</f>
        <v/>
      </c>
      <c r="G68" s="17">
        <f>IF(D68=0,"",E68/D68*100)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7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