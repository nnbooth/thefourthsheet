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'Report'!$A$1:$D$74</definedName>
    <definedName name="_xlnm.Print_Area" localSheetId="1">'Workings'!$A$1:$B$80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'Report'!$A$11:$A$16</f>
            </numRef>
          </cat>
          <val>
            <numRef>
              <f>'Report'!$B$11:$B$16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May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 ht="32" customHeight="1">
      <c r="A5" s="3" t="inlineStr">
        <is>
          <t>In short: Housing support costs $54,240 in full in May: $22,903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May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Mental health first aid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 (2025-26)</t>
        </is>
      </c>
      <c r="B15" s="9">
        <f>Workings!B67</f>
        <v/>
      </c>
      <c r="C15" s="10">
        <f>Workings!B62</f>
        <v/>
      </c>
    </row>
    <row r="16">
      <c r="A16" t="inlineStr">
        <is>
          <t>Volunteer coordinator</t>
        </is>
      </c>
      <c r="B16" s="9">
        <f>Workings!B80</f>
        <v/>
      </c>
      <c r="C16" s="10">
        <f>Workings!B75</f>
        <v/>
      </c>
    </row>
    <row r="17"/>
    <row r="18"/>
    <row r="19"/>
    <row r="20"/>
    <row r="21"/>
    <row r="22"/>
    <row r="23"/>
    <row r="24"/>
    <row r="25">
      <c r="A25" s="11" t="inlineStr">
        <is>
          <t>What it shows</t>
        </is>
      </c>
    </row>
    <row r="26" ht="45" customHeight="1">
      <c r="A26" s="4" t="inlineStr">
        <is>
          <t>Housing support is the biggest program: $54,240 in May once its share of untied program costs and administration is added to $31,337 of grant spending. Shared costs add 73.1% on top of grant spending across all programs.</t>
        </is>
      </c>
    </row>
    <row r="27"/>
    <row r="28">
      <c r="A28" s="11" t="inlineStr">
        <is>
          <t>What you'd do about it</t>
        </is>
      </c>
    </row>
    <row r="29" ht="30" customHeight="1">
      <c r="A29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30"/>
    <row r="31">
      <c r="A31" s="5" t="inlineStr">
        <is>
          <t>Program: Housing support</t>
        </is>
      </c>
    </row>
    <row r="32">
      <c r="A32" s="11" t="inlineStr">
        <is>
          <t>What it shows</t>
        </is>
      </c>
    </row>
    <row r="33" ht="45" customHeight="1">
      <c r="A33" s="4" t="inlineStr">
        <is>
          <t>Housing support cost $54,240 in full in May: $31,337 paid by the State Housing Program grant, and $22,903 of shared costs no grant covers. It has spent 91.3% of its budget to date, with $223,091 left and 7 months to go.</t>
        </is>
      </c>
    </row>
    <row r="34"/>
    <row r="35">
      <c r="A35" s="11" t="inlineStr">
        <is>
          <t>What you'd do about it</t>
        </is>
      </c>
    </row>
    <row r="36" ht="30" customHeight="1">
      <c r="A36" s="4" t="inlineStr">
        <is>
          <t>The full cost is $54,240 a month; $22,903 of it is shared cost the grant doesn't pay for. Worth asking for as much of it as the funder allows at renewal.</t>
        </is>
      </c>
    </row>
    <row r="37"/>
    <row r="38">
      <c r="A38" s="5" t="inlineStr">
        <is>
          <t>Program: Youth outreach</t>
        </is>
      </c>
    </row>
    <row r="39">
      <c r="A39" s="11" t="inlineStr">
        <is>
          <t>What it shows</t>
        </is>
      </c>
    </row>
    <row r="40" ht="45" customHeight="1">
      <c r="A40" s="4" t="inlineStr">
        <is>
          <t>Youth outreach cost $36,649 in full in May: $21,174 paid by the State Department of Families grant, and $15,475 of shared costs no grant covers. It has spent 99.3% of its budget to date, with $261,640 left and 13 months to go.</t>
        </is>
      </c>
    </row>
    <row r="41"/>
    <row r="42">
      <c r="A42" s="11" t="inlineStr">
        <is>
          <t>What you'd do about it</t>
        </is>
      </c>
    </row>
    <row r="43" ht="30" customHeight="1">
      <c r="A43" s="4" t="inlineStr">
        <is>
          <t>The full cost is $36,649 a month; $15,475 of it is shared cost the grant doesn't pay for. Worth asking for as much of it as the funder allows at renewal.</t>
        </is>
      </c>
    </row>
    <row r="44"/>
    <row r="45">
      <c r="A45" s="5" t="inlineStr">
        <is>
          <t>Program: Mental health first aid</t>
        </is>
      </c>
    </row>
    <row r="46">
      <c r="A46" s="11" t="inlineStr">
        <is>
          <t>What it shows</t>
        </is>
      </c>
    </row>
    <row r="47" ht="45" customHeight="1">
      <c r="A47" s="4" t="inlineStr">
        <is>
          <t>Mental health first aid cost $15,491 in full in May: $8,950 paid by the Federal health program grant, and $6,541 of shared costs no grant covers. It has spent 92.7% of its budget to date, with $101,466 left and 10 months to go.</t>
        </is>
      </c>
    </row>
    <row r="48"/>
    <row r="49">
      <c r="A49" s="11" t="inlineStr">
        <is>
          <t>What you'd do about it</t>
        </is>
      </c>
    </row>
    <row r="50" ht="30" customHeight="1">
      <c r="A50" s="4" t="inlineStr">
        <is>
          <t>The full cost is $15,491 a month; $6,541 of it is shared cost the grant doesn't pay for. Worth asking for as much of it as the funder allows at renewal.</t>
        </is>
      </c>
    </row>
    <row r="51"/>
    <row r="52">
      <c r="A52" s="5" t="inlineStr">
        <is>
          <t>Program: Digital literacy</t>
        </is>
      </c>
    </row>
    <row r="53">
      <c r="A53" s="11" t="inlineStr">
        <is>
          <t>What it shows</t>
        </is>
      </c>
    </row>
    <row r="54" ht="45" customHeight="1">
      <c r="A54" s="4" t="inlineStr">
        <is>
          <t>Digital literacy cost $8,022 in full in May: $4,635 paid by the Philanthropic foundation grant, and $3,387 of shared costs no grant covers. It has spent 100.9% of its budget to date, with $49,629 left and 10 months to go.</t>
        </is>
      </c>
    </row>
    <row r="55"/>
    <row r="56">
      <c r="A56" s="11" t="inlineStr">
        <is>
          <t>What you'd do about it</t>
        </is>
      </c>
    </row>
    <row r="57" ht="30" customHeight="1">
      <c r="A57" s="4" t="inlineStr">
        <is>
          <t>The full cost is $8,022 a month; $3,387 of it is shared cost the grant doesn't pay for. Worth asking for as much of it as the funder allows at renewal.</t>
        </is>
      </c>
    </row>
    <row r="58"/>
    <row r="59">
      <c r="A59" s="5" t="inlineStr">
        <is>
          <t>Program: Community meals (2025-26)</t>
        </is>
      </c>
    </row>
    <row r="60">
      <c r="A60" s="11" t="inlineStr">
        <is>
          <t>What it shows</t>
        </is>
      </c>
    </row>
    <row r="61" ht="45" customHeight="1">
      <c r="A61" s="4" t="inlineStr">
        <is>
          <t>Community meals (2025-26) cost $6,058 in full in May: $3,500 paid by the Local council community grant grant, and $2,558 of shared costs no grant covers. It has spent 97.4% of its budget to date, with $4,700 left and 1 months to go.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The full cost is $6,058 a month; $2,558 of it is shared cost the grant doesn't pay for. Worth asking for as much of it as the funder allows at renewal.</t>
        </is>
      </c>
    </row>
    <row r="65"/>
    <row r="66">
      <c r="A66" s="5" t="inlineStr">
        <is>
          <t>Program: Volunteer coordinator</t>
        </is>
      </c>
    </row>
    <row r="67">
      <c r="A67" s="11" t="inlineStr">
        <is>
          <t>What it shows</t>
        </is>
      </c>
    </row>
    <row r="68" ht="45" customHeight="1">
      <c r="A68" s="4" t="inlineStr">
        <is>
          <t>Volunteer coordinator cost $4,585 in full in May: $2,649 paid by the State volunteering grant grant, and $1,936 of shared costs no grant covers. It has spent 101.5% of its budget to date, with $26,864 left and 9 months to go.</t>
        </is>
      </c>
    </row>
    <row r="69"/>
    <row r="70">
      <c r="A70" s="11" t="inlineStr">
        <is>
          <t>What you'd do about it</t>
        </is>
      </c>
    </row>
    <row r="71" ht="30" customHeight="1">
      <c r="A71" s="4" t="inlineStr">
        <is>
          <t>The full cost is $4,585 a month; $1,936 of it is shared cost the grant doesn't pay for. Worth asking for as much of it as the funder allows at renewal.</t>
        </is>
      </c>
    </row>
    <row r="72"/>
    <row r="73">
      <c r="A73" s="5" t="inlineStr">
        <is>
          <t>Every program at once</t>
        </is>
      </c>
    </row>
    <row r="74">
      <c r="A74" s="12" t="inlineStr">
        <is>
          <t>Grant spending, by month: every month is on the Data sheet.</t>
        </is>
      </c>
    </row>
    <row r="75"/>
    <row r="76"/>
  </sheetData>
  <mergeCells count="16">
    <mergeCell ref="A5:D5"/>
    <mergeCell ref="A40:D40"/>
    <mergeCell ref="A61:D61"/>
    <mergeCell ref="A6:D6"/>
    <mergeCell ref="A50:D50"/>
    <mergeCell ref="A68:D68"/>
    <mergeCell ref="A26:D26"/>
    <mergeCell ref="A54:D54"/>
    <mergeCell ref="A29:D29"/>
    <mergeCell ref="A64:D64"/>
    <mergeCell ref="A43:D43"/>
    <mergeCell ref="A57:D57"/>
    <mergeCell ref="A33:D33"/>
    <mergeCell ref="A71:D71"/>
    <mergeCell ref="A47:D47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4" min="0" max="16383" man="1"/>
    <brk id="45" min="0" max="16383" man="1"/>
    <brk id="6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5" t="inlineStr">
        <is>
          <t>Housing support: full cost, May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May 2026</t>
        </is>
      </c>
    </row>
    <row r="8">
      <c r="A8" t="inlineStr">
        <is>
          <t>Grant spending on the program</t>
        </is>
      </c>
      <c r="B8" s="13" t="n">
        <v>31337</v>
      </c>
    </row>
    <row r="9">
      <c r="A9" t="inlineStr">
        <is>
          <t>All grant-funded program spending</t>
        </is>
      </c>
      <c r="B9" s="13" t="n">
        <v>72245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17300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35500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May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May 2026</t>
        </is>
      </c>
    </row>
    <row r="21">
      <c r="A21" t="inlineStr">
        <is>
          <t>Grant spending on the program</t>
        </is>
      </c>
      <c r="B21" s="13" t="n">
        <v>21174</v>
      </c>
    </row>
    <row r="22">
      <c r="A22" t="inlineStr">
        <is>
          <t>All grant-funded program spending</t>
        </is>
      </c>
      <c r="B22" s="13" t="n">
        <v>72245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17300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35500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Mental health first aid: full cost, May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May 2026</t>
        </is>
      </c>
    </row>
    <row r="34">
      <c r="A34" t="inlineStr">
        <is>
          <t>Grant spending on the program</t>
        </is>
      </c>
      <c r="B34" s="13" t="n">
        <v>8950</v>
      </c>
    </row>
    <row r="35">
      <c r="A35" t="inlineStr">
        <is>
          <t>All grant-funded program spending</t>
        </is>
      </c>
      <c r="B35" s="13" t="n">
        <v>72245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17300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35500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May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May 2026</t>
        </is>
      </c>
    </row>
    <row r="47">
      <c r="A47" t="inlineStr">
        <is>
          <t>Grant spending on the program</t>
        </is>
      </c>
      <c r="B47" s="13" t="n">
        <v>4635</v>
      </c>
    </row>
    <row r="48">
      <c r="A48" t="inlineStr">
        <is>
          <t>All grant-funded program spending</t>
        </is>
      </c>
      <c r="B48" s="13" t="n">
        <v>72245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17300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35500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 (2025-26): full cost, May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May 2026</t>
        </is>
      </c>
    </row>
    <row r="60">
      <c r="A60" t="inlineStr">
        <is>
          <t>Grant spending on the program</t>
        </is>
      </c>
      <c r="B60" s="13" t="n">
        <v>3500</v>
      </c>
    </row>
    <row r="61">
      <c r="A61" t="inlineStr">
        <is>
          <t>All grant-funded program spending</t>
        </is>
      </c>
      <c r="B61" s="13" t="n">
        <v>72245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17300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35500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>
      <c r="A70" s="5" t="inlineStr">
        <is>
          <t>Volunteer coordinator: full cost, May</t>
        </is>
      </c>
    </row>
    <row r="71">
      <c r="A71" s="12" t="inlineStr">
        <is>
          <t>Grant spending + its share of untied program costs and administration (shared by grant spending)</t>
        </is>
      </c>
    </row>
    <row r="72">
      <c r="A72" s="7" t="inlineStr"/>
      <c r="B72" s="8" t="inlineStr">
        <is>
          <t>May 2026</t>
        </is>
      </c>
    </row>
    <row r="73">
      <c r="A73" t="inlineStr">
        <is>
          <t>Grant spending on the program</t>
        </is>
      </c>
      <c r="B73" s="13" t="n">
        <v>2649</v>
      </c>
    </row>
    <row r="74">
      <c r="A74" t="inlineStr">
        <is>
          <t>All grant-funded program spending</t>
        </is>
      </c>
      <c r="B74" s="13" t="n">
        <v>72245</v>
      </c>
    </row>
    <row r="75">
      <c r="A75" t="inlineStr">
        <is>
          <t>Share of program spending</t>
        </is>
      </c>
      <c r="B75" s="14">
        <f>B73/B74</f>
        <v/>
      </c>
    </row>
    <row r="76">
      <c r="A76" t="inlineStr">
        <is>
          <t>Untied program costs (all programs)</t>
        </is>
      </c>
      <c r="B76" s="13" t="n">
        <v>17300</v>
      </c>
    </row>
    <row r="77">
      <c r="A77" t="inlineStr">
        <is>
          <t>Share of untied program costs</t>
        </is>
      </c>
      <c r="B77" s="13">
        <f>B75*B76</f>
        <v/>
      </c>
    </row>
    <row r="78">
      <c r="A78" t="inlineStr">
        <is>
          <t>Administration (all)</t>
        </is>
      </c>
      <c r="B78" s="13" t="n">
        <v>35500</v>
      </c>
    </row>
    <row r="79">
      <c r="A79" t="inlineStr">
        <is>
          <t>Share of administration</t>
        </is>
      </c>
      <c r="B79" s="13">
        <f>B75*B78</f>
        <v/>
      </c>
    </row>
    <row r="80">
      <c r="A80" s="15" t="inlineStr">
        <is>
          <t>Full cost of the program</t>
        </is>
      </c>
      <c r="B80" s="16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t="inlineStr">
        <is>
          <t>All grant-funded program spending, May 2026</t>
        </is>
      </c>
      <c r="B5" s="9" t="n">
        <v>72245</v>
      </c>
    </row>
    <row r="6">
      <c r="A6" t="inlineStr">
        <is>
          <t>Untied program costs, May 2026 (all programs)</t>
        </is>
      </c>
      <c r="B6" s="9" t="n">
        <v>17300</v>
      </c>
    </row>
    <row r="7">
      <c r="A7" t="inlineStr">
        <is>
          <t>Administration, May 2026 (all)</t>
        </is>
      </c>
      <c r="B7" s="9" t="n">
        <v>35500</v>
      </c>
    </row>
    <row r="8"/>
    <row r="9">
      <c r="A9" s="7" t="inlineStr">
        <is>
          <t>Program</t>
        </is>
      </c>
      <c r="B9" s="8" t="inlineStr">
        <is>
          <t>Grant spending, May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31337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21174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Mental health first aid</t>
        </is>
      </c>
      <c r="B12" s="13" t="n">
        <v>8950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4635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 (2025-26)</t>
        </is>
      </c>
      <c r="B14" s="13" t="n">
        <v>3500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  <row r="15">
      <c r="A15" s="17" t="inlineStr">
        <is>
          <t>Volunteer coordinator</t>
        </is>
      </c>
      <c r="B15" s="13" t="n">
        <v>2649</v>
      </c>
      <c r="C15" s="14">
        <f>B15/$B$5</f>
        <v/>
      </c>
      <c r="D15" s="13">
        <f>C15*$B$6</f>
        <v/>
      </c>
      <c r="E15" s="13">
        <f>C15*$B$7</f>
        <v/>
      </c>
      <c r="F15" s="13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