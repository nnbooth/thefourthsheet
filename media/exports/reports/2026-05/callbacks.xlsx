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May">'Report'!$B$9</definedName>
    <definedName name="Median_wait_May">'Report'!$B$10</definedName>
    <definedName name="Enquiries_Ma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5" headerRowCount="1">
  <autoFilter ref="A5:G25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58.2% called back within 2 working hours in May (target 80.0%); median wait 91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May</t>
        </is>
      </c>
      <c r="B9" s="7">
        <f>Workings!B10</f>
        <v/>
      </c>
      <c r="C9" s="8" t="inlineStr">
        <is>
          <t>target 80.0% · April 58.9%</t>
        </is>
      </c>
    </row>
    <row r="10">
      <c r="A10" t="inlineStr">
        <is>
          <t>Median wait, May</t>
        </is>
      </c>
      <c r="B10" s="9">
        <f>Workings!B16</f>
        <v/>
      </c>
      <c r="C10" s="8" t="inlineStr">
        <is>
          <t>April 90 min (working minutes)</t>
        </is>
      </c>
    </row>
    <row r="11">
      <c r="A11" t="inlineStr">
        <is>
          <t>Enquiries, May</t>
        </is>
      </c>
      <c r="B11" s="9">
        <f>Workings!B25</f>
        <v/>
      </c>
      <c r="C11" s="8" t="inlineStr">
        <is>
          <t>April 95</t>
        </is>
      </c>
    </row>
    <row r="12"/>
    <row r="13">
      <c r="A13" s="10" t="inlineStr">
        <is>
          <t>Called back within 2 working hours, by channel, May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58.2% of the 110 enquiries called back in May heard back within 2 working hours (target 80.0%), down from 58.9% in April. The median wait was 91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24 more enquiries would have needed a faster callback to reach the 80.0% target. Web form enquiries are the slowest: 50.0%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13" t="inlineStr">
        <is>
          <t>Callbacks within 2 working hours, May and April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Called back</t>
        </is>
      </c>
      <c r="B8" s="14" t="n">
        <v>110</v>
      </c>
      <c r="C8" s="14" t="n">
        <v>95</v>
      </c>
    </row>
    <row r="9">
      <c r="A9" t="inlineStr">
        <is>
          <t>Within 2 working hours</t>
        </is>
      </c>
      <c r="B9" s="14" t="n">
        <v>64</v>
      </c>
      <c r="C9" s="14" t="n">
        <v>56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May and April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Median wait (working minutes)</t>
        </is>
      </c>
      <c r="B16" s="14" t="n">
        <v>91</v>
      </c>
      <c r="C16" s="14" t="n">
        <v>90</v>
      </c>
    </row>
    <row r="17">
      <c r="A17" s="15" t="inlineStr">
        <is>
          <t>Enquiries called back</t>
        </is>
      </c>
      <c r="B17" s="17" t="n">
        <v>110</v>
      </c>
      <c r="C17" s="17" t="n">
        <v>95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May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May 26</t>
        </is>
      </c>
    </row>
    <row r="24">
      <c r="A24" t="inlineStr">
        <is>
          <t>Enquiries</t>
        </is>
      </c>
      <c r="B24" s="14" t="n">
        <v>110</v>
      </c>
    </row>
    <row r="25">
      <c r="A25" t="inlineStr">
        <is>
          <t>Called back</t>
        </is>
      </c>
      <c r="B25" s="14" t="n">
        <v>110</v>
      </c>
    </row>
    <row r="26">
      <c r="A26" t="inlineStr">
        <is>
          <t>Called back within 2 working hours</t>
        </is>
      </c>
      <c r="B26" s="14" t="n">
        <v>64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91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May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May 2026</t>
        </is>
      </c>
    </row>
    <row r="35">
      <c r="A35" t="inlineStr">
        <is>
          <t>Called back</t>
        </is>
      </c>
      <c r="B35" s="14" t="n">
        <v>55</v>
      </c>
    </row>
    <row r="36">
      <c r="A36" t="inlineStr">
        <is>
          <t>Within 2 working hours</t>
        </is>
      </c>
      <c r="B36" s="14" t="n">
        <v>35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May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May 2026</t>
        </is>
      </c>
    </row>
    <row r="43">
      <c r="A43" t="inlineStr">
        <is>
          <t>Called back</t>
        </is>
      </c>
      <c r="B43" s="14" t="n">
        <v>40</v>
      </c>
    </row>
    <row r="44">
      <c r="A44" t="inlineStr">
        <is>
          <t>Within 2 working hours</t>
        </is>
      </c>
      <c r="B44" s="14" t="n">
        <v>20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May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May 2026</t>
        </is>
      </c>
    </row>
    <row r="51">
      <c r="A51" t="inlineStr">
        <is>
          <t>Called back</t>
        </is>
      </c>
      <c r="B51" s="14" t="n">
        <v>15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May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