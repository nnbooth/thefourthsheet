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People_helped_May">'Report'!$B$9</definedName>
    <definedName name="Couldn_t_reach_May">'Report'!$B$10</definedName>
    <definedName name="Share_reached_May">'Report'!$B$11</definedName>
    <definedName name="_xlnm.Print_Area" localSheetId="0">'Report'!$A$1:$D$41</definedName>
    <definedName name="_xlnm.Print_Area" localSheetId="1">'Workings'!$A$1:$C$66</definedName>
    <definedName name="_xlnm.Print_Titles" localSheetId="3">'Data'!$5:$5</definedName>
    <definedName name="_xlnm.Print_Area" localSheetId="3">'Data'!$A$1:$E$25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Share of people reached, by program, May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Share reached %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'Report'!$A$15:$A$19</f>
            </numRef>
          </cat>
          <val>
            <numRef>
              <f>'Report'!$B$15:$B$19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90.0%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.0465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1.0465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28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eople_helped_Data" displayName="people_helped_Data" ref="A5:E25" headerRowCount="1">
  <autoFilter ref="A5:E25"/>
  <tableColumns count="5">
    <tableColumn id="1" name="Month"/>
    <tableColumn id="2" name="Status"/>
    <tableColumn id="3" name="People helped"/>
    <tableColumn id="4" name="Couldn't reach"/>
    <tableColumn id="5" name="Share reache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people did you help this month, and how many couldn't you reach?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May 2026 · Data status: May 2026 locked (data retrieved 2pm, Tue 6 Oct 2026) · Generated 22 Oct 2026, 4:57pm</t>
        </is>
      </c>
    </row>
    <row r="4"/>
    <row r="5" ht="32" customHeight="1">
      <c r="A5" s="3" t="inlineStr">
        <is>
          <t>In short: 487 people helped in May; 62 couldn't be reached (88.7% reached, target 90.0%).</t>
        </is>
      </c>
    </row>
    <row r="6" ht="32" customHeight="1">
      <c r="A6" s="4" t="inlineStr">
        <is>
          <t>People helped by each program, day by day, and the people who came to a program but couldn't be helped (and why). People helped are counted against each program's own grant spend.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People helped, May</t>
        </is>
      </c>
      <c r="B9" s="7">
        <f>Workings!B8</f>
        <v/>
      </c>
      <c r="C9" s="8" t="inlineStr">
        <is>
          <t>April 491</t>
        </is>
      </c>
    </row>
    <row r="10">
      <c r="A10" t="inlineStr">
        <is>
          <t>Couldn't reach, May</t>
        </is>
      </c>
      <c r="B10" s="7">
        <f>Workings!B17</f>
        <v/>
      </c>
      <c r="C10" s="8" t="inlineStr">
        <is>
          <t>April 93</t>
        </is>
      </c>
    </row>
    <row r="11">
      <c r="A11" t="inlineStr">
        <is>
          <t>Share reached, May</t>
        </is>
      </c>
      <c r="B11" s="9">
        <f>Workings!B26</f>
        <v/>
      </c>
      <c r="C11" s="8" t="inlineStr">
        <is>
          <t>target 90.0%</t>
        </is>
      </c>
    </row>
    <row r="12"/>
    <row r="13">
      <c r="A13" s="10" t="inlineStr">
        <is>
          <t>Share of people reached, by program, May 2026</t>
        </is>
      </c>
    </row>
    <row r="14">
      <c r="A14" s="5" t="inlineStr"/>
      <c r="B14" s="6" t="inlineStr">
        <is>
          <t>Share reached %</t>
        </is>
      </c>
      <c r="C14" s="6" t="inlineStr">
        <is>
          <t>People helped</t>
        </is>
      </c>
    </row>
    <row r="15">
      <c r="A15" t="inlineStr">
        <is>
          <t>Community meals</t>
        </is>
      </c>
      <c r="B15" s="9">
        <f>Workings!B34</f>
        <v/>
      </c>
      <c r="C15" s="7">
        <f>Workings!B32</f>
        <v/>
      </c>
    </row>
    <row r="16">
      <c r="A16" t="inlineStr">
        <is>
          <t>Youth outreach</t>
        </is>
      </c>
      <c r="B16" s="9">
        <f>Workings!B42</f>
        <v/>
      </c>
      <c r="C16" s="7">
        <f>Workings!B40</f>
        <v/>
      </c>
    </row>
    <row r="17">
      <c r="A17" t="inlineStr">
        <is>
          <t>Housing support</t>
        </is>
      </c>
      <c r="B17" s="9">
        <f>Workings!B50</f>
        <v/>
      </c>
      <c r="C17" s="7">
        <f>Workings!B48</f>
        <v/>
      </c>
    </row>
    <row r="18">
      <c r="A18" t="inlineStr">
        <is>
          <t>Mental health first aid</t>
        </is>
      </c>
      <c r="B18" s="9">
        <f>Workings!B58</f>
        <v/>
      </c>
      <c r="C18" s="7">
        <f>Workings!B56</f>
        <v/>
      </c>
    </row>
    <row r="19">
      <c r="A19" t="inlineStr">
        <is>
          <t>Digital literacy</t>
        </is>
      </c>
      <c r="B19" s="9">
        <f>Workings!B66</f>
        <v/>
      </c>
      <c r="C19" s="7">
        <f>Workings!B64</f>
        <v/>
      </c>
    </row>
    <row r="20"/>
    <row r="21"/>
    <row r="22"/>
    <row r="23"/>
    <row r="24"/>
    <row r="25"/>
    <row r="26"/>
    <row r="27">
      <c r="A27" s="11" t="inlineStr">
        <is>
          <t>People helped by month: every month is on the Data sheet.</t>
        </is>
      </c>
    </row>
    <row r="28"/>
    <row r="29">
      <c r="A29" s="10" t="inlineStr">
        <is>
          <t>Why people couldn't be helped, May 2026</t>
        </is>
      </c>
    </row>
    <row r="30">
      <c r="A30" s="5" t="inlineStr">
        <is>
          <t>Main reason</t>
        </is>
      </c>
      <c r="B30" s="6" t="inlineStr">
        <is>
          <t>People</t>
        </is>
      </c>
    </row>
    <row r="31">
      <c r="A31" s="12" t="inlineStr">
        <is>
          <t>Program at capacity</t>
        </is>
      </c>
      <c r="B31" s="13" t="inlineStr">
        <is>
          <t>22</t>
        </is>
      </c>
    </row>
    <row r="32">
      <c r="A32" s="12" t="inlineStr">
        <is>
          <t>Waitlist</t>
        </is>
      </c>
      <c r="B32" s="13" t="inlineStr">
        <is>
          <t>19</t>
        </is>
      </c>
    </row>
    <row r="33">
      <c r="A33" s="12" t="inlineStr">
        <is>
          <t>Couldn't make contact</t>
        </is>
      </c>
      <c r="B33" s="13" t="inlineStr">
        <is>
          <t>10</t>
        </is>
      </c>
    </row>
    <row r="34">
      <c r="A34" s="12" t="inlineStr">
        <is>
          <t>Not eligible</t>
        </is>
      </c>
      <c r="B34" s="13" t="inlineStr">
        <is>
          <t>6</t>
        </is>
      </c>
    </row>
    <row r="35">
      <c r="A35" s="12" t="inlineStr">
        <is>
          <t>Outside the service area</t>
        </is>
      </c>
      <c r="B35" s="13" t="inlineStr">
        <is>
          <t>5</t>
        </is>
      </c>
    </row>
    <row r="36"/>
    <row r="37">
      <c r="A37" s="14" t="inlineStr">
        <is>
          <t>What it shows</t>
        </is>
      </c>
    </row>
    <row r="38" ht="30" customHeight="1">
      <c r="A38" s="4" t="inlineStr">
        <is>
          <t>487 people were helped in May, and 62 came to a program but couldn't be helped: 88.7% reached (target 90.0%), against 84.1% in April.</t>
        </is>
      </c>
    </row>
    <row r="39"/>
    <row r="40">
      <c r="A40" s="14" t="inlineStr">
        <is>
          <t>What you'd do about it</t>
        </is>
      </c>
    </row>
    <row r="41" ht="30" customHeight="1">
      <c r="A41" s="4" t="inlineStr">
        <is>
          <t>Digital literacy reached the smallest share: 83.1% (10 couldn't be helped). The main reason: program at capacity (22 people).</t>
        </is>
      </c>
    </row>
    <row r="42"/>
    <row r="43"/>
  </sheetData>
  <mergeCells count="4">
    <mergeCell ref="A5:D5"/>
    <mergeCell ref="A41:D41"/>
    <mergeCell ref="A38:D38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May 2026 · Data status: May 2026 locked (data retrieved 2pm, Tue 6 Oct 2026) · Generated 22 Oct 2026, 4:57pm</t>
        </is>
      </c>
    </row>
    <row r="4"/>
    <row r="5">
      <c r="A5" s="15" t="inlineStr">
        <is>
          <t>People helped, May and April</t>
        </is>
      </c>
    </row>
    <row r="6">
      <c r="A6" s="11" t="inlineStr">
        <is>
          <t>Helped ÷ (helped + couldn't reach)</t>
        </is>
      </c>
    </row>
    <row r="7">
      <c r="A7" s="5" t="inlineStr"/>
      <c r="B7" s="6" t="inlineStr">
        <is>
          <t>May 26</t>
        </is>
      </c>
      <c r="C7" s="6" t="inlineStr">
        <is>
          <t>Apr 26</t>
        </is>
      </c>
    </row>
    <row r="8">
      <c r="A8" t="inlineStr">
        <is>
          <t>People helped</t>
        </is>
      </c>
      <c r="B8" s="16" t="n">
        <v>487</v>
      </c>
      <c r="C8" s="16" t="n">
        <v>491</v>
      </c>
    </row>
    <row r="9">
      <c r="A9" t="inlineStr">
        <is>
          <t>People not reached</t>
        </is>
      </c>
      <c r="B9" s="16" t="n">
        <v>62</v>
      </c>
      <c r="C9" s="16" t="n">
        <v>93</v>
      </c>
    </row>
    <row r="10">
      <c r="A10" s="17" t="inlineStr">
        <is>
          <t>Share reached</t>
        </is>
      </c>
      <c r="B10" s="18">
        <f>B8/(B8+B9)</f>
        <v/>
      </c>
      <c r="C10" s="18">
        <f>C8/(C8+C9)</f>
        <v/>
      </c>
    </row>
    <row r="11"/>
    <row r="12"/>
    <row r="13">
      <c r="A13" s="15" t="inlineStr">
        <is>
          <t>People helped, May and April</t>
        </is>
      </c>
    </row>
    <row r="14">
      <c r="A14" s="11" t="inlineStr">
        <is>
          <t>Helped ÷ (helped + couldn't reach)</t>
        </is>
      </c>
    </row>
    <row r="15">
      <c r="A15" s="5" t="inlineStr"/>
      <c r="B15" s="6" t="inlineStr">
        <is>
          <t>May 26</t>
        </is>
      </c>
      <c r="C15" s="6" t="inlineStr">
        <is>
          <t>Apr 26</t>
        </is>
      </c>
    </row>
    <row r="16">
      <c r="A16" t="inlineStr">
        <is>
          <t>People helped</t>
        </is>
      </c>
      <c r="B16" s="16" t="n">
        <v>487</v>
      </c>
      <c r="C16" s="16" t="n">
        <v>491</v>
      </c>
    </row>
    <row r="17">
      <c r="A17" t="inlineStr">
        <is>
          <t>People not reached</t>
        </is>
      </c>
      <c r="B17" s="16" t="n">
        <v>62</v>
      </c>
      <c r="C17" s="16" t="n">
        <v>93</v>
      </c>
    </row>
    <row r="18">
      <c r="A18" s="17" t="inlineStr">
        <is>
          <t>Share reached</t>
        </is>
      </c>
      <c r="B18" s="18">
        <f>B16/(B16+B17)</f>
        <v/>
      </c>
      <c r="C18" s="18">
        <f>C16/(C16+C17)</f>
        <v/>
      </c>
    </row>
    <row r="19"/>
    <row r="20"/>
    <row r="21">
      <c r="A21" s="15" t="inlineStr">
        <is>
          <t>People helped, May and April</t>
        </is>
      </c>
    </row>
    <row r="22">
      <c r="A22" s="11" t="inlineStr">
        <is>
          <t>Helped ÷ (helped + couldn't reach)</t>
        </is>
      </c>
    </row>
    <row r="23">
      <c r="A23" s="5" t="inlineStr"/>
      <c r="B23" s="6" t="inlineStr">
        <is>
          <t>May 26</t>
        </is>
      </c>
      <c r="C23" s="6" t="inlineStr">
        <is>
          <t>Apr 26</t>
        </is>
      </c>
    </row>
    <row r="24">
      <c r="A24" t="inlineStr">
        <is>
          <t>People helped</t>
        </is>
      </c>
      <c r="B24" s="16" t="n">
        <v>487</v>
      </c>
      <c r="C24" s="16" t="n">
        <v>491</v>
      </c>
    </row>
    <row r="25">
      <c r="A25" t="inlineStr">
        <is>
          <t>People not reached</t>
        </is>
      </c>
      <c r="B25" s="16" t="n">
        <v>62</v>
      </c>
      <c r="C25" s="16" t="n">
        <v>93</v>
      </c>
    </row>
    <row r="26">
      <c r="A26" s="17" t="inlineStr">
        <is>
          <t>Share reached</t>
        </is>
      </c>
      <c r="B26" s="18">
        <f>B24/(B24+B25)</f>
        <v/>
      </c>
      <c r="C26" s="18">
        <f>C24/(C24+C25)</f>
        <v/>
      </c>
    </row>
    <row r="27"/>
    <row r="28"/>
    <row r="29">
      <c r="A29" s="15" t="inlineStr">
        <is>
          <t>Community meals, May 2026</t>
        </is>
      </c>
    </row>
    <row r="30">
      <c r="A30" s="11" t="inlineStr">
        <is>
          <t>Helped ÷ (helped + couldn't reach)</t>
        </is>
      </c>
    </row>
    <row r="31">
      <c r="A31" s="5" t="inlineStr"/>
      <c r="B31" s="6" t="inlineStr">
        <is>
          <t>May 2026</t>
        </is>
      </c>
    </row>
    <row r="32">
      <c r="A32" t="inlineStr">
        <is>
          <t>People helped</t>
        </is>
      </c>
      <c r="B32" s="16" t="n">
        <v>159</v>
      </c>
    </row>
    <row r="33">
      <c r="A33" t="inlineStr">
        <is>
          <t>Couldn't reach</t>
        </is>
      </c>
      <c r="B33" s="16" t="n">
        <v>19</v>
      </c>
    </row>
    <row r="34">
      <c r="A34" s="17" t="inlineStr">
        <is>
          <t>Share reached</t>
        </is>
      </c>
      <c r="B34" s="18">
        <f>B32/(B32+B33)</f>
        <v/>
      </c>
    </row>
    <row r="35"/>
    <row r="36"/>
    <row r="37">
      <c r="A37" s="15" t="inlineStr">
        <is>
          <t>Youth outreach, May 2026</t>
        </is>
      </c>
    </row>
    <row r="38">
      <c r="A38" s="11" t="inlineStr">
        <is>
          <t>Helped ÷ (helped + couldn't reach)</t>
        </is>
      </c>
    </row>
    <row r="39">
      <c r="A39" s="5" t="inlineStr"/>
      <c r="B39" s="6" t="inlineStr">
        <is>
          <t>May 2026</t>
        </is>
      </c>
    </row>
    <row r="40">
      <c r="A40" t="inlineStr">
        <is>
          <t>People helped</t>
        </is>
      </c>
      <c r="B40" s="16" t="n">
        <v>114</v>
      </c>
    </row>
    <row r="41">
      <c r="A41" t="inlineStr">
        <is>
          <t>Couldn't reach</t>
        </is>
      </c>
      <c r="B41" s="16" t="n">
        <v>16</v>
      </c>
    </row>
    <row r="42">
      <c r="A42" s="17" t="inlineStr">
        <is>
          <t>Share reached</t>
        </is>
      </c>
      <c r="B42" s="18">
        <f>B40/(B40+B41)</f>
        <v/>
      </c>
    </row>
    <row r="43"/>
    <row r="44"/>
    <row r="45">
      <c r="A45" s="15" t="inlineStr">
        <is>
          <t>Housing support, May 2026</t>
        </is>
      </c>
    </row>
    <row r="46">
      <c r="A46" s="11" t="inlineStr">
        <is>
          <t>Helped ÷ (helped + couldn't reach)</t>
        </is>
      </c>
    </row>
    <row r="47">
      <c r="A47" s="5" t="inlineStr"/>
      <c r="B47" s="6" t="inlineStr">
        <is>
          <t>May 2026</t>
        </is>
      </c>
    </row>
    <row r="48">
      <c r="A48" t="inlineStr">
        <is>
          <t>People helped</t>
        </is>
      </c>
      <c r="B48" s="16" t="n">
        <v>101</v>
      </c>
    </row>
    <row r="49">
      <c r="A49" t="inlineStr">
        <is>
          <t>Couldn't reach</t>
        </is>
      </c>
      <c r="B49" s="16" t="n">
        <v>10</v>
      </c>
    </row>
    <row r="50">
      <c r="A50" s="17" t="inlineStr">
        <is>
          <t>Share reached</t>
        </is>
      </c>
      <c r="B50" s="18">
        <f>B48/(B48+B49)</f>
        <v/>
      </c>
    </row>
    <row r="51"/>
    <row r="52"/>
    <row r="53">
      <c r="A53" s="15" t="inlineStr">
        <is>
          <t>Mental health first aid, May 2026</t>
        </is>
      </c>
    </row>
    <row r="54">
      <c r="A54" s="11" t="inlineStr">
        <is>
          <t>Helped ÷ (helped + couldn't reach)</t>
        </is>
      </c>
    </row>
    <row r="55">
      <c r="A55" s="5" t="inlineStr"/>
      <c r="B55" s="6" t="inlineStr">
        <is>
          <t>May 2026</t>
        </is>
      </c>
    </row>
    <row r="56">
      <c r="A56" t="inlineStr">
        <is>
          <t>People helped</t>
        </is>
      </c>
      <c r="B56" s="16" t="n">
        <v>64</v>
      </c>
    </row>
    <row r="57">
      <c r="A57" t="inlineStr">
        <is>
          <t>Couldn't reach</t>
        </is>
      </c>
      <c r="B57" s="16" t="n">
        <v>7</v>
      </c>
    </row>
    <row r="58">
      <c r="A58" s="17" t="inlineStr">
        <is>
          <t>Share reached</t>
        </is>
      </c>
      <c r="B58" s="18">
        <f>B56/(B56+B57)</f>
        <v/>
      </c>
    </row>
    <row r="59"/>
    <row r="60"/>
    <row r="61">
      <c r="A61" s="15" t="inlineStr">
        <is>
          <t>Digital literacy, May 2026</t>
        </is>
      </c>
    </row>
    <row r="62">
      <c r="A62" s="11" t="inlineStr">
        <is>
          <t>Helped ÷ (helped + couldn't reach)</t>
        </is>
      </c>
    </row>
    <row r="63">
      <c r="A63" s="5" t="inlineStr"/>
      <c r="B63" s="6" t="inlineStr">
        <is>
          <t>May 2026</t>
        </is>
      </c>
    </row>
    <row r="64">
      <c r="A64" t="inlineStr">
        <is>
          <t>People helped</t>
        </is>
      </c>
      <c r="B64" s="16" t="n">
        <v>49</v>
      </c>
    </row>
    <row r="65">
      <c r="A65" t="inlineStr">
        <is>
          <t>Couldn't reach</t>
        </is>
      </c>
      <c r="B65" s="16" t="n">
        <v>10</v>
      </c>
    </row>
    <row r="66">
      <c r="A66" s="17" t="inlineStr">
        <is>
          <t>Share reached</t>
        </is>
      </c>
      <c r="B66" s="18">
        <f>B64/(B64+B65)</f>
        <v/>
      </c>
    </row>
    <row r="67"/>
    <row r="68"/>
    <row r="69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8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Share of people reached, by program, May 2026: Target 90.0%</t>
        </is>
      </c>
    </row>
    <row r="4">
      <c r="B4" t="n">
        <v>0.9</v>
      </c>
      <c r="C4" t="n">
        <v>0</v>
      </c>
    </row>
    <row r="5">
      <c r="B5" t="n">
        <v>0.9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May 2026 · Data status: May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People helped</t>
        </is>
      </c>
      <c r="D5" s="6" t="inlineStr">
        <is>
          <t>Couldn't reach</t>
        </is>
      </c>
      <c r="E5" s="6" t="inlineStr">
        <is>
          <t>Share reached</t>
        </is>
      </c>
    </row>
    <row r="6">
      <c r="A6" s="19" t="inlineStr">
        <is>
          <t>Oct 24</t>
        </is>
      </c>
      <c r="B6" s="19" t="inlineStr">
        <is>
          <t>Locked</t>
        </is>
      </c>
      <c r="C6" s="16" t="n">
        <v>175</v>
      </c>
      <c r="D6" s="16" t="n">
        <v>12</v>
      </c>
      <c r="E6" s="20">
        <f>IF(C6+D6=0,"",C6/(C6+D6))</f>
        <v/>
      </c>
    </row>
    <row r="7">
      <c r="A7" s="19" t="inlineStr">
        <is>
          <t>Nov 24</t>
        </is>
      </c>
      <c r="B7" s="19" t="inlineStr">
        <is>
          <t>Locked</t>
        </is>
      </c>
      <c r="C7" s="16" t="n">
        <v>211</v>
      </c>
      <c r="D7" s="16" t="n">
        <v>12</v>
      </c>
      <c r="E7" s="20">
        <f>IF(C7+D7=0,"",C7/(C7+D7))</f>
        <v/>
      </c>
    </row>
    <row r="8">
      <c r="A8" s="19" t="inlineStr">
        <is>
          <t>Dec 24</t>
        </is>
      </c>
      <c r="B8" s="19" t="inlineStr">
        <is>
          <t>Locked</t>
        </is>
      </c>
      <c r="C8" s="16" t="n">
        <v>195</v>
      </c>
      <c r="D8" s="16" t="n">
        <v>20</v>
      </c>
      <c r="E8" s="20">
        <f>IF(C8+D8=0,"",C8/(C8+D8))</f>
        <v/>
      </c>
    </row>
    <row r="9">
      <c r="A9" s="19" t="inlineStr">
        <is>
          <t>Jan 25</t>
        </is>
      </c>
      <c r="B9" s="19" t="inlineStr">
        <is>
          <t>Locked</t>
        </is>
      </c>
      <c r="C9" s="16" t="n">
        <v>308</v>
      </c>
      <c r="D9" s="16" t="n">
        <v>27</v>
      </c>
      <c r="E9" s="20">
        <f>IF(C9+D9=0,"",C9/(C9+D9))</f>
        <v/>
      </c>
    </row>
    <row r="10">
      <c r="A10" s="19" t="inlineStr">
        <is>
          <t>Feb 25</t>
        </is>
      </c>
      <c r="B10" s="19" t="inlineStr">
        <is>
          <t>Locked</t>
        </is>
      </c>
      <c r="C10" s="16" t="n">
        <v>297</v>
      </c>
      <c r="D10" s="16" t="n">
        <v>20</v>
      </c>
      <c r="E10" s="20">
        <f>IF(C10+D10=0,"",C10/(C10+D10))</f>
        <v/>
      </c>
    </row>
    <row r="11">
      <c r="A11" s="19" t="inlineStr">
        <is>
          <t>Mar 25</t>
        </is>
      </c>
      <c r="B11" s="19" t="inlineStr">
        <is>
          <t>Locked</t>
        </is>
      </c>
      <c r="C11" s="16" t="n">
        <v>278</v>
      </c>
      <c r="D11" s="16" t="n">
        <v>25</v>
      </c>
      <c r="E11" s="20">
        <f>IF(C11+D11=0,"",C11/(C11+D11))</f>
        <v/>
      </c>
    </row>
    <row r="12">
      <c r="A12" s="19" t="inlineStr">
        <is>
          <t>Apr 25</t>
        </is>
      </c>
      <c r="B12" s="19" t="inlineStr">
        <is>
          <t>Locked</t>
        </is>
      </c>
      <c r="C12" s="16" t="n">
        <v>314</v>
      </c>
      <c r="D12" s="16" t="n">
        <v>25</v>
      </c>
      <c r="E12" s="20">
        <f>IF(C12+D12=0,"",C12/(C12+D12))</f>
        <v/>
      </c>
    </row>
    <row r="13">
      <c r="A13" s="19" t="inlineStr">
        <is>
          <t>May 25</t>
        </is>
      </c>
      <c r="B13" s="19" t="inlineStr">
        <is>
          <t>Locked</t>
        </is>
      </c>
      <c r="C13" s="16" t="n">
        <v>305</v>
      </c>
      <c r="D13" s="16" t="n">
        <v>34</v>
      </c>
      <c r="E13" s="20">
        <f>IF(C13+D13=0,"",C13/(C13+D13))</f>
        <v/>
      </c>
    </row>
    <row r="14">
      <c r="A14" s="19" t="inlineStr">
        <is>
          <t>Jun 25</t>
        </is>
      </c>
      <c r="B14" s="19" t="inlineStr">
        <is>
          <t>Locked</t>
        </is>
      </c>
      <c r="C14" s="16" t="n">
        <v>265</v>
      </c>
      <c r="D14" s="16" t="n">
        <v>32</v>
      </c>
      <c r="E14" s="20">
        <f>IF(C14+D14=0,"",C14/(C14+D14))</f>
        <v/>
      </c>
    </row>
    <row r="15">
      <c r="A15" s="19" t="inlineStr">
        <is>
          <t>Jul 25</t>
        </is>
      </c>
      <c r="B15" s="19" t="inlineStr">
        <is>
          <t>Locked</t>
        </is>
      </c>
      <c r="C15" s="16" t="n">
        <v>425</v>
      </c>
      <c r="D15" s="16" t="n">
        <v>68</v>
      </c>
      <c r="E15" s="20">
        <f>IF(C15+D15=0,"",C15/(C15+D15))</f>
        <v/>
      </c>
    </row>
    <row r="16">
      <c r="A16" s="19" t="inlineStr">
        <is>
          <t>Aug 25</t>
        </is>
      </c>
      <c r="B16" s="19" t="inlineStr">
        <is>
          <t>Locked</t>
        </is>
      </c>
      <c r="C16" s="16" t="n">
        <v>446</v>
      </c>
      <c r="D16" s="16" t="n">
        <v>65</v>
      </c>
      <c r="E16" s="20">
        <f>IF(C16+D16=0,"",C16/(C16+D16))</f>
        <v/>
      </c>
    </row>
    <row r="17">
      <c r="A17" s="19" t="inlineStr">
        <is>
          <t>Sep 25</t>
        </is>
      </c>
      <c r="B17" s="19" t="inlineStr">
        <is>
          <t>Locked</t>
        </is>
      </c>
      <c r="C17" s="16" t="n">
        <v>474</v>
      </c>
      <c r="D17" s="16" t="n">
        <v>55</v>
      </c>
      <c r="E17" s="20">
        <f>IF(C17+D17=0,"",C17/(C17+D17))</f>
        <v/>
      </c>
    </row>
    <row r="18">
      <c r="A18" s="19" t="inlineStr">
        <is>
          <t>Oct 25</t>
        </is>
      </c>
      <c r="B18" s="19" t="inlineStr">
        <is>
          <t>Locked</t>
        </is>
      </c>
      <c r="C18" s="16" t="n">
        <v>506</v>
      </c>
      <c r="D18" s="16" t="n">
        <v>50</v>
      </c>
      <c r="E18" s="20">
        <f>IF(C18+D18=0,"",C18/(C18+D18))</f>
        <v/>
      </c>
    </row>
    <row r="19">
      <c r="A19" s="19" t="inlineStr">
        <is>
          <t>Nov 25</t>
        </is>
      </c>
      <c r="B19" s="19" t="inlineStr">
        <is>
          <t>Locked</t>
        </is>
      </c>
      <c r="C19" s="16" t="n">
        <v>495</v>
      </c>
      <c r="D19" s="16" t="n">
        <v>52</v>
      </c>
      <c r="E19" s="20">
        <f>IF(C19+D19=0,"",C19/(C19+D19))</f>
        <v/>
      </c>
    </row>
    <row r="20">
      <c r="A20" s="19" t="inlineStr">
        <is>
          <t>Dec 25</t>
        </is>
      </c>
      <c r="B20" s="19" t="inlineStr">
        <is>
          <t>Locked</t>
        </is>
      </c>
      <c r="C20" s="16" t="n">
        <v>521</v>
      </c>
      <c r="D20" s="16" t="n">
        <v>43</v>
      </c>
      <c r="E20" s="20">
        <f>IF(C20+D20=0,"",C20/(C20+D20))</f>
        <v/>
      </c>
    </row>
    <row r="21">
      <c r="A21" s="19" t="inlineStr">
        <is>
          <t>Jan 26</t>
        </is>
      </c>
      <c r="B21" s="19" t="inlineStr">
        <is>
          <t>Locked</t>
        </is>
      </c>
      <c r="C21" s="16" t="n">
        <v>427</v>
      </c>
      <c r="D21" s="16" t="n">
        <v>49</v>
      </c>
      <c r="E21" s="20">
        <f>IF(C21+D21=0,"",C21/(C21+D21))</f>
        <v/>
      </c>
    </row>
    <row r="22">
      <c r="A22" s="19" t="inlineStr">
        <is>
          <t>Feb 26</t>
        </is>
      </c>
      <c r="B22" s="19" t="inlineStr">
        <is>
          <t>Locked</t>
        </is>
      </c>
      <c r="C22" s="16" t="n">
        <v>396</v>
      </c>
      <c r="D22" s="16" t="n">
        <v>43</v>
      </c>
      <c r="E22" s="20">
        <f>IF(C22+D22=0,"",C22/(C22+D22))</f>
        <v/>
      </c>
    </row>
    <row r="23">
      <c r="A23" s="19" t="inlineStr">
        <is>
          <t>Mar 26</t>
        </is>
      </c>
      <c r="B23" s="19" t="inlineStr">
        <is>
          <t>Locked</t>
        </is>
      </c>
      <c r="C23" s="16" t="n">
        <v>412</v>
      </c>
      <c r="D23" s="16" t="n">
        <v>69</v>
      </c>
      <c r="E23" s="20">
        <f>IF(C23+D23=0,"",C23/(C23+D23))</f>
        <v/>
      </c>
    </row>
    <row r="24">
      <c r="A24" s="19" t="inlineStr">
        <is>
          <t>Apr 26</t>
        </is>
      </c>
      <c r="B24" s="19" t="inlineStr">
        <is>
          <t>Locked</t>
        </is>
      </c>
      <c r="C24" s="16" t="n">
        <v>491</v>
      </c>
      <c r="D24" s="16" t="n">
        <v>93</v>
      </c>
      <c r="E24" s="20">
        <f>IF(C24+D24=0,"",C24/(C24+D24))</f>
        <v/>
      </c>
    </row>
    <row r="25">
      <c r="A25" s="19" t="inlineStr">
        <is>
          <t>May 26</t>
        </is>
      </c>
      <c r="B25" s="19" t="inlineStr">
        <is>
          <t>Locked</t>
        </is>
      </c>
      <c r="C25" s="16" t="n">
        <v>487</v>
      </c>
      <c r="D25" s="16" t="n">
        <v>62</v>
      </c>
      <c r="E25" s="20">
        <f>IF(C25+D25=0,"",C25/(C25+D25))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2026-10-22T06:58:31Z</dcterms:created>
  <dcterms:modified xmlns:dcterms="http://purl.org/dc/terms/" xmlns:xsi="http://www.w3.org/2001/XMLSchema-instance" xsi:type="dcterms:W3CDTF">2026-10-22T06:58:31Z</dcterms:modified>
</cp:coreProperties>
</file>