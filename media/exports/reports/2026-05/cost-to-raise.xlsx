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May_all_fundraising">'Report'!$B$10</definedName>
    <definedName name="Year_to_date_Jul_to_May_2026">'Report'!$B$11</definedName>
    <definedName name="May_Grants">'Report'!$B$35</definedName>
    <definedName name="Year_to_date_Jul_to_May_2026_2">'Report'!$B$36</definedName>
    <definedName name="May_Donations">'Report'!$B$46</definedName>
    <definedName name="Year_to_date_Jul_to_May_2026_3">'Report'!$B$47</definedName>
    <definedName name="May_Fundraising_events">'Report'!$B$57</definedName>
    <definedName name="Year_to_date_Jul_to_May_2026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May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'Data'!$A$6:$A$25</f>
            </numRef>
          </cat>
          <val>
            <numRef>
              <f>'Data'!$C$6:$C$25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5" headerRowCount="1">
  <autoFilter ref="A5:I25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 ht="32" customHeight="1">
      <c r="A5" s="3" t="inlineStr">
        <is>
          <t>In short: Each dollar raised cost 10¢ in May, and 13¢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May · all fundraising</t>
        </is>
      </c>
      <c r="B10" s="8">
        <f>Workings!B10</f>
        <v/>
      </c>
      <c r="C10" s="9" t="inlineStr">
        <is>
          <t>April 11¢</t>
        </is>
      </c>
    </row>
    <row r="11">
      <c r="A11" t="inlineStr">
        <is>
          <t>Year to date (Jul to May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May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13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May cost 10¢ to raise each dollar, against 11¢ in April. This financial year to date it has cost 13¢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May · Grants</t>
        </is>
      </c>
      <c r="B35" s="8">
        <f>Workings!B39</f>
        <v/>
      </c>
      <c r="C35" s="9" t="inlineStr">
        <is>
          <t>April 11¢</t>
        </is>
      </c>
    </row>
    <row r="36">
      <c r="A36" t="inlineStr">
        <is>
          <t>Year to date (Jul to May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($78,100 of grant writing and reporting for $699,210).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May · Donations</t>
        </is>
      </c>
      <c r="B46" s="8">
        <f>Workings!B56</f>
        <v/>
      </c>
      <c r="C46" s="9" t="inlineStr">
        <is>
          <t>April 13¢</t>
        </is>
      </c>
    </row>
    <row r="47">
      <c r="A47" t="inlineStr">
        <is>
          <t>Year to date (Jul to May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($27,300 of donor campaigns for $185,800).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May · Fundraising events</t>
        </is>
      </c>
      <c r="B57" t="inlineStr">
        <is>
          <t>–</t>
        </is>
      </c>
      <c r="C57" s="9" t="inlineStr">
        <is>
          <t>April none raised</t>
        </is>
      </c>
    </row>
    <row r="58">
      <c r="A58" t="inlineStr">
        <is>
          <t>Year to date (Jul to May 2026)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5" t="inlineStr">
        <is>
          <t>Cost to raise a dollar, all fundraising, May and April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May 26</t>
        </is>
      </c>
      <c r="C7" s="7" t="inlineStr">
        <is>
          <t>Apr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88845</v>
      </c>
      <c r="C9" s="13" t="n">
        <v>83329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123200</v>
      </c>
    </row>
    <row r="17">
      <c r="A17" t="inlineStr">
        <is>
          <t>Raised, year to date</t>
        </is>
      </c>
      <c r="B17" s="13" t="n">
        <v>928010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May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May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72245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16600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May. </t>
        </is>
      </c>
    </row>
    <row r="32"/>
    <row r="33"/>
    <row r="34">
      <c r="A34" s="5" t="inlineStr">
        <is>
          <t>Cost to raise a dollar, grants, May and April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May 26</t>
        </is>
      </c>
      <c r="C36" s="7" t="inlineStr">
        <is>
          <t>Apr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72245</v>
      </c>
      <c r="C38" s="13" t="n">
        <v>66729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78100</v>
      </c>
    </row>
    <row r="46">
      <c r="A46" t="inlineStr">
        <is>
          <t>Raised, year to date</t>
        </is>
      </c>
      <c r="B46" s="13" t="n">
        <v>699210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May and April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May 26</t>
        </is>
      </c>
      <c r="C53" s="7" t="inlineStr">
        <is>
          <t>Apr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16600</v>
      </c>
      <c r="C55" s="13" t="n">
        <v>16600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27300</v>
      </c>
    </row>
    <row r="63">
      <c r="A63" t="inlineStr">
        <is>
          <t>Raised, year to date</t>
        </is>
      </c>
      <c r="B63" s="13" t="n">
        <v>185800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May and April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May 26</t>
        </is>
      </c>
      <c r="C70" s="7" t="inlineStr">
        <is>
          <t>Apr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May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