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Runway_now">'Report'!$B$9</definedName>
    <definedName name="Target">'Report'!$B$10</definedName>
    <definedName name="Gap">'Report'!$B$11</definedName>
    <definedName name="Runway_in_August">'Report'!$B$12</definedName>
    <definedName name="_xlnm.Print_Area" localSheetId="0">'Report'!$A$1:$D$20</definedName>
    <definedName name="_xlnm.Print_Area" localSheetId="1">'Workings'!$A$1:$B$48</definedName>
    <definedName name="_xlnm.Print_Titles" localSheetId="2">'Data'!$5:$5</definedName>
    <definedName name="_xlnm.Print_Area" localSheetId="2">'Data'!$A$1:$C$66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&quot; months&quot;;[Red](0.0&quot; months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Cash at bank by date</a:t>
            </a:r>
          </a:p>
        </rich>
      </tx>
      <overlay val="0"/>
    </title>
    <plotArea>
      <lineChart>
        <grouping val="standard"/>
        <ser>
          <idx val="0"/>
          <order val="0"/>
          <tx>
            <v>Cash at bank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'Data'!$A$6:$A$66</f>
            </numRef>
          </cat>
          <val>
            <numRef>
              <f>'Data'!$C$6:$C$66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unway_Data" displayName="runway_Data" ref="A5:C66" headerRowCount="1">
  <autoFilter ref="A5:C66"/>
  <tableColumns count="3">
    <tableColumn id="1" name="Date"/>
    <tableColumn id="2" name="Status"/>
    <tableColumn id="3" name="Cash at bank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months of runway do you have?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1.9 months of spending in unrestricted cash, against a 3.0 months reserves target.</t>
        </is>
      </c>
    </row>
    <row r="6" ht="32" customHeight="1">
      <c r="A6" s="4" t="inlineStr">
        <is>
          <t>How long the organisation could keep going on its own money: cash at bank, less unspent grant money (which belongs to the funders' programs) and GST and PAYG owed to the ATO, divided by a month's spending.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Runway now</t>
        </is>
      </c>
      <c r="B9" s="7">
        <f>Workings!B13</f>
        <v/>
      </c>
      <c r="C9" s="8" t="inlineStr">
        <is>
          <t>target 3.0 months</t>
        </is>
      </c>
    </row>
    <row r="10">
      <c r="A10" t="inlineStr">
        <is>
          <t>Target</t>
        </is>
      </c>
      <c r="B10" s="7">
        <f>Workings!B23</f>
        <v/>
      </c>
      <c r="C10" s="8" t="inlineStr">
        <is>
          <t>reserves target</t>
        </is>
      </c>
    </row>
    <row r="11">
      <c r="A11" t="inlineStr">
        <is>
          <t>Gap</t>
        </is>
      </c>
      <c r="B11" s="9">
        <f>Workings!B36</f>
        <v/>
      </c>
      <c r="C11" s="8" t="inlineStr">
        <is>
          <t>to reach the target</t>
        </is>
      </c>
    </row>
    <row r="12">
      <c r="A12" t="inlineStr">
        <is>
          <t>Runway in August</t>
        </is>
      </c>
      <c r="B12" s="7">
        <f>Workings!B47</f>
        <v/>
      </c>
      <c r="C12" s="8" t="inlineStr">
        <is>
          <t>at August's rate of spending</t>
        </is>
      </c>
    </row>
    <row r="13"/>
    <row r="14">
      <c r="A14" s="10" t="inlineStr">
        <is>
          <t>Cash at bank, every day (1 Aug to 30 Sep): every month is on the Data sheet.</t>
        </is>
      </c>
    </row>
    <row r="15"/>
    <row r="16">
      <c r="A16" s="11" t="inlineStr">
        <is>
          <t>What it shows</t>
        </is>
      </c>
    </row>
    <row r="17" ht="30" customHeight="1">
      <c r="A17" s="4" t="inlineStr">
        <is>
          <t>Unrestricted cash ($305,437, after setting aside unspent grant money) would cover 1.9 months of spending at September's rate of spending, short of the 3.0 months target by $183,263.</t>
        </is>
      </c>
    </row>
    <row r="18"/>
    <row r="19">
      <c r="A19" s="11" t="inlineStr">
        <is>
          <t>What you'd do about it</t>
        </is>
      </c>
    </row>
    <row r="20" ht="30" customHeight="1">
      <c r="A20" s="4" t="inlineStr">
        <is>
          <t>A reserves plan is the usual next step: how much of each month's surplus goes to reserves, and by when the gap is closed.</t>
        </is>
      </c>
    </row>
    <row r="21"/>
    <row r="22"/>
  </sheetData>
  <mergeCells count="4">
    <mergeCell ref="A5:D5"/>
    <mergeCell ref="A17:D17"/>
    <mergeCell ref="A20:D2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12" t="inlineStr">
        <is>
          <t>Unrestricted cash runway, September 2026</t>
        </is>
      </c>
    </row>
    <row r="6">
      <c r="A6" s="10" t="inlineStr">
        <is>
          <t>(Cash at bank − unspent grant money − GST and PAYG owed to the ATO) ÷ a month's cash spending</t>
        </is>
      </c>
    </row>
    <row r="7">
      <c r="A7" s="5" t="inlineStr"/>
      <c r="B7" s="6" t="inlineStr">
        <is>
          <t>Sep 2026</t>
        </is>
      </c>
    </row>
    <row r="8">
      <c r="A8" t="inlineStr">
        <is>
          <t>Cash at bank</t>
        </is>
      </c>
      <c r="B8" s="13" t="n">
        <v>527060</v>
      </c>
    </row>
    <row r="9">
      <c r="A9" t="inlineStr">
        <is>
          <t>Less unspent grant money (belongs to funders' programs)</t>
        </is>
      </c>
      <c r="B9" s="13" t="n">
        <v>-156100</v>
      </c>
    </row>
    <row r="10">
      <c r="A10" t="inlineStr">
        <is>
          <t>Less GST and PAYG withheld owed to the ATO (paid with the BAS)</t>
        </is>
      </c>
      <c r="B10" s="13" t="n">
        <v>-65523</v>
      </c>
    </row>
    <row r="11">
      <c r="A11" t="inlineStr">
        <is>
          <t>Unrestricted cash</t>
        </is>
      </c>
      <c r="B11" s="13">
        <f>B8+B9+B10</f>
        <v/>
      </c>
    </row>
    <row r="12">
      <c r="A12" t="inlineStr">
        <is>
          <t>Cash spending in September (expenses less depreciation)</t>
        </is>
      </c>
      <c r="B12" s="13" t="n">
        <v>162900</v>
      </c>
    </row>
    <row r="13">
      <c r="A13" s="14" t="inlineStr">
        <is>
          <t>Runway</t>
        </is>
      </c>
      <c r="B13" s="15">
        <f>B11/B12</f>
        <v/>
      </c>
    </row>
    <row r="14">
      <c r="A14" s="2" t="inlineStr">
        <is>
          <t>Reserves target: 3.0 months.</t>
        </is>
      </c>
    </row>
    <row r="15"/>
    <row r="16"/>
    <row r="17">
      <c r="A17" s="12" t="inlineStr">
        <is>
          <t>Reserves: how far from 3.0 months?</t>
        </is>
      </c>
    </row>
    <row r="18">
      <c r="A18" s="10" t="inlineStr">
        <is>
          <t>Target months × monthly cash spending − unrestricted cash</t>
        </is>
      </c>
    </row>
    <row r="19">
      <c r="A19" s="5" t="inlineStr"/>
      <c r="B19" s="6" t="inlineStr">
        <is>
          <t>Sep 2026</t>
        </is>
      </c>
    </row>
    <row r="20">
      <c r="A20" t="inlineStr">
        <is>
          <t>Unrestricted cash</t>
        </is>
      </c>
      <c r="B20" s="13" t="n">
        <v>305437</v>
      </c>
    </row>
    <row r="21">
      <c r="A21" t="inlineStr">
        <is>
          <t>A month's cash spending</t>
        </is>
      </c>
      <c r="B21" s="13" t="n">
        <v>162900</v>
      </c>
    </row>
    <row r="22">
      <c r="A22" t="inlineStr">
        <is>
          <t>Runway</t>
        </is>
      </c>
      <c r="B22" s="16">
        <f>B20/B21</f>
        <v/>
      </c>
    </row>
    <row r="23">
      <c r="A23" t="inlineStr">
        <is>
          <t>Reserves target</t>
        </is>
      </c>
      <c r="B23" s="16" t="n">
        <v>3</v>
      </c>
    </row>
    <row r="24">
      <c r="A24" t="inlineStr">
        <is>
          <t>Cash needed for the target</t>
        </is>
      </c>
      <c r="B24" s="13">
        <f>B23*B21</f>
        <v/>
      </c>
    </row>
    <row r="25">
      <c r="A25" s="14" t="inlineStr">
        <is>
          <t>Gap to the target</t>
        </is>
      </c>
      <c r="B25" s="17">
        <f>B24-B20</f>
        <v/>
      </c>
    </row>
    <row r="26"/>
    <row r="27"/>
    <row r="28">
      <c r="A28" s="12" t="inlineStr">
        <is>
          <t>Reserves: how far from 3.0 months?</t>
        </is>
      </c>
    </row>
    <row r="29">
      <c r="A29" s="10" t="inlineStr">
        <is>
          <t>Target months × monthly cash spending − unrestricted cash</t>
        </is>
      </c>
    </row>
    <row r="30">
      <c r="A30" s="5" t="inlineStr"/>
      <c r="B30" s="6" t="inlineStr">
        <is>
          <t>Sep 2026</t>
        </is>
      </c>
    </row>
    <row r="31">
      <c r="A31" t="inlineStr">
        <is>
          <t>Unrestricted cash</t>
        </is>
      </c>
      <c r="B31" s="13" t="n">
        <v>305437</v>
      </c>
    </row>
    <row r="32">
      <c r="A32" t="inlineStr">
        <is>
          <t>A month's cash spending</t>
        </is>
      </c>
      <c r="B32" s="13" t="n">
        <v>162900</v>
      </c>
    </row>
    <row r="33">
      <c r="A33" t="inlineStr">
        <is>
          <t>Runway</t>
        </is>
      </c>
      <c r="B33" s="16">
        <f>B31/B32</f>
        <v/>
      </c>
    </row>
    <row r="34">
      <c r="A34" t="inlineStr">
        <is>
          <t>Reserves target</t>
        </is>
      </c>
      <c r="B34" s="16" t="n">
        <v>3</v>
      </c>
    </row>
    <row r="35">
      <c r="A35" t="inlineStr">
        <is>
          <t>Cash needed for the target</t>
        </is>
      </c>
      <c r="B35" s="13">
        <f>B34*B32</f>
        <v/>
      </c>
    </row>
    <row r="36">
      <c r="A36" s="14" t="inlineStr">
        <is>
          <t>Gap to the target</t>
        </is>
      </c>
      <c r="B36" s="17">
        <f>B35-B31</f>
        <v/>
      </c>
    </row>
    <row r="37"/>
    <row r="38"/>
    <row r="39">
      <c r="A39" s="12" t="inlineStr">
        <is>
          <t>Unrestricted cash runway, August 2026</t>
        </is>
      </c>
    </row>
    <row r="40">
      <c r="A40" s="10" t="inlineStr">
        <is>
          <t>(Cash at bank − unspent grant money − GST and PAYG owed to the ATO) ÷ a month's cash spending</t>
        </is>
      </c>
    </row>
    <row r="41">
      <c r="A41" s="5" t="inlineStr"/>
      <c r="B41" s="6" t="inlineStr">
        <is>
          <t>Aug 2026</t>
        </is>
      </c>
    </row>
    <row r="42">
      <c r="A42" t="inlineStr">
        <is>
          <t>Cash at bank</t>
        </is>
      </c>
      <c r="B42" s="13" t="n">
        <v>547394</v>
      </c>
    </row>
    <row r="43">
      <c r="A43" t="inlineStr">
        <is>
          <t>Less unspent grant money (belongs to funders' programs)</t>
        </is>
      </c>
      <c r="B43" s="13" t="n">
        <v>-221900</v>
      </c>
    </row>
    <row r="44">
      <c r="A44" t="inlineStr">
        <is>
          <t>Less GST and PAYG withheld owed to the ATO (paid with the BAS)</t>
        </is>
      </c>
      <c r="B44" s="13" t="n">
        <v>-51696</v>
      </c>
    </row>
    <row r="45">
      <c r="A45" t="inlineStr">
        <is>
          <t>Unrestricted cash</t>
        </is>
      </c>
      <c r="B45" s="13">
        <f>B42+B43+B44</f>
        <v/>
      </c>
    </row>
    <row r="46">
      <c r="A46" t="inlineStr">
        <is>
          <t>Cash spending in August (expenses less depreciation)</t>
        </is>
      </c>
      <c r="B46" s="13" t="n">
        <v>141200</v>
      </c>
    </row>
    <row r="47">
      <c r="A47" s="14" t="inlineStr">
        <is>
          <t>Runway</t>
        </is>
      </c>
      <c r="B47" s="15">
        <f>B45/B46</f>
        <v/>
      </c>
    </row>
    <row r="48">
      <c r="A48" s="2" t="inlineStr">
        <is>
          <t>Reserves target: 3.0 months.</t>
        </is>
      </c>
    </row>
    <row r="49"/>
    <row r="50"/>
    <row r="5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Date</t>
        </is>
      </c>
      <c r="B5" s="6" t="inlineStr">
        <is>
          <t>Status</t>
        </is>
      </c>
      <c r="C5" s="6" t="inlineStr">
        <is>
          <t>Cash at bank</t>
        </is>
      </c>
    </row>
    <row r="6">
      <c r="A6" s="18" t="inlineStr">
        <is>
          <t>2026-08-01</t>
        </is>
      </c>
      <c r="B6" s="18" t="inlineStr">
        <is>
          <t>Locked</t>
        </is>
      </c>
      <c r="C6" s="13" t="n">
        <v>610000</v>
      </c>
    </row>
    <row r="7">
      <c r="A7" s="18" t="inlineStr">
        <is>
          <t>2026-08-02</t>
        </is>
      </c>
      <c r="B7" s="18" t="inlineStr">
        <is>
          <t>Locked</t>
        </is>
      </c>
      <c r="C7" s="13" t="n">
        <v>610000</v>
      </c>
    </row>
    <row r="8">
      <c r="A8" s="18" t="inlineStr">
        <is>
          <t>2026-08-03</t>
        </is>
      </c>
      <c r="B8" s="18" t="inlineStr">
        <is>
          <t>Locked</t>
        </is>
      </c>
      <c r="C8" s="13" t="n">
        <v>612356</v>
      </c>
    </row>
    <row r="9">
      <c r="A9" s="18" t="inlineStr">
        <is>
          <t>2026-08-04</t>
        </is>
      </c>
      <c r="B9" s="18" t="inlineStr">
        <is>
          <t>Locked</t>
        </is>
      </c>
      <c r="C9" s="13" t="n">
        <v>614712</v>
      </c>
    </row>
    <row r="10">
      <c r="A10" s="18" t="inlineStr">
        <is>
          <t>2026-08-05</t>
        </is>
      </c>
      <c r="B10" s="18" t="inlineStr">
        <is>
          <t>Locked</t>
        </is>
      </c>
      <c r="C10" s="13" t="n">
        <v>617068</v>
      </c>
    </row>
    <row r="11">
      <c r="A11" s="18" t="inlineStr">
        <is>
          <t>2026-08-06</t>
        </is>
      </c>
      <c r="B11" s="18" t="inlineStr">
        <is>
          <t>Locked</t>
        </is>
      </c>
      <c r="C11" s="13" t="n">
        <v>582091</v>
      </c>
    </row>
    <row r="12">
      <c r="A12" s="18" t="inlineStr">
        <is>
          <t>2026-08-07</t>
        </is>
      </c>
      <c r="B12" s="18" t="inlineStr">
        <is>
          <t>Locked</t>
        </is>
      </c>
      <c r="C12" s="13" t="n">
        <v>584447</v>
      </c>
    </row>
    <row r="13">
      <c r="A13" s="18" t="inlineStr">
        <is>
          <t>2026-08-08</t>
        </is>
      </c>
      <c r="B13" s="18" t="inlineStr">
        <is>
          <t>Locked</t>
        </is>
      </c>
      <c r="C13" s="13" t="n">
        <v>584447</v>
      </c>
    </row>
    <row r="14">
      <c r="A14" s="18" t="inlineStr">
        <is>
          <t>2026-08-09</t>
        </is>
      </c>
      <c r="B14" s="18" t="inlineStr">
        <is>
          <t>Locked</t>
        </is>
      </c>
      <c r="C14" s="13" t="n">
        <v>584447</v>
      </c>
    </row>
    <row r="15">
      <c r="A15" s="18" t="inlineStr">
        <is>
          <t>2026-08-10</t>
        </is>
      </c>
      <c r="B15" s="18" t="inlineStr">
        <is>
          <t>Locked</t>
        </is>
      </c>
      <c r="C15" s="13" t="n">
        <v>586803</v>
      </c>
    </row>
    <row r="16">
      <c r="A16" s="18" t="inlineStr">
        <is>
          <t>2026-08-11</t>
        </is>
      </c>
      <c r="B16" s="18" t="inlineStr">
        <is>
          <t>Locked</t>
        </is>
      </c>
      <c r="C16" s="13" t="n">
        <v>589159</v>
      </c>
    </row>
    <row r="17">
      <c r="A17" s="18" t="inlineStr">
        <is>
          <t>2026-08-12</t>
        </is>
      </c>
      <c r="B17" s="18" t="inlineStr">
        <is>
          <t>Locked</t>
        </is>
      </c>
      <c r="C17" s="13" t="n">
        <v>589159</v>
      </c>
    </row>
    <row r="18">
      <c r="A18" s="18" t="inlineStr">
        <is>
          <t>2026-08-13</t>
        </is>
      </c>
      <c r="B18" s="18" t="inlineStr">
        <is>
          <t>Locked</t>
        </is>
      </c>
      <c r="C18" s="13" t="n">
        <v>591515</v>
      </c>
    </row>
    <row r="19">
      <c r="A19" s="18" t="inlineStr">
        <is>
          <t>2026-08-14</t>
        </is>
      </c>
      <c r="B19" s="18" t="inlineStr">
        <is>
          <t>Locked</t>
        </is>
      </c>
      <c r="C19" s="13" t="n">
        <v>593871</v>
      </c>
    </row>
    <row r="20">
      <c r="A20" s="18" t="inlineStr">
        <is>
          <t>2026-08-15</t>
        </is>
      </c>
      <c r="B20" s="18" t="inlineStr">
        <is>
          <t>Locked</t>
        </is>
      </c>
      <c r="C20" s="13" t="n">
        <v>593871</v>
      </c>
    </row>
    <row r="21">
      <c r="A21" s="18" t="inlineStr">
        <is>
          <t>2026-08-16</t>
        </is>
      </c>
      <c r="B21" s="18" t="inlineStr">
        <is>
          <t>Locked</t>
        </is>
      </c>
      <c r="C21" s="13" t="n">
        <v>593871</v>
      </c>
    </row>
    <row r="22">
      <c r="A22" s="18" t="inlineStr">
        <is>
          <t>2026-08-17</t>
        </is>
      </c>
      <c r="B22" s="18" t="inlineStr">
        <is>
          <t>Locked</t>
        </is>
      </c>
      <c r="C22" s="13" t="n">
        <v>577977</v>
      </c>
    </row>
    <row r="23">
      <c r="A23" s="18" t="inlineStr">
        <is>
          <t>2026-08-18</t>
        </is>
      </c>
      <c r="B23" s="18" t="inlineStr">
        <is>
          <t>Locked</t>
        </is>
      </c>
      <c r="C23" s="13" t="n">
        <v>580332</v>
      </c>
    </row>
    <row r="24">
      <c r="A24" s="18" t="inlineStr">
        <is>
          <t>2026-08-19</t>
        </is>
      </c>
      <c r="B24" s="18" t="inlineStr">
        <is>
          <t>Locked</t>
        </is>
      </c>
      <c r="C24" s="13" t="n">
        <v>582687</v>
      </c>
    </row>
    <row r="25">
      <c r="A25" s="18" t="inlineStr">
        <is>
          <t>2026-08-20</t>
        </is>
      </c>
      <c r="B25" s="18" t="inlineStr">
        <is>
          <t>Locked</t>
        </is>
      </c>
      <c r="C25" s="13" t="n">
        <v>547709</v>
      </c>
    </row>
    <row r="26">
      <c r="A26" s="18" t="inlineStr">
        <is>
          <t>2026-08-21</t>
        </is>
      </c>
      <c r="B26" s="18" t="inlineStr">
        <is>
          <t>Locked</t>
        </is>
      </c>
      <c r="C26" s="13" t="n">
        <v>550064</v>
      </c>
    </row>
    <row r="27">
      <c r="A27" s="18" t="inlineStr">
        <is>
          <t>2026-08-22</t>
        </is>
      </c>
      <c r="B27" s="18" t="inlineStr">
        <is>
          <t>Locked</t>
        </is>
      </c>
      <c r="C27" s="13" t="n">
        <v>550064</v>
      </c>
    </row>
    <row r="28">
      <c r="A28" s="18" t="inlineStr">
        <is>
          <t>2026-08-23</t>
        </is>
      </c>
      <c r="B28" s="18" t="inlineStr">
        <is>
          <t>Locked</t>
        </is>
      </c>
      <c r="C28" s="13" t="n">
        <v>550064</v>
      </c>
    </row>
    <row r="29">
      <c r="A29" s="18" t="inlineStr">
        <is>
          <t>2026-08-24</t>
        </is>
      </c>
      <c r="B29" s="18" t="inlineStr">
        <is>
          <t>Locked</t>
        </is>
      </c>
      <c r="C29" s="13" t="n">
        <v>552419</v>
      </c>
    </row>
    <row r="30">
      <c r="A30" s="18" t="inlineStr">
        <is>
          <t>2026-08-25</t>
        </is>
      </c>
      <c r="B30" s="18" t="inlineStr">
        <is>
          <t>Locked</t>
        </is>
      </c>
      <c r="C30" s="13" t="n">
        <v>554774</v>
      </c>
    </row>
    <row r="31">
      <c r="A31" s="18" t="inlineStr">
        <is>
          <t>2026-08-26</t>
        </is>
      </c>
      <c r="B31" s="18" t="inlineStr">
        <is>
          <t>Locked</t>
        </is>
      </c>
      <c r="C31" s="13" t="n">
        <v>557129</v>
      </c>
    </row>
    <row r="32">
      <c r="A32" s="18" t="inlineStr">
        <is>
          <t>2026-08-27</t>
        </is>
      </c>
      <c r="B32" s="18" t="inlineStr">
        <is>
          <t>Locked</t>
        </is>
      </c>
      <c r="C32" s="13" t="n">
        <v>559484</v>
      </c>
    </row>
    <row r="33">
      <c r="A33" s="18" t="inlineStr">
        <is>
          <t>2026-08-28</t>
        </is>
      </c>
      <c r="B33" s="18" t="inlineStr">
        <is>
          <t>Locked</t>
        </is>
      </c>
      <c r="C33" s="13" t="n">
        <v>561839</v>
      </c>
    </row>
    <row r="34">
      <c r="A34" s="18" t="inlineStr">
        <is>
          <t>2026-08-29</t>
        </is>
      </c>
      <c r="B34" s="18" t="inlineStr">
        <is>
          <t>Locked</t>
        </is>
      </c>
      <c r="C34" s="13" t="n">
        <v>561839</v>
      </c>
    </row>
    <row r="35">
      <c r="A35" s="18" t="inlineStr">
        <is>
          <t>2026-08-30</t>
        </is>
      </c>
      <c r="B35" s="18" t="inlineStr">
        <is>
          <t>Locked</t>
        </is>
      </c>
      <c r="C35" s="13" t="n">
        <v>561839</v>
      </c>
    </row>
    <row r="36">
      <c r="A36" s="18" t="inlineStr">
        <is>
          <t>2026-08-31</t>
        </is>
      </c>
      <c r="B36" s="18" t="inlineStr">
        <is>
          <t>Locked</t>
        </is>
      </c>
      <c r="C36" s="13" t="n">
        <v>547394</v>
      </c>
    </row>
    <row r="37">
      <c r="A37" s="18" t="inlineStr">
        <is>
          <t>2026-09-01</t>
        </is>
      </c>
      <c r="B37" s="18" t="inlineStr">
        <is>
          <t>Locked</t>
        </is>
      </c>
      <c r="C37" s="13" t="n">
        <v>550048</v>
      </c>
    </row>
    <row r="38">
      <c r="A38" s="18" t="inlineStr">
        <is>
          <t>2026-09-02</t>
        </is>
      </c>
      <c r="B38" s="18" t="inlineStr">
        <is>
          <t>Locked</t>
        </is>
      </c>
      <c r="C38" s="13" t="n">
        <v>552702</v>
      </c>
    </row>
    <row r="39">
      <c r="A39" s="18" t="inlineStr">
        <is>
          <t>2026-09-03</t>
        </is>
      </c>
      <c r="B39" s="18" t="inlineStr">
        <is>
          <t>Locked</t>
        </is>
      </c>
      <c r="C39" s="13" t="n">
        <v>518023</v>
      </c>
    </row>
    <row r="40">
      <c r="A40" s="18" t="inlineStr">
        <is>
          <t>2026-09-04</t>
        </is>
      </c>
      <c r="B40" s="18" t="inlineStr">
        <is>
          <t>Locked</t>
        </is>
      </c>
      <c r="C40" s="13" t="n">
        <v>520677</v>
      </c>
    </row>
    <row r="41">
      <c r="A41" s="18" t="inlineStr">
        <is>
          <t>2026-09-05</t>
        </is>
      </c>
      <c r="B41" s="18" t="inlineStr">
        <is>
          <t>Locked</t>
        </is>
      </c>
      <c r="C41" s="13" t="n">
        <v>520677</v>
      </c>
    </row>
    <row r="42">
      <c r="A42" s="18" t="inlineStr">
        <is>
          <t>2026-09-06</t>
        </is>
      </c>
      <c r="B42" s="18" t="inlineStr">
        <is>
          <t>Locked</t>
        </is>
      </c>
      <c r="C42" s="13" t="n">
        <v>520677</v>
      </c>
    </row>
    <row r="43">
      <c r="A43" s="18" t="inlineStr">
        <is>
          <t>2026-09-07</t>
        </is>
      </c>
      <c r="B43" s="18" t="inlineStr">
        <is>
          <t>Locked</t>
        </is>
      </c>
      <c r="C43" s="13" t="n">
        <v>523330</v>
      </c>
    </row>
    <row r="44">
      <c r="A44" s="18" t="inlineStr">
        <is>
          <t>2026-09-08</t>
        </is>
      </c>
      <c r="B44" s="18" t="inlineStr">
        <is>
          <t>Locked</t>
        </is>
      </c>
      <c r="C44" s="13" t="n">
        <v>525983</v>
      </c>
    </row>
    <row r="45">
      <c r="A45" s="18" t="inlineStr">
        <is>
          <t>2026-09-09</t>
        </is>
      </c>
      <c r="B45" s="18" t="inlineStr">
        <is>
          <t>Locked</t>
        </is>
      </c>
      <c r="C45" s="13" t="n">
        <v>528636</v>
      </c>
    </row>
    <row r="46">
      <c r="A46" s="18" t="inlineStr">
        <is>
          <t>2026-09-10</t>
        </is>
      </c>
      <c r="B46" s="18" t="inlineStr">
        <is>
          <t>Locked</t>
        </is>
      </c>
      <c r="C46" s="13" t="n">
        <v>531289</v>
      </c>
    </row>
    <row r="47">
      <c r="A47" s="18" t="inlineStr">
        <is>
          <t>2026-09-11</t>
        </is>
      </c>
      <c r="B47" s="18" t="inlineStr">
        <is>
          <t>Locked</t>
        </is>
      </c>
      <c r="C47" s="13" t="n">
        <v>533942</v>
      </c>
    </row>
    <row r="48">
      <c r="A48" s="18" t="inlineStr">
        <is>
          <t>2026-09-12</t>
        </is>
      </c>
      <c r="B48" s="18" t="inlineStr">
        <is>
          <t>Locked</t>
        </is>
      </c>
      <c r="C48" s="13" t="n">
        <v>533942</v>
      </c>
    </row>
    <row r="49">
      <c r="A49" s="18" t="inlineStr">
        <is>
          <t>2026-09-13</t>
        </is>
      </c>
      <c r="B49" s="18" t="inlineStr">
        <is>
          <t>Locked</t>
        </is>
      </c>
      <c r="C49" s="13" t="n">
        <v>533942</v>
      </c>
    </row>
    <row r="50">
      <c r="A50" s="18" t="inlineStr">
        <is>
          <t>2026-09-14</t>
        </is>
      </c>
      <c r="B50" s="18" t="inlineStr">
        <is>
          <t>Locked</t>
        </is>
      </c>
      <c r="C50" s="13" t="n">
        <v>536595</v>
      </c>
    </row>
    <row r="51">
      <c r="A51" s="18" t="inlineStr">
        <is>
          <t>2026-09-15</t>
        </is>
      </c>
      <c r="B51" s="18" t="inlineStr">
        <is>
          <t>Locked</t>
        </is>
      </c>
      <c r="C51" s="13" t="n">
        <v>513659</v>
      </c>
    </row>
    <row r="52">
      <c r="A52" s="18" t="inlineStr">
        <is>
          <t>2026-09-16</t>
        </is>
      </c>
      <c r="B52" s="18" t="inlineStr">
        <is>
          <t>Locked</t>
        </is>
      </c>
      <c r="C52" s="13" t="n">
        <v>516312</v>
      </c>
    </row>
    <row r="53">
      <c r="A53" s="18" t="inlineStr">
        <is>
          <t>2026-09-17</t>
        </is>
      </c>
      <c r="B53" s="18" t="inlineStr">
        <is>
          <t>Locked</t>
        </is>
      </c>
      <c r="C53" s="13" t="n">
        <v>481632</v>
      </c>
    </row>
    <row r="54">
      <c r="A54" s="18" t="inlineStr">
        <is>
          <t>2026-09-18</t>
        </is>
      </c>
      <c r="B54" s="18" t="inlineStr">
        <is>
          <t>Locked</t>
        </is>
      </c>
      <c r="C54" s="13" t="n">
        <v>484285</v>
      </c>
    </row>
    <row r="55">
      <c r="A55" s="18" t="inlineStr">
        <is>
          <t>2026-09-19</t>
        </is>
      </c>
      <c r="B55" s="18" t="inlineStr">
        <is>
          <t>Locked</t>
        </is>
      </c>
      <c r="C55" s="13" t="n">
        <v>484285</v>
      </c>
    </row>
    <row r="56">
      <c r="A56" s="18" t="inlineStr">
        <is>
          <t>2026-09-20</t>
        </is>
      </c>
      <c r="B56" s="18" t="inlineStr">
        <is>
          <t>Locked</t>
        </is>
      </c>
      <c r="C56" s="13" t="n">
        <v>484285</v>
      </c>
    </row>
    <row r="57">
      <c r="A57" s="18" t="inlineStr">
        <is>
          <t>2026-09-21</t>
        </is>
      </c>
      <c r="B57" s="18" t="inlineStr">
        <is>
          <t>Locked</t>
        </is>
      </c>
      <c r="C57" s="13" t="n">
        <v>532698</v>
      </c>
    </row>
    <row r="58">
      <c r="A58" s="18" t="inlineStr">
        <is>
          <t>2026-09-22</t>
        </is>
      </c>
      <c r="B58" s="18" t="inlineStr">
        <is>
          <t>Locked</t>
        </is>
      </c>
      <c r="C58" s="13" t="n">
        <v>535351</v>
      </c>
    </row>
    <row r="59">
      <c r="A59" s="18" t="inlineStr">
        <is>
          <t>2026-09-23</t>
        </is>
      </c>
      <c r="B59" s="18" t="inlineStr">
        <is>
          <t>Locked</t>
        </is>
      </c>
      <c r="C59" s="13" t="n">
        <v>538004</v>
      </c>
    </row>
    <row r="60">
      <c r="A60" s="18" t="inlineStr">
        <is>
          <t>2026-09-24</t>
        </is>
      </c>
      <c r="B60" s="18" t="inlineStr">
        <is>
          <t>Locked</t>
        </is>
      </c>
      <c r="C60" s="13" t="n">
        <v>540657</v>
      </c>
    </row>
    <row r="61">
      <c r="A61" s="18" t="inlineStr">
        <is>
          <t>2026-09-25</t>
        </is>
      </c>
      <c r="B61" s="18" t="inlineStr">
        <is>
          <t>Locked</t>
        </is>
      </c>
      <c r="C61" s="13" t="n">
        <v>543310</v>
      </c>
    </row>
    <row r="62">
      <c r="A62" s="18" t="inlineStr">
        <is>
          <t>2026-09-26</t>
        </is>
      </c>
      <c r="B62" s="18" t="inlineStr">
        <is>
          <t>Locked</t>
        </is>
      </c>
      <c r="C62" s="13" t="n">
        <v>543310</v>
      </c>
    </row>
    <row r="63">
      <c r="A63" s="18" t="inlineStr">
        <is>
          <t>2026-09-27</t>
        </is>
      </c>
      <c r="B63" s="18" t="inlineStr">
        <is>
          <t>Locked</t>
        </is>
      </c>
      <c r="C63" s="13" t="n">
        <v>543310</v>
      </c>
    </row>
    <row r="64">
      <c r="A64" s="18" t="inlineStr">
        <is>
          <t>2026-09-28</t>
        </is>
      </c>
      <c r="B64" s="18" t="inlineStr">
        <is>
          <t>Locked</t>
        </is>
      </c>
      <c r="C64" s="13" t="n">
        <v>545963</v>
      </c>
    </row>
    <row r="65">
      <c r="A65" s="18" t="inlineStr">
        <is>
          <t>2026-09-29</t>
        </is>
      </c>
      <c r="B65" s="18" t="inlineStr">
        <is>
          <t>Locked</t>
        </is>
      </c>
      <c r="C65" s="13" t="n">
        <v>548616</v>
      </c>
    </row>
    <row r="66">
      <c r="A66" s="18" t="inlineStr">
        <is>
          <t>2026-09-30</t>
        </is>
      </c>
      <c r="B66" s="18" t="inlineStr">
        <is>
          <t>Locked</t>
        </is>
      </c>
      <c r="C66" s="13" t="n">
        <v>527060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2" min="0" max="16383" man="1"/>
    <brk id="6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