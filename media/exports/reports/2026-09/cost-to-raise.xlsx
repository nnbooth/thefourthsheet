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September_all_fundraising">'Report'!$B$10</definedName>
    <definedName name="Year_to_date_Jul_to_Sep_2026">'Report'!$B$11</definedName>
    <definedName name="September_Grants">'Report'!$B$35</definedName>
    <definedName name="Year_to_date_Jul_to_Sep_2026_2">'Report'!$B$36</definedName>
    <definedName name="September_Donations">'Report'!$B$46</definedName>
    <definedName name="Year_to_date_Jul_to_Sep_2026_3">'Report'!$B$47</definedName>
    <definedName name="September_Fundraising_events">'Report'!$B$57</definedName>
    <definedName name="Year_to_date_Jul_to_Sep_2026_4">'Report'!$B$58</definedName>
    <definedName name="_xlnm.Print_Area" localSheetId="0">'Report'!$A$1:$D$67</definedName>
    <definedName name="_xlnm.Print_Area" localSheetId="1">'Workings'!$A$1:$C$93</definedName>
    <definedName name="_xlnm.Print_Titles" localSheetId="2">'Data'!$5:$5</definedName>
    <definedName name="_xlnm.Print_Area" localSheetId="2">'Data'!$A$1:$I$29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0" fontId="4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September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Grant writing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 writing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'Data'!$A$6:$A$29</f>
            </numRef>
          </cat>
          <val>
            <numRef>
              <f>'Data'!$C$6:$C$29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2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raise_Data" displayName="cost_to_raise_Data" ref="A5:I29" headerRowCount="1">
  <autoFilter ref="A5:I29"/>
  <tableColumns count="9">
    <tableColumn id="1" name="Month"/>
    <tableColumn id="2" name="Status"/>
    <tableColumn id="3" name="Grant writing"/>
    <tableColumn id="4" name="Donor campaigns"/>
    <tableColumn id="5" name="Event costs"/>
    <tableColumn id="6" name="Grant income"/>
    <tableColumn id="7" name="Donations"/>
    <tableColumn id="8" name="Events"/>
    <tableColumn id="9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 ht="32" customHeight="1">
      <c r="A5" s="3" t="inlineStr">
        <is>
          <t>In short: Each dollar raised cost 20¢ in September, and 15¢ a dollar this financial year to date.</t>
        </is>
      </c>
    </row>
    <row r="6" ht="32" customHeight="1">
      <c r="A6" s="4" t="inlineStr">
        <is>
          <t>What fundraising costs (grant writing, donor campaigns, events) for every dollar it brings in. Pick a source and every number, chart and note follows it.</t>
        </is>
      </c>
    </row>
    <row r="7"/>
    <row r="8">
      <c r="A8" s="5" t="inlineStr">
        <is>
          <t>Source: All fundraising</t>
        </is>
      </c>
    </row>
    <row r="9">
      <c r="A9" s="6" t="inlineStr">
        <is>
          <t>Headline number</t>
        </is>
      </c>
      <c r="B9" s="7" t="inlineStr">
        <is>
          <t>Value</t>
        </is>
      </c>
      <c r="C9" s="7" t="inlineStr">
        <is>
          <t>Compared with</t>
        </is>
      </c>
    </row>
    <row r="10">
      <c r="A10" t="inlineStr">
        <is>
          <t>September · all fundraising</t>
        </is>
      </c>
      <c r="B10" s="8">
        <f>Workings!B10</f>
        <v/>
      </c>
      <c r="C10" s="9" t="inlineStr">
        <is>
          <t>August 13¢</t>
        </is>
      </c>
    </row>
    <row r="11">
      <c r="A11" t="inlineStr">
        <is>
          <t>Year to date (Jul to Sep 2026)</t>
        </is>
      </c>
      <c r="B11" s="8">
        <f>Workings!B18</f>
        <v/>
      </c>
      <c r="C11" s="9" t="inlineStr">
        <is>
          <t>same period last year: 16¢</t>
        </is>
      </c>
    </row>
    <row r="12"/>
    <row r="13">
      <c r="A13" s="10" t="inlineStr">
        <is>
          <t>Cost to raise a dollar, by source, September 2026 (cents)</t>
        </is>
      </c>
    </row>
    <row r="14">
      <c r="A14" s="6" t="inlineStr"/>
      <c r="B14" s="7" t="inlineStr">
        <is>
          <t>Cost to raise a dollar</t>
        </is>
      </c>
    </row>
    <row r="15">
      <c r="A15" t="inlineStr">
        <is>
          <t>Grants</t>
        </is>
      </c>
      <c r="B15" s="8" t="n">
        <v>9</v>
      </c>
    </row>
    <row r="16">
      <c r="A16" t="inlineStr">
        <is>
          <t>Donations</t>
        </is>
      </c>
      <c r="B16" s="8" t="n">
        <v>19</v>
      </c>
    </row>
    <row r="17">
      <c r="A17" t="inlineStr">
        <is>
          <t>Fundraising events</t>
        </is>
      </c>
      <c r="B17" s="8" t="n">
        <v>41</v>
      </c>
    </row>
    <row r="18"/>
    <row r="19"/>
    <row r="20"/>
    <row r="21"/>
    <row r="22"/>
    <row r="23"/>
    <row r="24"/>
    <row r="25"/>
    <row r="26"/>
    <row r="27">
      <c r="A27" s="11" t="inlineStr">
        <is>
          <t>What it shows</t>
        </is>
      </c>
    </row>
    <row r="28" ht="45" customHeight="1">
      <c r="A28" s="4" t="inlineStr">
        <is>
          <t>September cost 20¢ to raise each dollar, against 13¢ in August. Fundraising events raised $41,600 and cost $16,900. This financial year to date it has cost 15¢ a dollar, against 16¢ in the same period last year.</t>
        </is>
      </c>
    </row>
    <row r="29"/>
    <row r="30">
      <c r="A30" s="11" t="inlineStr">
        <is>
          <t>What you'd do about it</t>
        </is>
      </c>
    </row>
    <row r="31" ht="30" customHeight="1">
      <c r="A31" s="4" t="inlineStr">
        <is>
          <t>The year-to-date figure is steadier than single months: events make some months jump. Pick a source above to see which one moves it.</t>
        </is>
      </c>
    </row>
    <row r="32"/>
    <row r="33">
      <c r="A33" s="5" t="inlineStr">
        <is>
          <t>Source: Grants</t>
        </is>
      </c>
    </row>
    <row r="34">
      <c r="A34" s="6" t="inlineStr">
        <is>
          <t>Headline number</t>
        </is>
      </c>
      <c r="B34" s="7" t="inlineStr">
        <is>
          <t>Value</t>
        </is>
      </c>
      <c r="C34" s="7" t="inlineStr">
        <is>
          <t>Compared with</t>
        </is>
      </c>
    </row>
    <row r="35">
      <c r="A35" t="inlineStr">
        <is>
          <t>September · Grants</t>
        </is>
      </c>
      <c r="B35" s="8">
        <f>Workings!B43</f>
        <v/>
      </c>
      <c r="C35" s="9" t="inlineStr">
        <is>
          <t>August 10¢</t>
        </is>
      </c>
    </row>
    <row r="36">
      <c r="A36" t="inlineStr">
        <is>
          <t>Year to date (Jul to Sep 2026)</t>
        </is>
      </c>
      <c r="B36" s="8">
        <f>Workings!B51</f>
        <v/>
      </c>
      <c r="C36" s="9" t="inlineStr">
        <is>
          <t>same period last year: 12¢</t>
        </is>
      </c>
    </row>
    <row r="37"/>
    <row r="38">
      <c r="A38" s="11" t="inlineStr">
        <is>
          <t>What it shows</t>
        </is>
      </c>
    </row>
    <row r="39" ht="30" customHeight="1">
      <c r="A39" s="4" t="inlineStr">
        <is>
          <t>Grants cost 10¢ to raise each dollar this financial year to date ($21,300 of grant writing and reporting for $223,318), against 12¢ in the same period last year.</t>
        </is>
      </c>
    </row>
    <row r="40"/>
    <row r="41">
      <c r="A41" s="11" t="inlineStr">
        <is>
          <t>What you'd do about it</t>
        </is>
      </c>
    </row>
    <row r="42" ht="30" customHeight="1">
      <c r="A42" s="4" t="inlineStr">
        <is>
          <t>Usually the cheapest money to raise, as long as the time that goes into applications and acquittals is protected.</t>
        </is>
      </c>
    </row>
    <row r="43"/>
    <row r="44">
      <c r="A44" s="5" t="inlineStr">
        <is>
          <t>Source: Donations</t>
        </is>
      </c>
    </row>
    <row r="45">
      <c r="A45" s="6" t="inlineStr">
        <is>
          <t>Headline number</t>
        </is>
      </c>
      <c r="B45" s="7" t="inlineStr">
        <is>
          <t>Value</t>
        </is>
      </c>
      <c r="C45" s="7" t="inlineStr">
        <is>
          <t>Compared with</t>
        </is>
      </c>
    </row>
    <row r="46">
      <c r="A46" t="inlineStr">
        <is>
          <t>September · Donations</t>
        </is>
      </c>
      <c r="B46" s="8">
        <f>Workings!B62</f>
        <v/>
      </c>
      <c r="C46" s="9" t="inlineStr">
        <is>
          <t>August 12¢</t>
        </is>
      </c>
    </row>
    <row r="47">
      <c r="A47" t="inlineStr">
        <is>
          <t>Year to date (Jul to Sep 2026)</t>
        </is>
      </c>
      <c r="B47" s="8">
        <f>Workings!B70</f>
        <v/>
      </c>
      <c r="C47" s="9" t="inlineStr">
        <is>
          <t>same period last year: 14¢</t>
        </is>
      </c>
    </row>
    <row r="48"/>
    <row r="49">
      <c r="A49" s="11" t="inlineStr">
        <is>
          <t>What it shows</t>
        </is>
      </c>
    </row>
    <row r="50" ht="30" customHeight="1">
      <c r="A50" s="4" t="inlineStr">
        <is>
          <t>Donations cost 16¢ to raise each dollar this financial year to date ($9,800 of donor campaigns for $60,600), against 14¢ in the same period last year.</t>
        </is>
      </c>
    </row>
    <row r="51"/>
    <row r="52">
      <c r="A52" s="11" t="inlineStr">
        <is>
          <t>What you'd do about it</t>
        </is>
      </c>
    </row>
    <row r="53" ht="30" customHeight="1">
      <c r="A53" s="4" t="inlineStr">
        <is>
          <t>Steady and cheap, and untied: the money that builds reserves.</t>
        </is>
      </c>
    </row>
    <row r="54"/>
    <row r="55">
      <c r="A55" s="5" t="inlineStr">
        <is>
          <t>Source: Fundraising events</t>
        </is>
      </c>
    </row>
    <row r="56">
      <c r="A56" s="6" t="inlineStr">
        <is>
          <t>Headline number</t>
        </is>
      </c>
      <c r="B56" s="7" t="inlineStr">
        <is>
          <t>Value</t>
        </is>
      </c>
      <c r="C56" s="7" t="inlineStr">
        <is>
          <t>Compared with</t>
        </is>
      </c>
    </row>
    <row r="57">
      <c r="A57" t="inlineStr">
        <is>
          <t>September · Fundraising events</t>
        </is>
      </c>
      <c r="B57" s="8">
        <f>Workings!B81</f>
        <v/>
      </c>
      <c r="C57" s="9" t="inlineStr">
        <is>
          <t>August none raised</t>
        </is>
      </c>
    </row>
    <row r="58">
      <c r="A58" t="inlineStr">
        <is>
          <t>Year to date (Jul to Sep 2026)</t>
        </is>
      </c>
      <c r="B58" s="8">
        <f>Workings!B90</f>
        <v/>
      </c>
      <c r="C58" s="9" t="inlineStr">
        <is>
          <t>same period last year: 41¢</t>
        </is>
      </c>
    </row>
    <row r="59"/>
    <row r="60">
      <c r="A60" s="11" t="inlineStr">
        <is>
          <t>What it shows</t>
        </is>
      </c>
    </row>
    <row r="61" ht="30" customHeight="1">
      <c r="A61" s="4" t="inlineStr">
        <is>
          <t>Fundraising events cost 46¢ to raise each dollar this financial year to date ($19,300 of event costs for $41,600), against 41¢ in the same period last year.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Usually the dearest money to raise: events are worth counting for what else they bring too (new donors, profile).</t>
        </is>
      </c>
    </row>
    <row r="65"/>
    <row r="66">
      <c r="A66" s="5" t="inlineStr">
        <is>
          <t>Every source at once</t>
        </is>
      </c>
    </row>
    <row r="67">
      <c r="A67" s="12" t="inlineStr">
        <is>
          <t>Cost to raise a dollar, by month (cents): every month is on the Data sheet.</t>
        </is>
      </c>
    </row>
    <row r="68"/>
    <row r="69"/>
  </sheetData>
  <mergeCells count="10">
    <mergeCell ref="A5:D5"/>
    <mergeCell ref="A31:D31"/>
    <mergeCell ref="A42:D42"/>
    <mergeCell ref="A6:D6"/>
    <mergeCell ref="A53:D53"/>
    <mergeCell ref="A61:D61"/>
    <mergeCell ref="A50:D50"/>
    <mergeCell ref="A39:D39"/>
    <mergeCell ref="A64:D64"/>
    <mergeCell ref="A28:D28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6" min="0" max="16383" man="1"/>
    <brk id="4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5" t="inlineStr">
        <is>
          <t>Cost to raise a dollar, all fundraising, September and August</t>
        </is>
      </c>
    </row>
    <row r="6">
      <c r="A6" s="12" t="inlineStr">
        <is>
          <t>Cost of raising it ÷ money raised, in cents</t>
        </is>
      </c>
    </row>
    <row r="7">
      <c r="A7" s="6" t="inlineStr"/>
      <c r="B7" s="7" t="inlineStr">
        <is>
          <t>Sep 26</t>
        </is>
      </c>
      <c r="C7" s="7" t="inlineStr">
        <is>
          <t>Aug 26</t>
        </is>
      </c>
    </row>
    <row r="8">
      <c r="A8" t="inlineStr">
        <is>
          <t>Cost of raising it</t>
        </is>
      </c>
      <c r="B8" s="13" t="n">
        <v>29400</v>
      </c>
      <c r="C8" s="13" t="n">
        <v>11700</v>
      </c>
    </row>
    <row r="9">
      <c r="A9" t="inlineStr">
        <is>
          <t>Money raised</t>
        </is>
      </c>
      <c r="B9" s="13" t="n">
        <v>146500</v>
      </c>
      <c r="C9" s="13" t="n">
        <v>92100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5" t="inlineStr">
        <is>
          <t>Cost to raise a dollar, all fundraising, year to date against the same period last year</t>
        </is>
      </c>
    </row>
    <row r="14">
      <c r="A14" s="12" t="inlineStr">
        <is>
          <t>Cost ÷ money raised, in cents</t>
        </is>
      </c>
    </row>
    <row r="15">
      <c r="A15" s="6" t="inlineStr"/>
      <c r="B15" s="7" t="inlineStr">
        <is>
          <t>Year to date</t>
        </is>
      </c>
    </row>
    <row r="16">
      <c r="A16" t="inlineStr">
        <is>
          <t>Cost, year to date</t>
        </is>
      </c>
      <c r="B16" s="13" t="n">
        <v>50400</v>
      </c>
    </row>
    <row r="17">
      <c r="A17" t="inlineStr">
        <is>
          <t>Raised, year to date</t>
        </is>
      </c>
      <c r="B17" s="13" t="n">
        <v>325518</v>
      </c>
    </row>
    <row r="18">
      <c r="A18" t="inlineStr">
        <is>
          <t>Cents, year to date</t>
        </is>
      </c>
      <c r="B18" s="16">
        <f>B16/B17*100</f>
        <v/>
      </c>
    </row>
    <row r="19">
      <c r="A19" t="inlineStr">
        <is>
          <t>Cost, same period last year</t>
        </is>
      </c>
      <c r="B19" s="13" t="n">
        <v>43100</v>
      </c>
    </row>
    <row r="20">
      <c r="A20" t="inlineStr">
        <is>
          <t>Raised, same period last year</t>
        </is>
      </c>
      <c r="B20" s="13" t="n">
        <v>265144</v>
      </c>
    </row>
    <row r="21">
      <c r="A21" s="14" t="inlineStr">
        <is>
          <t>Cents, same period last year</t>
        </is>
      </c>
      <c r="B21" s="15">
        <f>B19/B20*100</f>
        <v/>
      </c>
    </row>
    <row r="22"/>
    <row r="23"/>
    <row r="24">
      <c r="A24" s="5" t="inlineStr">
        <is>
          <t>Cost to raise a dollar, by source, September 2026</t>
        </is>
      </c>
    </row>
    <row r="25">
      <c r="A25" s="12" t="inlineStr">
        <is>
          <t>Fundraising cost ÷ money raised, for each source, in cents</t>
        </is>
      </c>
    </row>
    <row r="26">
      <c r="A26" s="6" t="inlineStr"/>
      <c r="B26" s="7" t="inlineStr">
        <is>
          <t>Sep 2026</t>
        </is>
      </c>
    </row>
    <row r="27">
      <c r="A27" t="inlineStr">
        <is>
          <t>Grants: cost (grant writing and reporting)</t>
        </is>
      </c>
      <c r="B27" s="13" t="n">
        <v>7100</v>
      </c>
    </row>
    <row r="28">
      <c r="A28" t="inlineStr">
        <is>
          <t>Grants: raised</t>
        </is>
      </c>
      <c r="B28" s="13" t="n">
        <v>77000</v>
      </c>
    </row>
    <row r="29">
      <c r="A29" t="inlineStr">
        <is>
          <t>Donations: cost (donor campaigns)</t>
        </is>
      </c>
      <c r="B29" s="13" t="n">
        <v>5400</v>
      </c>
    </row>
    <row r="30">
      <c r="A30" t="inlineStr">
        <is>
          <t>Donations: raised</t>
        </is>
      </c>
      <c r="B30" s="13" t="n">
        <v>27900</v>
      </c>
    </row>
    <row r="31">
      <c r="A31" t="inlineStr">
        <is>
          <t>Fundraising events: cost (event costs)</t>
        </is>
      </c>
      <c r="B31" s="13" t="n">
        <v>16900</v>
      </c>
    </row>
    <row r="32">
      <c r="A32" t="inlineStr">
        <is>
          <t>Fundraising events: raised</t>
        </is>
      </c>
      <c r="B32" s="13" t="n">
        <v>41600</v>
      </c>
    </row>
    <row r="33">
      <c r="A33" t="inlineStr">
        <is>
          <t>Grants: cost per dollar raised</t>
        </is>
      </c>
      <c r="B33" s="16">
        <f>B27/B28*100</f>
        <v/>
      </c>
    </row>
    <row r="34">
      <c r="A34" t="inlineStr">
        <is>
          <t>Donations: cost per dollar raised</t>
        </is>
      </c>
      <c r="B34" s="16">
        <f>B29/B30*100</f>
        <v/>
      </c>
    </row>
    <row r="35">
      <c r="A35" s="14" t="inlineStr">
        <is>
          <t>Fundraising events: cost per dollar raised</t>
        </is>
      </c>
      <c r="B35" s="15">
        <f>B31/B32*100</f>
        <v/>
      </c>
    </row>
    <row r="36"/>
    <row r="37"/>
    <row r="38">
      <c r="A38" s="5" t="inlineStr">
        <is>
          <t>Cost to raise a dollar, grants, September and August</t>
        </is>
      </c>
    </row>
    <row r="39">
      <c r="A39" s="12" t="inlineStr">
        <is>
          <t>Cost of raising it ÷ money raised, in cents</t>
        </is>
      </c>
    </row>
    <row r="40">
      <c r="A40" s="6" t="inlineStr"/>
      <c r="B40" s="7" t="inlineStr">
        <is>
          <t>Sep 26</t>
        </is>
      </c>
      <c r="C40" s="7" t="inlineStr">
        <is>
          <t>Aug 26</t>
        </is>
      </c>
    </row>
    <row r="41">
      <c r="A41" t="inlineStr">
        <is>
          <t>Cost of raising it</t>
        </is>
      </c>
      <c r="B41" s="13" t="n">
        <v>7100</v>
      </c>
      <c r="C41" s="13" t="n">
        <v>7100</v>
      </c>
    </row>
    <row r="42">
      <c r="A42" t="inlineStr">
        <is>
          <t>Money raised</t>
        </is>
      </c>
      <c r="B42" s="13" t="n">
        <v>77000</v>
      </c>
      <c r="C42" s="13" t="n">
        <v>73700</v>
      </c>
    </row>
    <row r="43">
      <c r="A43" s="14" t="inlineStr">
        <is>
          <t>Cents per dollar</t>
        </is>
      </c>
      <c r="B43" s="15">
        <f>B41/B42*100</f>
        <v/>
      </c>
      <c r="C43" s="15">
        <f>C41/C42*100</f>
        <v/>
      </c>
    </row>
    <row r="44"/>
    <row r="45"/>
    <row r="46">
      <c r="A46" s="5" t="inlineStr">
        <is>
          <t>Cost to raise a dollar, grants, year to date against the same period last year</t>
        </is>
      </c>
    </row>
    <row r="47">
      <c r="A47" s="12" t="inlineStr">
        <is>
          <t>Cost ÷ money raised, in cents</t>
        </is>
      </c>
    </row>
    <row r="48">
      <c r="A48" s="6" t="inlineStr"/>
      <c r="B48" s="7" t="inlineStr">
        <is>
          <t>Year to date</t>
        </is>
      </c>
    </row>
    <row r="49">
      <c r="A49" t="inlineStr">
        <is>
          <t>Cost, year to date</t>
        </is>
      </c>
      <c r="B49" s="13" t="n">
        <v>21300</v>
      </c>
    </row>
    <row r="50">
      <c r="A50" t="inlineStr">
        <is>
          <t>Raised, year to date</t>
        </is>
      </c>
      <c r="B50" s="13" t="n">
        <v>223318</v>
      </c>
    </row>
    <row r="51">
      <c r="A51" t="inlineStr">
        <is>
          <t>Cents, year to date</t>
        </is>
      </c>
      <c r="B51" s="16">
        <f>B49/B50*100</f>
        <v/>
      </c>
    </row>
    <row r="52">
      <c r="A52" t="inlineStr">
        <is>
          <t>Cost, same period last year</t>
        </is>
      </c>
      <c r="B52" s="13" t="n">
        <v>21300</v>
      </c>
    </row>
    <row r="53">
      <c r="A53" t="inlineStr">
        <is>
          <t>Raised, same period last year</t>
        </is>
      </c>
      <c r="B53" s="13" t="n">
        <v>182744</v>
      </c>
    </row>
    <row r="54">
      <c r="A54" s="14" t="inlineStr">
        <is>
          <t>Cents, same period last year</t>
        </is>
      </c>
      <c r="B54" s="15">
        <f>B52/B53*100</f>
        <v/>
      </c>
    </row>
    <row r="55"/>
    <row r="56"/>
    <row r="57">
      <c r="A57" s="5" t="inlineStr">
        <is>
          <t>Cost to raise a dollar, donations, September and August</t>
        </is>
      </c>
    </row>
    <row r="58">
      <c r="A58" s="12" t="inlineStr">
        <is>
          <t>Cost of raising it ÷ money raised, in cents</t>
        </is>
      </c>
    </row>
    <row r="59">
      <c r="A59" s="6" t="inlineStr"/>
      <c r="B59" s="7" t="inlineStr">
        <is>
          <t>Sep 26</t>
        </is>
      </c>
      <c r="C59" s="7" t="inlineStr">
        <is>
          <t>Aug 26</t>
        </is>
      </c>
    </row>
    <row r="60">
      <c r="A60" t="inlineStr">
        <is>
          <t>Cost of raising it</t>
        </is>
      </c>
      <c r="B60" s="13" t="n">
        <v>5400</v>
      </c>
      <c r="C60" s="13" t="n">
        <v>2200</v>
      </c>
    </row>
    <row r="61">
      <c r="A61" t="inlineStr">
        <is>
          <t>Money raised</t>
        </is>
      </c>
      <c r="B61" s="13" t="n">
        <v>27900</v>
      </c>
      <c r="C61" s="13" t="n">
        <v>18400</v>
      </c>
    </row>
    <row r="62">
      <c r="A62" s="14" t="inlineStr">
        <is>
          <t>Cents per dollar</t>
        </is>
      </c>
      <c r="B62" s="15">
        <f>B60/B61*100</f>
        <v/>
      </c>
      <c r="C62" s="15">
        <f>C60/C61*100</f>
        <v/>
      </c>
    </row>
    <row r="63"/>
    <row r="64"/>
    <row r="65">
      <c r="A65" s="5" t="inlineStr">
        <is>
          <t>Cost to raise a dollar, donations, year to date against the same period last year</t>
        </is>
      </c>
    </row>
    <row r="66">
      <c r="A66" s="12" t="inlineStr">
        <is>
          <t>Cost ÷ money raised, in cents</t>
        </is>
      </c>
    </row>
    <row r="67">
      <c r="A67" s="6" t="inlineStr"/>
      <c r="B67" s="7" t="inlineStr">
        <is>
          <t>Year to date</t>
        </is>
      </c>
    </row>
    <row r="68">
      <c r="A68" t="inlineStr">
        <is>
          <t>Cost, year to date</t>
        </is>
      </c>
      <c r="B68" s="13" t="n">
        <v>9800</v>
      </c>
    </row>
    <row r="69">
      <c r="A69" t="inlineStr">
        <is>
          <t>Raised, year to date</t>
        </is>
      </c>
      <c r="B69" s="13" t="n">
        <v>60600</v>
      </c>
    </row>
    <row r="70">
      <c r="A70" t="inlineStr">
        <is>
          <t>Cents, year to date</t>
        </is>
      </c>
      <c r="B70" s="16">
        <f>B68/B69*100</f>
        <v/>
      </c>
    </row>
    <row r="71">
      <c r="A71" t="inlineStr">
        <is>
          <t>Cost, same period last year</t>
        </is>
      </c>
      <c r="B71" s="13" t="n">
        <v>6600</v>
      </c>
    </row>
    <row r="72">
      <c r="A72" t="inlineStr">
        <is>
          <t>Raised, same period last year</t>
        </is>
      </c>
      <c r="B72" s="13" t="n">
        <v>45600</v>
      </c>
    </row>
    <row r="73">
      <c r="A73" s="14" t="inlineStr">
        <is>
          <t>Cents, same period last year</t>
        </is>
      </c>
      <c r="B73" s="15">
        <f>B71/B72*100</f>
        <v/>
      </c>
    </row>
    <row r="74"/>
    <row r="75"/>
    <row r="76">
      <c r="A76" s="5" t="inlineStr">
        <is>
          <t>Cost to raise a dollar, fundraising events, September and August</t>
        </is>
      </c>
    </row>
    <row r="77">
      <c r="A77" s="12" t="inlineStr">
        <is>
          <t>Cost of raising it ÷ money raised, in cents</t>
        </is>
      </c>
    </row>
    <row r="78">
      <c r="A78" s="6" t="inlineStr"/>
      <c r="B78" s="7" t="inlineStr">
        <is>
          <t>Sep 26</t>
        </is>
      </c>
      <c r="C78" s="7" t="inlineStr">
        <is>
          <t>Aug 26</t>
        </is>
      </c>
    </row>
    <row r="79">
      <c r="A79" t="inlineStr">
        <is>
          <t>Cost of raising it</t>
        </is>
      </c>
      <c r="B79" s="13" t="n">
        <v>16900</v>
      </c>
      <c r="C79" s="13" t="n">
        <v>2400</v>
      </c>
    </row>
    <row r="80">
      <c r="A80" t="inlineStr">
        <is>
          <t>Money raised</t>
        </is>
      </c>
      <c r="B80" s="13" t="n">
        <v>41600</v>
      </c>
      <c r="C80" s="13" t="n">
        <v>0</v>
      </c>
    </row>
    <row r="81">
      <c r="A81" s="14" t="inlineStr">
        <is>
          <t>Cents per dollar</t>
        </is>
      </c>
      <c r="B81" s="15">
        <f>B79/B80*100</f>
        <v/>
      </c>
      <c r="C81" s="15">
        <f>IFERROR(C79/C80*100,"–")</f>
        <v/>
      </c>
    </row>
    <row r="82">
      <c r="A82" s="2" t="inlineStr">
        <is>
          <t>Nothing raised in one of the months, so there's no cost per dollar for it.</t>
        </is>
      </c>
    </row>
    <row r="83"/>
    <row r="84"/>
    <row r="85">
      <c r="A85" s="5" t="inlineStr">
        <is>
          <t>Cost to raise a dollar, fundraising events, year to date against the same period last year</t>
        </is>
      </c>
    </row>
    <row r="86">
      <c r="A86" s="12" t="inlineStr">
        <is>
          <t>Cost ÷ money raised, in cents</t>
        </is>
      </c>
    </row>
    <row r="87">
      <c r="A87" s="6" t="inlineStr"/>
      <c r="B87" s="7" t="inlineStr">
        <is>
          <t>Year to date</t>
        </is>
      </c>
    </row>
    <row r="88">
      <c r="A88" t="inlineStr">
        <is>
          <t>Cost, year to date</t>
        </is>
      </c>
      <c r="B88" s="13" t="n">
        <v>19300</v>
      </c>
    </row>
    <row r="89">
      <c r="A89" t="inlineStr">
        <is>
          <t>Raised, year to date</t>
        </is>
      </c>
      <c r="B89" s="13" t="n">
        <v>41600</v>
      </c>
    </row>
    <row r="90">
      <c r="A90" t="inlineStr">
        <is>
          <t>Cents, year to date</t>
        </is>
      </c>
      <c r="B90" s="16">
        <f>B88/B89*100</f>
        <v/>
      </c>
    </row>
    <row r="91">
      <c r="A91" t="inlineStr">
        <is>
          <t>Cost, same period last year</t>
        </is>
      </c>
      <c r="B91" s="13" t="n">
        <v>15200</v>
      </c>
    </row>
    <row r="92">
      <c r="A92" t="inlineStr">
        <is>
          <t>Raised, same period last year</t>
        </is>
      </c>
      <c r="B92" s="13" t="n">
        <v>36800</v>
      </c>
    </row>
    <row r="93">
      <c r="A93" s="14" t="inlineStr">
        <is>
          <t>Cents, same period last year</t>
        </is>
      </c>
      <c r="B93" s="15">
        <f>B91/B92*100</f>
        <v/>
      </c>
    </row>
    <row r="94"/>
    <row r="95"/>
    <row r="9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3" min="0" max="16383" man="1"/>
    <brk id="45" min="0" max="16383" man="1"/>
    <brk id="7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6" t="inlineStr">
        <is>
          <t>Month</t>
        </is>
      </c>
      <c r="B5" s="7" t="inlineStr">
        <is>
          <t>Status</t>
        </is>
      </c>
      <c r="C5" s="7" t="inlineStr">
        <is>
          <t>Grant writing</t>
        </is>
      </c>
      <c r="D5" s="7" t="inlineStr">
        <is>
          <t>Donor campaigns</t>
        </is>
      </c>
      <c r="E5" s="7" t="inlineStr">
        <is>
          <t>Event costs</t>
        </is>
      </c>
      <c r="F5" s="7" t="inlineStr">
        <is>
          <t>Grant income</t>
        </is>
      </c>
      <c r="G5" s="7" t="inlineStr">
        <is>
          <t>Donations</t>
        </is>
      </c>
      <c r="H5" s="7" t="inlineStr">
        <is>
          <t>Events</t>
        </is>
      </c>
      <c r="I5" s="7" t="inlineStr">
        <is>
          <t>Cents per $1</t>
        </is>
      </c>
    </row>
    <row r="6">
      <c r="A6" s="17" t="inlineStr">
        <is>
          <t>Oct 24</t>
        </is>
      </c>
      <c r="B6" s="17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7" t="inlineStr">
        <is>
          <t>Nov 24</t>
        </is>
      </c>
      <c r="B7" s="17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7" t="inlineStr">
        <is>
          <t>Dec 24</t>
        </is>
      </c>
      <c r="B8" s="17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7" t="inlineStr">
        <is>
          <t>Jan 25</t>
        </is>
      </c>
      <c r="B9" s="17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  <row r="21">
      <c r="A21" s="17" t="inlineStr">
        <is>
          <t>Jan 26</t>
        </is>
      </c>
      <c r="B21" s="17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59785</v>
      </c>
      <c r="G21" s="13" t="n">
        <v>13100</v>
      </c>
      <c r="H21" s="13" t="n">
        <v>0</v>
      </c>
      <c r="I21" s="16">
        <f>IF(SUM(F21:H21)=0,"",SUM(C21:E21)/SUM(F21:H21)*100)</f>
        <v/>
      </c>
    </row>
    <row r="22">
      <c r="A22" s="17" t="inlineStr">
        <is>
          <t>Feb 26</t>
        </is>
      </c>
      <c r="B22" s="17" t="inlineStr">
        <is>
          <t>Locked</t>
        </is>
      </c>
      <c r="C22" s="13" t="n">
        <v>7100</v>
      </c>
      <c r="D22" s="13" t="n">
        <v>2200</v>
      </c>
      <c r="E22" s="13" t="n">
        <v>0</v>
      </c>
      <c r="F22" s="13" t="n">
        <v>55759</v>
      </c>
      <c r="G22" s="13" t="n">
        <v>16400</v>
      </c>
      <c r="H22" s="13" t="n">
        <v>0</v>
      </c>
      <c r="I22" s="16">
        <f>IF(SUM(F22:H22)=0,"",SUM(C22:E22)/SUM(F22:H22)*100)</f>
        <v/>
      </c>
    </row>
    <row r="23">
      <c r="A23" s="17" t="inlineStr">
        <is>
          <t>Mar 26</t>
        </is>
      </c>
      <c r="B23" s="17" t="inlineStr">
        <is>
          <t>Locked</t>
        </is>
      </c>
      <c r="C23" s="13" t="n">
        <v>7100</v>
      </c>
      <c r="D23" s="13" t="n">
        <v>2200</v>
      </c>
      <c r="E23" s="13" t="n">
        <v>0</v>
      </c>
      <c r="F23" s="13" t="n">
        <v>53806</v>
      </c>
      <c r="G23" s="13" t="n">
        <v>16500</v>
      </c>
      <c r="H23" s="13" t="n">
        <v>0</v>
      </c>
      <c r="I23" s="16">
        <f>IF(SUM(F23:H23)=0,"",SUM(C23:E23)/SUM(F23:H23)*100)</f>
        <v/>
      </c>
    </row>
    <row r="24">
      <c r="A24" s="17" t="inlineStr">
        <is>
          <t>Apr 26</t>
        </is>
      </c>
      <c r="B24" s="17" t="inlineStr">
        <is>
          <t>Locked</t>
        </is>
      </c>
      <c r="C24" s="13" t="n">
        <v>7100</v>
      </c>
      <c r="D24" s="13" t="n">
        <v>2200</v>
      </c>
      <c r="E24" s="13" t="n">
        <v>0</v>
      </c>
      <c r="F24" s="13" t="n">
        <v>66729</v>
      </c>
      <c r="G24" s="13" t="n">
        <v>16600</v>
      </c>
      <c r="H24" s="13" t="n">
        <v>0</v>
      </c>
      <c r="I24" s="16">
        <f>IF(SUM(F24:H24)=0,"",SUM(C24:E24)/SUM(F24:H24)*100)</f>
        <v/>
      </c>
    </row>
    <row r="25">
      <c r="A25" s="17" t="inlineStr">
        <is>
          <t>May 26</t>
        </is>
      </c>
      <c r="B25" s="17" t="inlineStr">
        <is>
          <t>Locked</t>
        </is>
      </c>
      <c r="C25" s="13" t="n">
        <v>7100</v>
      </c>
      <c r="D25" s="13" t="n">
        <v>2200</v>
      </c>
      <c r="E25" s="13" t="n">
        <v>0</v>
      </c>
      <c r="F25" s="13" t="n">
        <v>72245</v>
      </c>
      <c r="G25" s="13" t="n">
        <v>16600</v>
      </c>
      <c r="H25" s="13" t="n">
        <v>0</v>
      </c>
      <c r="I25" s="16">
        <f>IF(SUM(F25:H25)=0,"",SUM(C25:E25)/SUM(F25:H25)*100)</f>
        <v/>
      </c>
    </row>
    <row r="26">
      <c r="A26" s="17" t="inlineStr">
        <is>
          <t>Jun 26</t>
        </is>
      </c>
      <c r="B26" s="17" t="inlineStr">
        <is>
          <t>Locked</t>
        </is>
      </c>
      <c r="C26" s="13" t="n">
        <v>7100</v>
      </c>
      <c r="D26" s="13" t="n">
        <v>5500</v>
      </c>
      <c r="E26" s="13" t="n">
        <v>0</v>
      </c>
      <c r="F26" s="13" t="n">
        <v>70872</v>
      </c>
      <c r="G26" s="13" t="n">
        <v>40100</v>
      </c>
      <c r="H26" s="13" t="n">
        <v>0</v>
      </c>
      <c r="I26" s="16">
        <f>IF(SUM(F26:H26)=0,"",SUM(C26:E26)/SUM(F26:H26)*100)</f>
        <v/>
      </c>
    </row>
    <row r="27">
      <c r="A27" s="17" t="inlineStr">
        <is>
          <t>Jul 26</t>
        </is>
      </c>
      <c r="B27" s="17" t="inlineStr">
        <is>
          <t>Locked</t>
        </is>
      </c>
      <c r="C27" s="13" t="n">
        <v>7100</v>
      </c>
      <c r="D27" s="13" t="n">
        <v>2200</v>
      </c>
      <c r="E27" s="13" t="n">
        <v>0</v>
      </c>
      <c r="F27" s="13" t="n">
        <v>72618</v>
      </c>
      <c r="G27" s="13" t="n">
        <v>14300</v>
      </c>
      <c r="H27" s="13" t="n">
        <v>0</v>
      </c>
      <c r="I27" s="16">
        <f>IF(SUM(F27:H27)=0,"",SUM(C27:E27)/SUM(F27:H27)*100)</f>
        <v/>
      </c>
    </row>
    <row r="28">
      <c r="A28" s="17" t="inlineStr">
        <is>
          <t>Aug 26</t>
        </is>
      </c>
      <c r="B28" s="17" t="inlineStr">
        <is>
          <t>Locked</t>
        </is>
      </c>
      <c r="C28" s="13" t="n">
        <v>7100</v>
      </c>
      <c r="D28" s="13" t="n">
        <v>2200</v>
      </c>
      <c r="E28" s="13" t="n">
        <v>2400</v>
      </c>
      <c r="F28" s="13" t="n">
        <v>73700</v>
      </c>
      <c r="G28" s="13" t="n">
        <v>18400</v>
      </c>
      <c r="H28" s="13" t="n">
        <v>0</v>
      </c>
      <c r="I28" s="16">
        <f>IF(SUM(F28:H28)=0,"",SUM(C28:E28)/SUM(F28:H28)*100)</f>
        <v/>
      </c>
    </row>
    <row r="29">
      <c r="A29" s="17" t="inlineStr">
        <is>
          <t>Sep 26</t>
        </is>
      </c>
      <c r="B29" s="17" t="inlineStr">
        <is>
          <t>Locked</t>
        </is>
      </c>
      <c r="C29" s="13" t="n">
        <v>7100</v>
      </c>
      <c r="D29" s="13" t="n">
        <v>5400</v>
      </c>
      <c r="E29" s="13" t="n">
        <v>16900</v>
      </c>
      <c r="F29" s="13" t="n">
        <v>77000</v>
      </c>
      <c r="G29" s="13" t="n">
        <v>27900</v>
      </c>
      <c r="H29" s="13" t="n">
        <v>41600</v>
      </c>
      <c r="I29" s="16">
        <f>IF(SUM(F29:H29)=0,"",SUM(C29:E29)/SUM(F29:H29)*100)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2026-10-22T06:58:27Z</dcterms:created>
  <dcterms:modified xmlns:dcterms="http://purl.org/dc/terms/" xmlns:xsi="http://www.w3.org/2001/XMLSchema-instance" xsi:type="dcterms:W3CDTF">2026-10-22T06:58:27Z</dcterms:modified>
</cp:coreProperties>
</file>