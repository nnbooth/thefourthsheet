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2.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port" sheetId="1" state="visible" r:id="rId1"/>
    <sheet xmlns:r="http://schemas.openxmlformats.org/officeDocument/2006/relationships" name="Workings" sheetId="2" state="visible" r:id="rId2"/>
    <sheet xmlns:r="http://schemas.openxmlformats.org/officeDocument/2006/relationships" name="Chart lines" sheetId="3" state="hidden" r:id="rId3"/>
    <sheet xmlns:r="http://schemas.openxmlformats.org/officeDocument/2006/relationships" name="Data" sheetId="4" state="visible" r:id="rId4"/>
  </sheets>
  <definedNames>
    <definedName name="Job_gross_margin_September_All_jobs">'Report'!$B$16</definedName>
    <definedName name="Job_gross_margin_August_All_jobs">'Report'!$B$17</definedName>
    <definedName name="Gross_margin_jobs_need_to_break_even">'Report'!$B$18</definedName>
    <definedName name="Job_gross_margin_September_Maintenance_contracts">'Report'!$B$42</definedName>
    <definedName name="Job_gross_margin_August_Maintenance_contracts">'Report'!$B$43</definedName>
    <definedName name="Gross_margin_jobs_need_to_break_even_2">'Report'!$B$44</definedName>
    <definedName name="Job_gross_margin_September_Installations">'Report'!$B$81</definedName>
    <definedName name="Job_gross_margin_August_Installations">'Report'!$B$82</definedName>
    <definedName name="Gross_margin_jobs_need_to_break_even_3">'Report'!$B$83</definedName>
    <definedName name="Job_gross_margin_September_Call_outs_and_repairs">'Report'!$B$109</definedName>
    <definedName name="Job_gross_margin_August_Call_outs_and_repairs">'Report'!$B$110</definedName>
    <definedName name="Gross_margin_jobs_need_to_break_even_4">'Report'!$B$111</definedName>
    <definedName name="Technician_time_charged_September">'Report'!$B$112</definedName>
    <definedName name="Materials_charged_September">'Report'!$B$113</definedName>
    <definedName name="_xlnm.Print_Area" localSheetId="0">'Report'!$A$1:$D$138</definedName>
    <definedName name="_xlnm.Print_Area" localSheetId="1">'Workings'!$A$1:$C$548</definedName>
    <definedName name="_xlnm.Print_Titles" localSheetId="3">'Data'!$5:$5</definedName>
    <definedName name="_xlnm.Print_Area" localSheetId="3">'Data'!$A$1:$G$101</definedName>
  </definedNames>
  <calcPr calcId="124519" fullCalcOnLoad="1"/>
</workbook>
</file>

<file path=xl/styles.xml><?xml version="1.0" encoding="utf-8"?>
<styleSheet xmlns="http://schemas.openxmlformats.org/spreadsheetml/2006/main">
  <numFmts count="3">
    <numFmt numFmtId="164" formatCode="#,##0;[Red](#,##0);&quot;-&quot;"/>
    <numFmt numFmtId="165" formatCode="0.0%;[Red](0.0%);&quot;-&quot;"/>
    <numFmt numFmtId="166" formatCode="#,##0.0;[Red](#,##0.0);&quot;-&quot;"/>
  </numFmts>
  <fonts count="11">
    <font>
      <name val="Roboto"/>
      <sz val="11"/>
    </font>
    <font>
      <name val="Roboto"/>
      <sz val="11"/>
    </font>
    <font>
      <name val="Roboto"/>
      <b val="1"/>
      <color rgb="0025342A"/>
      <sz val="14"/>
    </font>
    <font>
      <name val="Roboto"/>
      <i val="1"/>
      <color rgb="005F6F63"/>
      <sz val="9"/>
    </font>
    <font>
      <name val="Roboto"/>
      <b val="1"/>
      <color rgb="0025342A"/>
    </font>
    <font>
      <name val="Roboto"/>
      <b val="1"/>
      <color rgb="002F7A5D"/>
      <sz val="12"/>
    </font>
    <font>
      <name val="Roboto"/>
      <i val="1"/>
      <color rgb="005F6F63"/>
    </font>
    <font>
      <name val="Roboto"/>
      <b val="1"/>
      <color rgb="00FFFFFF"/>
    </font>
    <font>
      <name val="Roboto"/>
      <b val="1"/>
    </font>
    <font>
      <name val="Roboto"/>
      <b val="1"/>
      <color rgb="002F7A5D"/>
    </font>
    <font>
      <name val="Roboto"/>
      <color rgb="005F6F63"/>
    </font>
  </fonts>
  <fills count="3">
    <fill>
      <patternFill/>
    </fill>
    <fill>
      <patternFill patternType="gray125"/>
    </fill>
    <fill>
      <patternFill patternType="solid">
        <fgColor rgb="002F7A5D"/>
      </patternFill>
    </fill>
  </fills>
  <borders count="2">
    <border>
      <left/>
      <right/>
      <top/>
      <bottom/>
      <diagonal/>
    </border>
    <border>
      <top style="thin">
        <color rgb="00DCE8DC"/>
      </top>
    </border>
  </borders>
  <cellStyleXfs count="1">
    <xf numFmtId="0" fontId="1" fillId="0" borderId="0"/>
  </cellStyleXfs>
  <cellXfs count="20">
    <xf numFmtId="0" fontId="0"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0" fillId="0" borderId="0" applyAlignment="1" pivotButton="0" quotePrefix="0" xfId="0">
      <alignment vertical="top" wrapText="1"/>
    </xf>
    <xf numFmtId="0" fontId="9" fillId="0" borderId="0" pivotButton="0" quotePrefix="0" xfId="0"/>
    <xf numFmtId="0" fontId="5" fillId="0" borderId="0" pivotButton="0" quotePrefix="0" xfId="0"/>
    <xf numFmtId="0" fontId="7" fillId="2" borderId="0" applyAlignment="1" pivotButton="0" quotePrefix="0" xfId="0">
      <alignment horizontal="left" vertical="center" wrapText="1"/>
    </xf>
    <xf numFmtId="0" fontId="7" fillId="2" borderId="0" applyAlignment="1" pivotButton="0" quotePrefix="0" xfId="0">
      <alignment horizontal="right" vertical="center" wrapText="1"/>
    </xf>
    <xf numFmtId="165" fontId="0" fillId="0" borderId="0" pivotButton="0" quotePrefix="0" xfId="0"/>
    <xf numFmtId="0" fontId="10" fillId="0" borderId="0" applyAlignment="1" pivotButton="0" quotePrefix="0" xfId="0">
      <alignment indent="1"/>
    </xf>
    <xf numFmtId="0" fontId="4" fillId="0" borderId="0" pivotButton="0" quotePrefix="0" xfId="0"/>
    <xf numFmtId="164" fontId="0" fillId="0" borderId="0" pivotButton="0" quotePrefix="0" xfId="0"/>
    <xf numFmtId="0" fontId="6" fillId="0" borderId="0" pivotButton="0" quotePrefix="0" xfId="0"/>
    <xf numFmtId="164" fontId="0" fillId="0" borderId="0" applyAlignment="1" pivotButton="0" quotePrefix="0" xfId="0">
      <alignment horizontal="right"/>
    </xf>
    <xf numFmtId="165" fontId="0" fillId="0" borderId="0" applyAlignment="1" pivotButton="0" quotePrefix="0" xfId="0">
      <alignment horizontal="right"/>
    </xf>
    <xf numFmtId="0" fontId="8" fillId="0" borderId="1" pivotButton="0" quotePrefix="0" xfId="0"/>
    <xf numFmtId="165" fontId="8" fillId="0" borderId="1" applyAlignment="1" pivotButton="0" quotePrefix="0" xfId="0">
      <alignment horizontal="right"/>
    </xf>
    <xf numFmtId="166" fontId="0" fillId="0" borderId="0" applyAlignment="1" pivotButton="0" quotePrefix="0" xfId="0">
      <alignment horizontal="right"/>
    </xf>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sz="1100" b="1">
                <a:solidFill>
                  <a:srgbClr val="25342A"/>
                </a:solidFill>
                <a:latin typeface="Roboto"/>
              </a:defRPr>
            </a:pPr>
            <a:r>
              <a:rPr sz="1100" b="1">
                <a:solidFill>
                  <a:srgbClr val="25342A"/>
                </a:solidFill>
                <a:latin typeface="Roboto"/>
              </a:rPr>
              <a:t>Job gross margin by type of job, September 2026</a:t>
            </a:r>
          </a:p>
        </rich>
      </tx>
      <overlay val="0"/>
    </title>
    <plotArea>
      <barChart>
        <barDir val="bar"/>
        <grouping val="clustered"/>
        <varyColors val="0"/>
        <ser>
          <idx val="0"/>
          <order val="0"/>
          <tx>
            <v>Gross margin %</v>
          </tx>
          <spPr>
            <a:solidFill xmlns:a="http://schemas.openxmlformats.org/drawingml/2006/main">
              <a:srgbClr val="0E9F6E"/>
            </a:solidFill>
            <a:ln xmlns:a="http://schemas.openxmlformats.org/drawingml/2006/main">
              <a:solidFill>
                <a:srgbClr val="0E9F6E"/>
              </a:solidFill>
              <a:prstDash val="solid"/>
            </a:ln>
          </spPr>
          <invertIfNegative val="0"/>
          <dPt>
            <idx val="1"/>
            <spPr>
              <a:solidFill xmlns:a="http://schemas.openxmlformats.org/drawingml/2006/main">
                <a:srgbClr val="7D8790"/>
              </a:solidFill>
              <a:ln xmlns:a="http://schemas.openxmlformats.org/drawingml/2006/main">
                <a:solidFill>
                  <a:srgbClr val="7D8790"/>
                </a:solidFill>
                <a:prstDash val="solid"/>
              </a:ln>
            </spPr>
          </dPt>
          <dLbls>
            <numFmt formatCode="0.0%"/>
            <showLegendKey val="0"/>
            <showVal val="1"/>
            <showCatName val="0"/>
            <showSerName val="0"/>
            <showPercent val="0"/>
          </dLbls>
          <cat>
            <numRef>
              <f>'Report'!$A$22:$A$24</f>
            </numRef>
          </cat>
          <val>
            <numRef>
              <f>'Report'!$B$22:$B$24</f>
            </numRef>
          </val>
        </ser>
        <gapWidth val="60"/>
        <axId val="10"/>
        <axId val="100"/>
      </barChart>
      <scatterChart>
        <ser>
          <idx val="1"/>
          <order val="1"/>
          <tx>
            <v>Target 35.0%</v>
          </tx>
          <spPr>
            <a:ln xmlns:a="http://schemas.openxmlformats.org/drawingml/2006/main" w="19050">
              <a:solidFill>
                <a:srgbClr val="25342A"/>
              </a:solidFill>
              <a:prstDash val="dash"/>
            </a:ln>
          </spPr>
          <marker>
            <symbol val="none"/>
            <spPr>
              <a:ln xmlns:a="http://schemas.openxmlformats.org/drawingml/2006/main">
                <a:prstDash val="solid"/>
              </a:ln>
            </spPr>
          </marker>
          <dLbls>
            <dLbl>
              <idx val="1"/>
              <txPr>
                <a:bodyPr xmlns:a="http://schemas.openxmlformats.org/drawingml/2006/main"/>
                <a:p xmlns:a="http://schemas.openxmlformats.org/drawingml/2006/main">
                  <a:pPr>
                    <a:defRPr sz="900" b="1">
                      <a:solidFill>
                        <a:srgbClr val="25342A"/>
                      </a:solidFill>
                      <a:latin typeface="Roboto"/>
                    </a:defRPr>
                  </a:pPr>
                  <a:r>
                    <a:t/>
                  </a:r>
                  <a:endParaRPr sz="900" b="1">
                    <a:solidFill>
                      <a:srgbClr val="25342A"/>
                    </a:solidFill>
                    <a:latin typeface="Roboto"/>
                  </a:endParaRPr>
                </a:p>
              </txPr>
              <dLblPos val="r"/>
              <showLegendKey val="0"/>
              <showVal val="0"/>
              <showCatName val="0"/>
              <showSerName val="1"/>
              <showPercent val="0"/>
            </dLbl>
            <showLegendKey val="0"/>
            <showVal val="0"/>
            <showCatName val="0"/>
            <showSerName val="0"/>
            <showPercent val="0"/>
          </dLbls>
          <xVal>
            <numRef>
              <f>'Chart lines'!$B$4:$B$5</f>
            </numRef>
          </xVal>
          <yVal>
            <numRef>
              <f>'Chart lines'!$C$4:$C$5</f>
            </numRef>
          </yVal>
          <smooth val="0"/>
        </ser>
        <ser>
          <idx val="2"/>
          <order val="2"/>
          <tx>
            <v>Break-even 39.0%</v>
          </tx>
          <spPr>
            <a:ln xmlns:a="http://schemas.openxmlformats.org/drawingml/2006/main" w="19050">
              <a:solidFill>
                <a:srgbClr val="B42318"/>
              </a:solidFill>
              <a:prstDash val="sysDot"/>
            </a:ln>
          </spPr>
          <marker>
            <symbol val="none"/>
            <spPr>
              <a:ln xmlns:a="http://schemas.openxmlformats.org/drawingml/2006/main">
                <a:prstDash val="solid"/>
              </a:ln>
            </spPr>
          </marker>
          <dLbls>
            <dLbl>
              <idx val="1"/>
              <txPr>
                <a:bodyPr xmlns:a="http://schemas.openxmlformats.org/drawingml/2006/main"/>
                <a:p xmlns:a="http://schemas.openxmlformats.org/drawingml/2006/main">
                  <a:pPr>
                    <a:defRPr sz="900" b="1">
                      <a:solidFill>
                        <a:srgbClr val="B42318"/>
                      </a:solidFill>
                      <a:latin typeface="Roboto"/>
                    </a:defRPr>
                  </a:pPr>
                  <a:r>
                    <a:t/>
                  </a:r>
                  <a:endParaRPr sz="900" b="1">
                    <a:solidFill>
                      <a:srgbClr val="B42318"/>
                    </a:solidFill>
                    <a:latin typeface="Roboto"/>
                  </a:endParaRPr>
                </a:p>
              </txPr>
              <dLblPos val="l"/>
              <showLegendKey val="0"/>
              <showVal val="0"/>
              <showCatName val="0"/>
              <showSerName val="1"/>
              <showPercent val="0"/>
            </dLbl>
            <showLegendKey val="0"/>
            <showVal val="0"/>
            <showCatName val="0"/>
            <showSerName val="0"/>
            <showPercent val="0"/>
          </dLbls>
          <xVal>
            <numRef>
              <f>'Chart lines'!$B$8:$B$9</f>
            </numRef>
          </xVal>
          <yVal>
            <numRef>
              <f>'Chart lines'!$C$8:$C$9</f>
            </numRef>
          </yVal>
          <smooth val="0"/>
        </ser>
        <axId val="500"/>
        <axId val="600"/>
      </scatterChart>
      <catAx>
        <axId val="10"/>
        <scaling>
          <orientation val="maxMin"/>
        </scaling>
        <axPos val="l"/>
        <majorTickMark val="none"/>
        <minorTickMark val="none"/>
        <crossAx val="100"/>
        <lblOffset val="100"/>
      </catAx>
      <valAx>
        <axId val="100"/>
        <scaling>
          <orientation val="minMax"/>
          <max val="0.73485"/>
          <min val="0"/>
        </scaling>
        <delete val="1"/>
        <axPos val="l"/>
        <numFmt formatCode="0.0%" sourceLinked="0"/>
        <majorTickMark val="none"/>
        <minorTickMark val="none"/>
        <crossAx val="10"/>
      </valAx>
      <valAx>
        <axId val="500"/>
        <scaling>
          <orientation val="minMax"/>
          <max val="0.73485"/>
          <min val="0"/>
        </scaling>
        <delete val="1"/>
        <axPos val="t"/>
        <majorTickMark val="none"/>
        <minorTickMark val="none"/>
        <crossAx val="600"/>
      </valAx>
      <valAx>
        <axId val="600"/>
        <scaling>
          <orientation val="minMax"/>
          <max val="1.08"/>
          <min val="0"/>
        </scaling>
        <delete val="1"/>
        <axPos val="r"/>
        <majorTickMark val="none"/>
        <minorTickMark val="none"/>
        <crossAx val="500"/>
        <crosses val="max"/>
      </valAx>
    </plotArea>
    <plotVisOnly val="1"/>
    <dispBlanksAs val="gap"/>
  </chart>
</chartSpace>
</file>

<file path=xl/charts/chart2.xml><?xml version="1.0" encoding="utf-8"?>
<chartSpace xmlns="http://schemas.openxmlformats.org/drawingml/2006/chart">
  <style val="2"/>
  <chart>
    <title>
      <tx>
        <rich>
          <a:bodyPr xmlns:a="http://schemas.openxmlformats.org/drawingml/2006/main"/>
          <a:p xmlns:a="http://schemas.openxmlformats.org/drawingml/2006/main">
            <a:pPr>
              <a:defRPr sz="1100" b="1">
                <a:solidFill>
                  <a:srgbClr val="25342A"/>
                </a:solidFill>
                <a:latin typeface="Roboto"/>
              </a:defRPr>
            </a:pPr>
            <a:r>
              <a:rPr sz="1100" b="1">
                <a:solidFill>
                  <a:srgbClr val="25342A"/>
                </a:solidFill>
                <a:latin typeface="Roboto"/>
              </a:rPr>
              <a:t>Job gross margin on each maintenance contract, September 2026</a:t>
            </a:r>
          </a:p>
        </rich>
      </tx>
      <overlay val="0"/>
    </title>
    <plotArea>
      <barChart>
        <barDir val="bar"/>
        <grouping val="clustered"/>
        <varyColors val="0"/>
        <ser>
          <idx val="0"/>
          <order val="0"/>
          <tx>
            <v>Gross margin %</v>
          </tx>
          <spPr>
            <a:solidFill xmlns:a="http://schemas.openxmlformats.org/drawingml/2006/main">
              <a:srgbClr val="0E9F6E"/>
            </a:solidFill>
            <a:ln xmlns:a="http://schemas.openxmlformats.org/drawingml/2006/main">
              <a:solidFill>
                <a:srgbClr val="0E9F6E"/>
              </a:solidFill>
              <a:prstDash val="solid"/>
            </a:ln>
          </spPr>
          <invertIfNegative val="0"/>
          <dLbls>
            <numFmt formatCode="0.0%"/>
            <showLegendKey val="0"/>
            <showVal val="1"/>
            <showCatName val="0"/>
            <showSerName val="0"/>
            <showPercent val="0"/>
          </dLbls>
          <cat>
            <numRef>
              <f>'Report'!$A$48:$A$61</f>
            </numRef>
          </cat>
          <val>
            <numRef>
              <f>'Report'!$B$48:$B$61</f>
            </numRef>
          </val>
        </ser>
        <gapWidth val="60"/>
        <axId val="10"/>
        <axId val="100"/>
      </barChart>
      <scatterChart>
        <ser>
          <idx val="1"/>
          <order val="1"/>
          <tx>
            <v>Target 35.0%</v>
          </tx>
          <spPr>
            <a:ln xmlns:a="http://schemas.openxmlformats.org/drawingml/2006/main" w="19050">
              <a:solidFill>
                <a:srgbClr val="25342A"/>
              </a:solidFill>
              <a:prstDash val="dash"/>
            </a:ln>
          </spPr>
          <marker>
            <symbol val="none"/>
            <spPr>
              <a:ln xmlns:a="http://schemas.openxmlformats.org/drawingml/2006/main">
                <a:prstDash val="solid"/>
              </a:ln>
            </spPr>
          </marker>
          <dLbls>
            <dLbl>
              <idx val="1"/>
              <txPr>
                <a:bodyPr xmlns:a="http://schemas.openxmlformats.org/drawingml/2006/main"/>
                <a:p xmlns:a="http://schemas.openxmlformats.org/drawingml/2006/main">
                  <a:pPr>
                    <a:defRPr sz="900" b="1">
                      <a:solidFill>
                        <a:srgbClr val="25342A"/>
                      </a:solidFill>
                      <a:latin typeface="Roboto"/>
                    </a:defRPr>
                  </a:pPr>
                  <a:r>
                    <a:t/>
                  </a:r>
                  <a:endParaRPr sz="900" b="1">
                    <a:solidFill>
                      <a:srgbClr val="25342A"/>
                    </a:solidFill>
                    <a:latin typeface="Roboto"/>
                  </a:endParaRPr>
                </a:p>
              </txPr>
              <dLblPos val="r"/>
              <showLegendKey val="0"/>
              <showVal val="0"/>
              <showCatName val="0"/>
              <showSerName val="1"/>
              <showPercent val="0"/>
            </dLbl>
            <showLegendKey val="0"/>
            <showVal val="0"/>
            <showCatName val="0"/>
            <showSerName val="0"/>
            <showPercent val="0"/>
          </dLbls>
          <xVal>
            <numRef>
              <f>'Chart lines'!$B$12:$B$13</f>
            </numRef>
          </xVal>
          <yVal>
            <numRef>
              <f>'Chart lines'!$C$12:$C$13</f>
            </numRef>
          </yVal>
          <smooth val="0"/>
        </ser>
        <ser>
          <idx val="2"/>
          <order val="2"/>
          <tx>
            <v>Break-even 39.0%</v>
          </tx>
          <spPr>
            <a:ln xmlns:a="http://schemas.openxmlformats.org/drawingml/2006/main" w="19050">
              <a:solidFill>
                <a:srgbClr val="B42318"/>
              </a:solidFill>
              <a:prstDash val="sysDot"/>
            </a:ln>
          </spPr>
          <marker>
            <symbol val="none"/>
            <spPr>
              <a:ln xmlns:a="http://schemas.openxmlformats.org/drawingml/2006/main">
                <a:prstDash val="solid"/>
              </a:ln>
            </spPr>
          </marker>
          <dLbls>
            <dLbl>
              <idx val="1"/>
              <txPr>
                <a:bodyPr xmlns:a="http://schemas.openxmlformats.org/drawingml/2006/main"/>
                <a:p xmlns:a="http://schemas.openxmlformats.org/drawingml/2006/main">
                  <a:pPr>
                    <a:defRPr sz="900" b="1">
                      <a:solidFill>
                        <a:srgbClr val="B42318"/>
                      </a:solidFill>
                      <a:latin typeface="Roboto"/>
                    </a:defRPr>
                  </a:pPr>
                  <a:r>
                    <a:t/>
                  </a:r>
                  <a:endParaRPr sz="900" b="1">
                    <a:solidFill>
                      <a:srgbClr val="B42318"/>
                    </a:solidFill>
                    <a:latin typeface="Roboto"/>
                  </a:endParaRPr>
                </a:p>
              </txPr>
              <dLblPos val="l"/>
              <showLegendKey val="0"/>
              <showVal val="0"/>
              <showCatName val="0"/>
              <showSerName val="1"/>
              <showPercent val="0"/>
            </dLbl>
            <showLegendKey val="0"/>
            <showVal val="0"/>
            <showCatName val="0"/>
            <showSerName val="0"/>
            <showPercent val="0"/>
          </dLbls>
          <xVal>
            <numRef>
              <f>'Chart lines'!$B$16:$B$17</f>
            </numRef>
          </xVal>
          <yVal>
            <numRef>
              <f>'Chart lines'!$C$16:$C$17</f>
            </numRef>
          </yVal>
          <smooth val="0"/>
        </ser>
        <axId val="500"/>
        <axId val="600"/>
      </scatterChart>
      <catAx>
        <axId val="10"/>
        <scaling>
          <orientation val="maxMin"/>
        </scaling>
        <axPos val="l"/>
        <majorTickMark val="none"/>
        <minorTickMark val="none"/>
        <crossAx val="100"/>
        <lblOffset val="100"/>
      </catAx>
      <valAx>
        <axId val="100"/>
        <scaling>
          <orientation val="minMax"/>
          <max val="0.7613"/>
          <min val="0"/>
        </scaling>
        <delete val="1"/>
        <axPos val="l"/>
        <numFmt formatCode="0.0%" sourceLinked="0"/>
        <majorTickMark val="none"/>
        <minorTickMark val="none"/>
        <crossAx val="10"/>
      </valAx>
      <valAx>
        <axId val="500"/>
        <scaling>
          <orientation val="minMax"/>
          <max val="0.7613"/>
          <min val="0"/>
        </scaling>
        <delete val="1"/>
        <axPos val="t"/>
        <majorTickMark val="none"/>
        <minorTickMark val="none"/>
        <crossAx val="600"/>
      </valAx>
      <valAx>
        <axId val="600"/>
        <scaling>
          <orientation val="minMax"/>
          <max val="1.08"/>
          <min val="0"/>
        </scaling>
        <delete val="1"/>
        <axPos val="r"/>
        <majorTickMark val="none"/>
        <minorTickMark val="none"/>
        <crossAx val="500"/>
        <crosses val="max"/>
      </valAx>
    </plotArea>
    <plotVisOnly val="1"/>
    <dispBlanksAs val="gap"/>
  </chart>
</chartSpace>
</file>

<file path=xl/charts/chart3.xml><?xml version="1.0" encoding="utf-8"?>
<chartSpace xmlns="http://schemas.openxmlformats.org/drawingml/2006/chart">
  <style val="2"/>
  <chart>
    <title>
      <tx>
        <rich>
          <a:bodyPr xmlns:a="http://schemas.openxmlformats.org/drawingml/2006/main"/>
          <a:p xmlns:a="http://schemas.openxmlformats.org/drawingml/2006/main">
            <a:pPr>
              <a:defRPr sz="1100" b="1">
                <a:solidFill>
                  <a:srgbClr val="25342A"/>
                </a:solidFill>
                <a:latin typeface="Roboto"/>
              </a:defRPr>
            </a:pPr>
            <a:r>
              <a:rPr sz="1100" b="1">
                <a:solidFill>
                  <a:srgbClr val="25342A"/>
                </a:solidFill>
                <a:latin typeface="Roboto"/>
              </a:rPr>
              <a:t>Job gross margin on each installation invoiced in September 2026</a:t>
            </a:r>
          </a:p>
        </rich>
      </tx>
      <overlay val="0"/>
    </title>
    <plotArea>
      <barChart>
        <barDir val="bar"/>
        <grouping val="clustered"/>
        <varyColors val="0"/>
        <ser>
          <idx val="0"/>
          <order val="0"/>
          <tx>
            <v>Gross margin %</v>
          </tx>
          <spPr>
            <a:solidFill xmlns:a="http://schemas.openxmlformats.org/drawingml/2006/main">
              <a:srgbClr val="0E9F6E"/>
            </a:solidFill>
            <a:ln xmlns:a="http://schemas.openxmlformats.org/drawingml/2006/main">
              <a:solidFill>
                <a:srgbClr val="0E9F6E"/>
              </a:solidFill>
              <a:prstDash val="solid"/>
            </a:ln>
          </spPr>
          <invertIfNegative val="0"/>
          <dPt>
            <idx val="4"/>
            <spPr>
              <a:solidFill xmlns:a="http://schemas.openxmlformats.org/drawingml/2006/main">
                <a:srgbClr val="7D8790"/>
              </a:solidFill>
              <a:ln xmlns:a="http://schemas.openxmlformats.org/drawingml/2006/main">
                <a:solidFill>
                  <a:srgbClr val="7D8790"/>
                </a:solidFill>
                <a:prstDash val="solid"/>
              </a:ln>
            </spPr>
          </dPt>
          <dPt>
            <idx val="5"/>
            <spPr>
              <a:solidFill xmlns:a="http://schemas.openxmlformats.org/drawingml/2006/main">
                <a:srgbClr val="7D8790"/>
              </a:solidFill>
              <a:ln xmlns:a="http://schemas.openxmlformats.org/drawingml/2006/main">
                <a:solidFill>
                  <a:srgbClr val="7D8790"/>
                </a:solidFill>
                <a:prstDash val="solid"/>
              </a:ln>
            </spPr>
          </dPt>
          <dLbls>
            <numFmt formatCode="0.0%"/>
            <showLegendKey val="0"/>
            <showVal val="1"/>
            <showCatName val="0"/>
            <showSerName val="0"/>
            <showPercent val="0"/>
          </dLbls>
          <cat>
            <numRef>
              <f>'Report'!$A$87:$A$92</f>
            </numRef>
          </cat>
          <val>
            <numRef>
              <f>'Report'!$B$87:$B$92</f>
            </numRef>
          </val>
        </ser>
        <gapWidth val="60"/>
        <axId val="10"/>
        <axId val="100"/>
      </barChart>
      <scatterChart>
        <ser>
          <idx val="1"/>
          <order val="1"/>
          <tx>
            <v>Target 35.0%</v>
          </tx>
          <spPr>
            <a:ln xmlns:a="http://schemas.openxmlformats.org/drawingml/2006/main" w="19050">
              <a:solidFill>
                <a:srgbClr val="25342A"/>
              </a:solidFill>
              <a:prstDash val="dash"/>
            </a:ln>
          </spPr>
          <marker>
            <symbol val="none"/>
            <spPr>
              <a:ln xmlns:a="http://schemas.openxmlformats.org/drawingml/2006/main">
                <a:prstDash val="solid"/>
              </a:ln>
            </spPr>
          </marker>
          <dLbls>
            <dLbl>
              <idx val="1"/>
              <txPr>
                <a:bodyPr xmlns:a="http://schemas.openxmlformats.org/drawingml/2006/main"/>
                <a:p xmlns:a="http://schemas.openxmlformats.org/drawingml/2006/main">
                  <a:pPr>
                    <a:defRPr sz="900" b="1">
                      <a:solidFill>
                        <a:srgbClr val="25342A"/>
                      </a:solidFill>
                      <a:latin typeface="Roboto"/>
                    </a:defRPr>
                  </a:pPr>
                  <a:r>
                    <a:t/>
                  </a:r>
                  <a:endParaRPr sz="900" b="1">
                    <a:solidFill>
                      <a:srgbClr val="25342A"/>
                    </a:solidFill>
                    <a:latin typeface="Roboto"/>
                  </a:endParaRPr>
                </a:p>
              </txPr>
              <dLblPos val="r"/>
              <showLegendKey val="0"/>
              <showVal val="0"/>
              <showCatName val="0"/>
              <showSerName val="1"/>
              <showPercent val="0"/>
            </dLbl>
            <showLegendKey val="0"/>
            <showVal val="0"/>
            <showCatName val="0"/>
            <showSerName val="0"/>
            <showPercent val="0"/>
          </dLbls>
          <xVal>
            <numRef>
              <f>'Chart lines'!$B$20:$B$21</f>
            </numRef>
          </xVal>
          <yVal>
            <numRef>
              <f>'Chart lines'!$C$20:$C$21</f>
            </numRef>
          </yVal>
          <smooth val="0"/>
        </ser>
        <ser>
          <idx val="2"/>
          <order val="2"/>
          <tx>
            <v>Break-even 39.0%</v>
          </tx>
          <spPr>
            <a:ln xmlns:a="http://schemas.openxmlformats.org/drawingml/2006/main" w="19050">
              <a:solidFill>
                <a:srgbClr val="B42318"/>
              </a:solidFill>
              <a:prstDash val="sysDot"/>
            </a:ln>
          </spPr>
          <marker>
            <symbol val="none"/>
            <spPr>
              <a:ln xmlns:a="http://schemas.openxmlformats.org/drawingml/2006/main">
                <a:prstDash val="solid"/>
              </a:ln>
            </spPr>
          </marker>
          <dLbls>
            <dLbl>
              <idx val="1"/>
              <txPr>
                <a:bodyPr xmlns:a="http://schemas.openxmlformats.org/drawingml/2006/main"/>
                <a:p xmlns:a="http://schemas.openxmlformats.org/drawingml/2006/main">
                  <a:pPr>
                    <a:defRPr sz="900" b="1">
                      <a:solidFill>
                        <a:srgbClr val="B42318"/>
                      </a:solidFill>
                      <a:latin typeface="Roboto"/>
                    </a:defRPr>
                  </a:pPr>
                  <a:r>
                    <a:t/>
                  </a:r>
                  <a:endParaRPr sz="900" b="1">
                    <a:solidFill>
                      <a:srgbClr val="B42318"/>
                    </a:solidFill>
                    <a:latin typeface="Roboto"/>
                  </a:endParaRPr>
                </a:p>
              </txPr>
              <dLblPos val="l"/>
              <showLegendKey val="0"/>
              <showVal val="0"/>
              <showCatName val="0"/>
              <showSerName val="1"/>
              <showPercent val="0"/>
            </dLbl>
            <showLegendKey val="0"/>
            <showVal val="0"/>
            <showCatName val="0"/>
            <showSerName val="0"/>
            <showPercent val="0"/>
          </dLbls>
          <xVal>
            <numRef>
              <f>'Chart lines'!$B$24:$B$25</f>
            </numRef>
          </xVal>
          <yVal>
            <numRef>
              <f>'Chart lines'!$C$24:$C$25</f>
            </numRef>
          </yVal>
          <smooth val="0"/>
        </ser>
        <axId val="500"/>
        <axId val="600"/>
      </scatterChart>
      <catAx>
        <axId val="10"/>
        <scaling>
          <orientation val="maxMin"/>
        </scaling>
        <axPos val="l"/>
        <majorTickMark val="none"/>
        <minorTickMark val="none"/>
        <crossAx val="100"/>
        <lblOffset val="100"/>
      </catAx>
      <valAx>
        <axId val="100"/>
        <scaling>
          <orientation val="minMax"/>
          <max val="0.5888"/>
          <min val="0"/>
        </scaling>
        <delete val="1"/>
        <axPos val="l"/>
        <numFmt formatCode="0.0%" sourceLinked="0"/>
        <majorTickMark val="none"/>
        <minorTickMark val="none"/>
        <crossAx val="10"/>
      </valAx>
      <valAx>
        <axId val="500"/>
        <scaling>
          <orientation val="minMax"/>
          <max val="0.5888"/>
          <min val="0"/>
        </scaling>
        <delete val="1"/>
        <axPos val="t"/>
        <majorTickMark val="none"/>
        <minorTickMark val="none"/>
        <crossAx val="600"/>
      </valAx>
      <valAx>
        <axId val="600"/>
        <scaling>
          <orientation val="minMax"/>
          <max val="1.08"/>
          <min val="0"/>
        </scaling>
        <delete val="1"/>
        <axPos val="r"/>
        <majorTickMark val="none"/>
        <minorTickMark val="none"/>
        <crossAx val="500"/>
        <crosses val="max"/>
      </valAx>
    </plotArea>
    <plotVisOnly val="1"/>
    <dispBlanksAs val="gap"/>
  </chart>
</chartSpace>
</file>

<file path=xl/charts/chart4.xml><?xml version="1.0" encoding="utf-8"?>
<chartSpace xmlns="http://schemas.openxmlformats.org/drawingml/2006/chart">
  <style val="2"/>
  <chart>
    <title>
      <tx>
        <rich>
          <a:bodyPr xmlns:a="http://schemas.openxmlformats.org/drawingml/2006/main"/>
          <a:p xmlns:a="http://schemas.openxmlformats.org/drawingml/2006/main">
            <a:pPr>
              <a:defRPr sz="1100" b="1">
                <a:solidFill>
                  <a:srgbClr val="25342A"/>
                </a:solidFill>
                <a:latin typeface="Roboto"/>
              </a:defRPr>
            </a:pPr>
            <a:r>
              <a:rPr sz="1100" b="1">
                <a:solidFill>
                  <a:srgbClr val="25342A"/>
                </a:solidFill>
                <a:latin typeface="Roboto"/>
              </a:rPr>
              <a:t>Job gross margin on call-outs by length, September 2026</a:t>
            </a:r>
          </a:p>
        </rich>
      </tx>
      <overlay val="0"/>
    </title>
    <plotArea>
      <barChart>
        <barDir val="bar"/>
        <grouping val="clustered"/>
        <varyColors val="0"/>
        <ser>
          <idx val="0"/>
          <order val="0"/>
          <tx>
            <v>Gross margin %</v>
          </tx>
          <spPr>
            <a:solidFill xmlns:a="http://schemas.openxmlformats.org/drawingml/2006/main">
              <a:srgbClr val="0E9F6E"/>
            </a:solidFill>
            <a:ln xmlns:a="http://schemas.openxmlformats.org/drawingml/2006/main">
              <a:solidFill>
                <a:srgbClr val="0E9F6E"/>
              </a:solidFill>
              <a:prstDash val="solid"/>
            </a:ln>
          </spPr>
          <invertIfNegative val="0"/>
          <dLbls>
            <numFmt formatCode="0.0%"/>
            <showLegendKey val="0"/>
            <showVal val="1"/>
            <showCatName val="0"/>
            <showSerName val="0"/>
            <showPercent val="0"/>
          </dLbls>
          <cat>
            <numRef>
              <f>'Report'!$A$117:$A$122</f>
            </numRef>
          </cat>
          <val>
            <numRef>
              <f>'Report'!$B$117:$B$122</f>
            </numRef>
          </val>
        </ser>
        <gapWidth val="60"/>
        <axId val="10"/>
        <axId val="100"/>
      </barChart>
      <scatterChart>
        <ser>
          <idx val="1"/>
          <order val="1"/>
          <tx>
            <v>Target 35.0%</v>
          </tx>
          <spPr>
            <a:ln xmlns:a="http://schemas.openxmlformats.org/drawingml/2006/main" w="19050">
              <a:solidFill>
                <a:srgbClr val="25342A"/>
              </a:solidFill>
              <a:prstDash val="dash"/>
            </a:ln>
          </spPr>
          <marker>
            <symbol val="none"/>
            <spPr>
              <a:ln xmlns:a="http://schemas.openxmlformats.org/drawingml/2006/main">
                <a:prstDash val="solid"/>
              </a:ln>
            </spPr>
          </marker>
          <dLbls>
            <dLbl>
              <idx val="1"/>
              <txPr>
                <a:bodyPr xmlns:a="http://schemas.openxmlformats.org/drawingml/2006/main"/>
                <a:p xmlns:a="http://schemas.openxmlformats.org/drawingml/2006/main">
                  <a:pPr>
                    <a:defRPr sz="900" b="1">
                      <a:solidFill>
                        <a:srgbClr val="25342A"/>
                      </a:solidFill>
                      <a:latin typeface="Roboto"/>
                    </a:defRPr>
                  </a:pPr>
                  <a:r>
                    <a:t/>
                  </a:r>
                  <a:endParaRPr sz="900" b="1">
                    <a:solidFill>
                      <a:srgbClr val="25342A"/>
                    </a:solidFill>
                    <a:latin typeface="Roboto"/>
                  </a:endParaRPr>
                </a:p>
              </txPr>
              <dLblPos val="r"/>
              <showLegendKey val="0"/>
              <showVal val="0"/>
              <showCatName val="0"/>
              <showSerName val="1"/>
              <showPercent val="0"/>
            </dLbl>
            <showLegendKey val="0"/>
            <showVal val="0"/>
            <showCatName val="0"/>
            <showSerName val="0"/>
            <showPercent val="0"/>
          </dLbls>
          <xVal>
            <numRef>
              <f>'Chart lines'!$B$28:$B$29</f>
            </numRef>
          </xVal>
          <yVal>
            <numRef>
              <f>'Chart lines'!$C$28:$C$29</f>
            </numRef>
          </yVal>
          <smooth val="0"/>
        </ser>
        <ser>
          <idx val="2"/>
          <order val="2"/>
          <tx>
            <v>Break-even 39.0%</v>
          </tx>
          <spPr>
            <a:ln xmlns:a="http://schemas.openxmlformats.org/drawingml/2006/main" w="19050">
              <a:solidFill>
                <a:srgbClr val="B42318"/>
              </a:solidFill>
              <a:prstDash val="sysDot"/>
            </a:ln>
          </spPr>
          <marker>
            <symbol val="none"/>
            <spPr>
              <a:ln xmlns:a="http://schemas.openxmlformats.org/drawingml/2006/main">
                <a:prstDash val="solid"/>
              </a:ln>
            </spPr>
          </marker>
          <dLbls>
            <dLbl>
              <idx val="1"/>
              <txPr>
                <a:bodyPr xmlns:a="http://schemas.openxmlformats.org/drawingml/2006/main"/>
                <a:p xmlns:a="http://schemas.openxmlformats.org/drawingml/2006/main">
                  <a:pPr>
                    <a:defRPr sz="900" b="1">
                      <a:solidFill>
                        <a:srgbClr val="B42318"/>
                      </a:solidFill>
                      <a:latin typeface="Roboto"/>
                    </a:defRPr>
                  </a:pPr>
                  <a:r>
                    <a:t/>
                  </a:r>
                  <a:endParaRPr sz="900" b="1">
                    <a:solidFill>
                      <a:srgbClr val="B42318"/>
                    </a:solidFill>
                    <a:latin typeface="Roboto"/>
                  </a:endParaRPr>
                </a:p>
              </txPr>
              <dLblPos val="l"/>
              <showLegendKey val="0"/>
              <showVal val="0"/>
              <showCatName val="0"/>
              <showSerName val="1"/>
              <showPercent val="0"/>
            </dLbl>
            <showLegendKey val="0"/>
            <showVal val="0"/>
            <showCatName val="0"/>
            <showSerName val="0"/>
            <showPercent val="0"/>
          </dLbls>
          <xVal>
            <numRef>
              <f>'Chart lines'!$B$32:$B$33</f>
            </numRef>
          </xVal>
          <yVal>
            <numRef>
              <f>'Chart lines'!$C$32:$C$33</f>
            </numRef>
          </yVal>
          <smooth val="0"/>
        </ser>
        <axId val="500"/>
        <axId val="600"/>
      </scatterChart>
      <catAx>
        <axId val="10"/>
        <scaling>
          <orientation val="maxMin"/>
        </scaling>
        <axPos val="l"/>
        <majorTickMark val="none"/>
        <minorTickMark val="none"/>
        <crossAx val="100"/>
        <lblOffset val="100"/>
      </catAx>
      <valAx>
        <axId val="100"/>
        <scaling>
          <orientation val="minMax"/>
          <max val="0.5957"/>
          <min val="0"/>
        </scaling>
        <delete val="1"/>
        <axPos val="l"/>
        <numFmt formatCode="0.0%" sourceLinked="0"/>
        <majorTickMark val="none"/>
        <minorTickMark val="none"/>
        <crossAx val="10"/>
      </valAx>
      <valAx>
        <axId val="500"/>
        <scaling>
          <orientation val="minMax"/>
          <max val="0.5957"/>
          <min val="0"/>
        </scaling>
        <delete val="1"/>
        <axPos val="t"/>
        <majorTickMark val="none"/>
        <minorTickMark val="none"/>
        <crossAx val="600"/>
      </valAx>
      <valAx>
        <axId val="600"/>
        <scaling>
          <orientation val="minMax"/>
          <max val="1.08"/>
          <min val="0"/>
        </scaling>
        <delete val="1"/>
        <axPos val="r"/>
        <majorTickMark val="none"/>
        <minorTickMark val="none"/>
        <crossAx val="500"/>
        <crosses val="max"/>
      </valAx>
    </plotArea>
    <plotVisOnly val="1"/>
    <dispBlanksAs val="gap"/>
  </chart>
</chartSpace>
</file>

<file path=xl/charts/chart5.xml><?xml version="1.0" encoding="utf-8"?>
<chartSpace xmlns="http://schemas.openxmlformats.org/drawingml/2006/chart">
  <style val="2"/>
  <chart>
    <title>
      <tx>
        <rich>
          <a:bodyPr xmlns:a="http://schemas.openxmlformats.org/drawingml/2006/main"/>
          <a:p xmlns:a="http://schemas.openxmlformats.org/drawingml/2006/main">
            <a:pPr>
              <a:defRPr sz="1100" b="1">
                <a:solidFill>
                  <a:srgbClr val="25342A"/>
                </a:solidFill>
                <a:latin typeface="Roboto"/>
              </a:defRPr>
            </a:pPr>
            <a:r>
              <a:rPr sz="1100" b="1">
                <a:solidFill>
                  <a:srgbClr val="25342A"/>
                </a:solidFill>
                <a:latin typeface="Roboto"/>
              </a:rPr>
              <a:t>Revenue by month</a:t>
            </a:r>
          </a:p>
        </rich>
      </tx>
      <overlay val="0"/>
    </title>
    <plotArea>
      <lineChart>
        <grouping val="standard"/>
        <ser>
          <idx val="0"/>
          <order val="0"/>
          <tx>
            <v>All</v>
          </tx>
          <spPr>
            <a:ln xmlns:a="http://schemas.openxmlformats.org/drawingml/2006/main" w="22000">
              <a:solidFill>
                <a:srgbClr val="0E9F6E"/>
              </a:solidFill>
              <a:prstDash val="solid"/>
            </a:ln>
          </spPr>
          <marker>
            <symbol val="none"/>
            <spPr>
              <a:ln xmlns:a="http://schemas.openxmlformats.org/drawingml/2006/main">
                <a:prstDash val="solid"/>
              </a:ln>
            </spPr>
          </marker>
          <cat>
            <numRef>
              <f>'Data'!$B$6:$B$29</f>
            </numRef>
          </cat>
          <val>
            <numRef>
              <f>'Data'!$D$6:$D$29</f>
            </numRef>
          </val>
          <smooth val="0"/>
        </ser>
        <ser>
          <idx val="1"/>
          <order val="1"/>
          <tx>
            <v>Maintenance contracts</v>
          </tx>
          <spPr>
            <a:ln xmlns:a="http://schemas.openxmlformats.org/drawingml/2006/main" w="22000">
              <a:solidFill>
                <a:srgbClr val="2F7A5D"/>
              </a:solidFill>
              <a:prstDash val="solid"/>
            </a:ln>
          </spPr>
          <marker>
            <symbol val="none"/>
            <spPr>
              <a:ln xmlns:a="http://schemas.openxmlformats.org/drawingml/2006/main">
                <a:prstDash val="solid"/>
              </a:ln>
            </spPr>
          </marker>
          <cat>
            <numRef>
              <f>'Data'!$B$6:$B$29</f>
            </numRef>
          </cat>
          <val>
            <numRef>
              <f>'Data'!$D$30:$D$53</f>
            </numRef>
          </val>
          <smooth val="0"/>
        </ser>
        <ser>
          <idx val="2"/>
          <order val="2"/>
          <tx>
            <v>Installations</v>
          </tx>
          <spPr>
            <a:ln xmlns:a="http://schemas.openxmlformats.org/drawingml/2006/main" w="22000">
              <a:solidFill>
                <a:srgbClr val="8A6D3B"/>
              </a:solidFill>
              <a:prstDash val="solid"/>
            </a:ln>
          </spPr>
          <marker>
            <symbol val="none"/>
            <spPr>
              <a:ln xmlns:a="http://schemas.openxmlformats.org/drawingml/2006/main">
                <a:prstDash val="solid"/>
              </a:ln>
            </spPr>
          </marker>
          <cat>
            <numRef>
              <f>'Data'!$B$6:$B$29</f>
            </numRef>
          </cat>
          <val>
            <numRef>
              <f>'Data'!$D$54:$D$77</f>
            </numRef>
          </val>
          <smooth val="0"/>
        </ser>
        <ser>
          <idx val="3"/>
          <order val="3"/>
          <tx>
            <v>Call-outs and repairs</v>
          </tx>
          <spPr>
            <a:ln xmlns:a="http://schemas.openxmlformats.org/drawingml/2006/main" w="22000">
              <a:solidFill>
                <a:srgbClr val="5F6F63"/>
              </a:solidFill>
              <a:prstDash val="solid"/>
            </a:ln>
          </spPr>
          <marker>
            <symbol val="none"/>
            <spPr>
              <a:ln xmlns:a="http://schemas.openxmlformats.org/drawingml/2006/main">
                <a:prstDash val="solid"/>
              </a:ln>
            </spPr>
          </marker>
          <cat>
            <numRef>
              <f>'Data'!$B$6:$B$29</f>
            </numRef>
          </cat>
          <val>
            <numRef>
              <f>'Data'!$D$78:$D$101</f>
            </numRef>
          </val>
          <smooth val="0"/>
        </ser>
        <axId val="10"/>
        <axId val="100"/>
      </lineChart>
      <catAx>
        <axId val="10"/>
        <scaling>
          <orientation val="minMax"/>
        </scaling>
        <axPos val="l"/>
        <numFmt formatCode="@" sourceLinked="0"/>
        <majorTickMark val="none"/>
        <minorTickMark val="none"/>
        <crossAx val="100"/>
        <lblOffset val="100"/>
        <tickLblSkip val="2"/>
      </catAx>
      <valAx>
        <axId val="100"/>
        <scaling>
          <orientation val="minMax"/>
        </scaling>
        <axPos val="l"/>
        <majorGridlines/>
        <numFmt formatCode="#,##0;(#,##0)" sourceLinked="0"/>
        <majorTickMark val="none"/>
        <minorTickMark val="none"/>
        <crossAx val="10"/>
      </valAx>
    </plotArea>
    <legend>
      <legendPos val="b"/>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s>
</file>

<file path=xl/drawings/_rels/drawing2.xml.rels><Relationships xmlns="http://schemas.openxmlformats.org/package/2006/relationships"><Relationship Type="http://schemas.openxmlformats.org/officeDocument/2006/relationships/chart" Target="/xl/charts/chart5.xml" Id="rId1"/></Relationships>
</file>

<file path=xl/drawings/drawing1.xml><?xml version="1.0" encoding="utf-8"?>
<wsDr xmlns="http://schemas.openxmlformats.org/drawingml/2006/spreadsheetDrawing">
  <oneCellAnchor>
    <from>
      <col>5</col>
      <colOff>0</colOff>
      <row>20</row>
      <rowOff>0</rowOff>
    </from>
    <ext cx="5400000" cy="2196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5</col>
      <colOff>0</colOff>
      <row>46</row>
      <rowOff>0</rowOff>
    </from>
    <ext cx="5400000" cy="4716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5</col>
      <colOff>0</colOff>
      <row>85</row>
      <rowOff>0</rowOff>
    </from>
    <ext cx="5400000" cy="2556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5</col>
      <colOff>0</colOff>
      <row>115</row>
      <rowOff>0</rowOff>
    </from>
    <ext cx="5400000" cy="2556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wsDr>
</file>

<file path=xl/drawings/drawing2.xml><?xml version="1.0" encoding="utf-8"?>
<wsDr xmlns="http://schemas.openxmlformats.org/drawingml/2006/spreadsheetDrawing">
  <oneCellAnchor>
    <from>
      <col>8</col>
      <colOff>0</colOff>
      <row>4</row>
      <rowOff>0</rowOff>
    </from>
    <ext cx="648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ables/table1.xml><?xml version="1.0" encoding="utf-8"?>
<table xmlns="http://schemas.openxmlformats.org/spreadsheetml/2006/main" id="1" name="job_margins_Data" displayName="job_margins_Data" ref="A5:G101" headerRowCount="1">
  <autoFilter ref="A5:G101"/>
  <tableColumns count="7">
    <tableColumn id="1" name="Line"/>
    <tableColumn id="2" name="Month"/>
    <tableColumn id="3" name="Status"/>
    <tableColumn id="4" name="Revenue"/>
    <tableColumn id="5" name="Direct cost"/>
    <tableColumn id="6" name="Gross margin"/>
    <tableColumn id="7" name="Gross margin %"/>
  </tableColumns>
  <tableStyleInfo name="TableStyleLight1"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4.xml.rels><Relationships xmlns="http://schemas.openxmlformats.org/package/2006/relationships"><Relationship Type="http://schemas.openxmlformats.org/officeDocument/2006/relationships/drawing" Target="/xl/drawings/drawing2.xml" Id="rId1"/><Relationship Type="http://schemas.openxmlformats.org/officeDocument/2006/relationships/table" Target="/xl/tables/table1.xml" Id="rId2"/></Relationships>
</file>

<file path=xl/worksheets/sheet1.xml><?xml version="1.0" encoding="utf-8"?>
<worksheet xmlns="http://schemas.openxmlformats.org/spreadsheetml/2006/main">
  <sheetPr>
    <outlinePr summaryBelow="1" summaryRight="1"/>
    <pageSetUpPr fitToPage="1"/>
  </sheetPr>
  <dimension ref="A1:D140"/>
  <sheetViews>
    <sheetView showGridLines="0" workbookViewId="0">
      <selection activeCell="A1" sqref="A1"/>
    </sheetView>
  </sheetViews>
  <sheetFormatPr baseColWidth="8" defaultRowHeight="15"/>
  <cols>
    <col width="52" customWidth="1" min="1" max="1"/>
    <col width="20" customWidth="1" min="2" max="2"/>
    <col width="44" customWidth="1" min="3" max="3"/>
    <col width="18" customWidth="1" min="4" max="4"/>
  </cols>
  <sheetData>
    <row r="1">
      <c r="A1" s="1" t="inlineStr">
        <is>
          <t>Which jobs actually make money?</t>
        </is>
      </c>
    </row>
    <row r="2">
      <c r="A2" s="2" t="inlineStr">
        <is>
          <t>Sample Electrical &amp; Air Pty Ltd · SAMPLE DATA (invented) · The Fourth Sheet · Made with Python (openpyxl)</t>
        </is>
      </c>
    </row>
    <row r="3">
      <c r="A3" s="2" t="inlineStr">
        <is>
          <t>Period: September 2026 · Data status: Sep 2026 locked (data retrieved 2pm, Tue 6 Oct 2026) · Generated 22 Oct 2026, 4:57pm</t>
        </is>
      </c>
    </row>
    <row r="4"/>
    <row r="5" ht="32" customHeight="1">
      <c r="A5" s="3" t="inlineStr">
        <is>
          <t>In short: Jobs made a 42.7% gross margin in September: maintenance contracts the most (63.9%), installations the least (34.8%).</t>
        </is>
      </c>
    </row>
    <row r="6" ht="32" customHeight="1">
      <c r="A6" s="4" t="inlineStr">
        <is>
          <t>Every job's gross margin: revenue less materials, subcontractors and technician time at $68 an hour (fully loaded: wages and all on-costs). Pick a type of job and every number, chart and note on the page follows it.</t>
        </is>
      </c>
    </row>
    <row r="7"/>
    <row r="8">
      <c r="A8" s="5" t="inlineStr">
        <is>
          <t>From gross margin to profit</t>
        </is>
      </c>
    </row>
    <row r="9" ht="60" customHeight="1">
      <c r="A9" s="4" t="inlineStr">
        <is>
          <t>September's jobs made $96,230 gross margin (42.7%). Technician time not charged to jobs took $28,417 and overheads $59,580, leaving $8,233 profit before tax (3.7% of revenue). To cover overheads, jobs need a 39.0% gross margin on average. (Workings sheet: "From gross margin to profit".)</t>
        </is>
      </c>
    </row>
    <row r="10"/>
    <row r="11">
      <c r="A11" s="5" t="inlineStr">
        <is>
          <t>Gross margin, not profit</t>
        </is>
      </c>
    </row>
    <row r="12" ht="90" customHeight="1">
      <c r="A12" s="4" t="inlineStr">
        <is>
          <t>Gross margin is not profit. Job gross margin = revenue less materials, subcontractors and technician time charged to the job at $68 an hour (wages and all on-costs). Not included: technician time not charged to any job (travel, training, waiting), and overheads (office wages, marketing, vehicles, rent, insurance, IT, depreciation, interest). Profit is what's left after those. Wages include their on-costs: super (12%) and leave as it's earned. No payroll tax: wages are under Queensland's $1.3 million threshold.</t>
        </is>
      </c>
    </row>
    <row r="13"/>
    <row r="14">
      <c r="A14" s="6" t="inlineStr">
        <is>
          <t>Type of job: All jobs</t>
        </is>
      </c>
    </row>
    <row r="15">
      <c r="A15" s="7" t="inlineStr">
        <is>
          <t>Headline number</t>
        </is>
      </c>
      <c r="B15" s="8" t="inlineStr">
        <is>
          <t>Value</t>
        </is>
      </c>
      <c r="C15" s="8" t="inlineStr">
        <is>
          <t>Compared with</t>
        </is>
      </c>
    </row>
    <row r="16">
      <c r="A16" t="inlineStr">
        <is>
          <t>Job gross margin, September · All jobs</t>
        </is>
      </c>
      <c r="B16" s="9">
        <f>Workings!B28</f>
        <v/>
      </c>
      <c r="C16" s="10" t="inlineStr">
        <is>
          <t>target 35.0%</t>
        </is>
      </c>
    </row>
    <row r="17">
      <c r="A17" t="inlineStr">
        <is>
          <t>Job gross margin, August · All jobs</t>
        </is>
      </c>
      <c r="B17" s="9">
        <f>Workings!C37</f>
        <v/>
      </c>
      <c r="C17" s="10" t="inlineStr">
        <is>
          <t>target 35.0%</t>
        </is>
      </c>
    </row>
    <row r="18">
      <c r="A18" t="inlineStr">
        <is>
          <t>Gross margin jobs need to break even</t>
        </is>
      </c>
      <c r="B18" s="9">
        <f>Workings!B53</f>
        <v/>
      </c>
      <c r="C18" s="10" t="inlineStr">
        <is>
          <t>covers overheads and time not charged (September)</t>
        </is>
      </c>
    </row>
    <row r="19"/>
    <row r="20">
      <c r="A20" s="11" t="inlineStr">
        <is>
          <t>Job gross margin by type of job, September 2026</t>
        </is>
      </c>
    </row>
    <row r="21">
      <c r="A21" s="7" t="inlineStr"/>
      <c r="B21" s="8" t="inlineStr">
        <is>
          <t>Gross margin %</t>
        </is>
      </c>
      <c r="C21" s="8" t="inlineStr">
        <is>
          <t>Gross margin $</t>
        </is>
      </c>
    </row>
    <row r="22">
      <c r="A22" t="inlineStr">
        <is>
          <t>Maintenance contracts</t>
        </is>
      </c>
      <c r="B22" s="9">
        <f>Workings!B63</f>
        <v/>
      </c>
      <c r="C22" s="12">
        <f>Workings!B62</f>
        <v/>
      </c>
    </row>
    <row r="23">
      <c r="A23" t="inlineStr">
        <is>
          <t>Installations</t>
        </is>
      </c>
      <c r="B23" s="9">
        <f>Workings!B72</f>
        <v/>
      </c>
      <c r="C23" s="12">
        <f>Workings!B71</f>
        <v/>
      </c>
    </row>
    <row r="24">
      <c r="A24" t="inlineStr">
        <is>
          <t>Call-outs and repairs</t>
        </is>
      </c>
      <c r="B24" s="9">
        <f>Workings!B81</f>
        <v/>
      </c>
      <c r="C24" s="12">
        <f>Workings!B80</f>
        <v/>
      </c>
    </row>
    <row r="25"/>
    <row r="26"/>
    <row r="27"/>
    <row r="28"/>
    <row r="29"/>
    <row r="30"/>
    <row r="31"/>
    <row r="32"/>
    <row r="33"/>
    <row r="34">
      <c r="A34" s="5" t="inlineStr">
        <is>
          <t>What it shows</t>
        </is>
      </c>
    </row>
    <row r="35" ht="45" customHeight="1">
      <c r="A35" s="4" t="inlineStr">
        <is>
          <t>In September maintenance contracts made a 63.9% job gross margin, installations made a 34.8% job gross margin, call-outs and repairs made a 48.3% job gross margin (technician time at $68 an hour, wages and all on-costs). Jobs need 39.0% just to cover overheads.</t>
        </is>
      </c>
    </row>
    <row r="36"/>
    <row r="37">
      <c r="A37" s="5" t="inlineStr">
        <is>
          <t>What you'd do about it</t>
        </is>
      </c>
    </row>
    <row r="38" ht="60" customHeight="1">
      <c r="A38" s="4" t="inlineStr">
        <is>
          <t>Installations: 34.8% gross margin, 0.2 points under the 35.0% target: about $273 on $146,300 of revenue in September. It's below the 39.0% needed to cover overheads, too. Maintenance contracts: 63.9% gross margin, 28.9 points over the 35.0% target ($13,094 ahead on $45,350 in September).</t>
        </is>
      </c>
    </row>
    <row r="39"/>
    <row r="40">
      <c r="A40" s="6" t="inlineStr">
        <is>
          <t>Type of job: Maintenance contracts</t>
        </is>
      </c>
    </row>
    <row r="41">
      <c r="A41" s="7" t="inlineStr">
        <is>
          <t>Headline number</t>
        </is>
      </c>
      <c r="B41" s="8" t="inlineStr">
        <is>
          <t>Value</t>
        </is>
      </c>
      <c r="C41" s="8" t="inlineStr">
        <is>
          <t>Compared with</t>
        </is>
      </c>
    </row>
    <row r="42">
      <c r="A42" t="inlineStr">
        <is>
          <t>Job gross margin, September · Maintenance contracts</t>
        </is>
      </c>
      <c r="B42" s="9">
        <f>Workings!B90</f>
        <v/>
      </c>
      <c r="C42" s="10" t="inlineStr">
        <is>
          <t>target 35.0%</t>
        </is>
      </c>
    </row>
    <row r="43">
      <c r="A43" t="inlineStr">
        <is>
          <t>Job gross margin, August · Maintenance contracts</t>
        </is>
      </c>
      <c r="B43" s="9">
        <f>Workings!B99</f>
        <v/>
      </c>
      <c r="C43" s="10" t="inlineStr">
        <is>
          <t>target 35.0%</t>
        </is>
      </c>
    </row>
    <row r="44">
      <c r="A44" t="inlineStr">
        <is>
          <t>Gross margin jobs need to break even</t>
        </is>
      </c>
      <c r="B44" s="9">
        <f>Workings!B115</f>
        <v/>
      </c>
      <c r="C44" s="10" t="inlineStr">
        <is>
          <t>covers overheads and time not charged (September)</t>
        </is>
      </c>
    </row>
    <row r="45"/>
    <row r="46">
      <c r="A46" s="11" t="inlineStr">
        <is>
          <t>Job gross margin on each maintenance contract, September 2026</t>
        </is>
      </c>
    </row>
    <row r="47">
      <c r="A47" s="7" t="inlineStr"/>
      <c r="B47" s="8" t="inlineStr">
        <is>
          <t>Gross margin %</t>
        </is>
      </c>
      <c r="C47" s="8" t="inlineStr">
        <is>
          <t>Gross margin $</t>
        </is>
      </c>
    </row>
    <row r="48">
      <c r="A48" t="inlineStr">
        <is>
          <t>Carindale vet clinic</t>
        </is>
      </c>
      <c r="B48" s="9">
        <f>Workings!B129</f>
        <v/>
      </c>
      <c r="C48" s="12">
        <f>Workings!B128</f>
        <v/>
      </c>
    </row>
    <row r="49">
      <c r="A49" t="inlineStr">
        <is>
          <t>Wynnum medical centre</t>
        </is>
      </c>
      <c r="B49" s="9">
        <f>Workings!B142</f>
        <v/>
      </c>
      <c r="C49" s="12">
        <f>Workings!B141</f>
        <v/>
      </c>
    </row>
    <row r="50">
      <c r="A50" t="inlineStr">
        <is>
          <t>Ashgrove aged care</t>
        </is>
      </c>
      <c r="B50" s="9">
        <f>Workings!B155</f>
        <v/>
      </c>
      <c r="C50" s="12">
        <f>Workings!B154</f>
        <v/>
      </c>
    </row>
    <row r="51">
      <c r="A51" t="inlineStr">
        <is>
          <t>Riverside Apartments (strata)</t>
        </is>
      </c>
      <c r="B51" s="9">
        <f>Workings!B168</f>
        <v/>
      </c>
      <c r="C51" s="12">
        <f>Workings!B167</f>
        <v/>
      </c>
    </row>
    <row r="52">
      <c r="A52" t="inlineStr">
        <is>
          <t>Newstead gym</t>
        </is>
      </c>
      <c r="B52" s="9">
        <f>Workings!B181</f>
        <v/>
      </c>
      <c r="C52" s="12">
        <f>Workings!B180</f>
        <v/>
      </c>
    </row>
    <row r="53">
      <c r="A53" t="inlineStr">
        <is>
          <t>Fortitude Valley hotel</t>
        </is>
      </c>
      <c r="B53" s="9">
        <f>Workings!B194</f>
        <v/>
      </c>
      <c r="C53" s="12">
        <f>Workings!B193</f>
        <v/>
      </c>
    </row>
    <row r="54">
      <c r="A54" t="inlineStr">
        <is>
          <t>Southbank cafe group</t>
        </is>
      </c>
      <c r="B54" s="9">
        <f>Workings!B207</f>
        <v/>
      </c>
      <c r="C54" s="12">
        <f>Workings!B206</f>
        <v/>
      </c>
    </row>
    <row r="55">
      <c r="A55" t="inlineStr">
        <is>
          <t>Chermside retail centre</t>
        </is>
      </c>
      <c r="B55" s="9">
        <f>Workings!B220</f>
        <v/>
      </c>
      <c r="C55" s="12">
        <f>Workings!B219</f>
        <v/>
      </c>
    </row>
    <row r="56">
      <c r="A56" t="inlineStr">
        <is>
          <t>Bulimba school</t>
        </is>
      </c>
      <c r="B56" s="9">
        <f>Workings!B233</f>
        <v/>
      </c>
      <c r="C56" s="12">
        <f>Workings!B232</f>
        <v/>
      </c>
    </row>
    <row r="57">
      <c r="A57" t="inlineStr">
        <is>
          <t>Wacol logistics depot</t>
        </is>
      </c>
      <c r="B57" s="9">
        <f>Workings!B246</f>
        <v/>
      </c>
      <c r="C57" s="12">
        <f>Workings!B245</f>
        <v/>
      </c>
    </row>
    <row r="58">
      <c r="A58" t="inlineStr">
        <is>
          <t>Milton office tower</t>
        </is>
      </c>
      <c r="B58" s="9">
        <f>Workings!B259</f>
        <v/>
      </c>
      <c r="C58" s="12">
        <f>Workings!B258</f>
        <v/>
      </c>
    </row>
    <row r="59">
      <c r="A59" t="inlineStr">
        <is>
          <t>West End brewery</t>
        </is>
      </c>
      <c r="B59" s="9">
        <f>Workings!B272</f>
        <v/>
      </c>
      <c r="C59" s="12">
        <f>Workings!B271</f>
        <v/>
      </c>
    </row>
    <row r="60">
      <c r="A60" t="inlineStr">
        <is>
          <t>Rocklea factory</t>
        </is>
      </c>
      <c r="B60" s="9">
        <f>Workings!B285</f>
        <v/>
      </c>
      <c r="C60" s="12">
        <f>Workings!B284</f>
        <v/>
      </c>
    </row>
    <row r="61">
      <c r="A61" t="inlineStr">
        <is>
          <t>Kangaroo Point townhouses</t>
        </is>
      </c>
      <c r="B61" s="9">
        <f>Workings!B298</f>
        <v/>
      </c>
      <c r="C61" s="12">
        <f>Workings!B297</f>
        <v/>
      </c>
    </row>
    <row r="62"/>
    <row r="63"/>
    <row r="64"/>
    <row r="65"/>
    <row r="66"/>
    <row r="67"/>
    <row r="68"/>
    <row r="69"/>
    <row r="70"/>
    <row r="71"/>
    <row r="72"/>
    <row r="73">
      <c r="A73" s="5" t="inlineStr">
        <is>
          <t>What it shows</t>
        </is>
      </c>
    </row>
    <row r="74" ht="30" customHeight="1">
      <c r="A74" s="4" t="inlineStr">
        <is>
          <t>All 14 contracts made more than the 35.0% job gross margin target. The thinnest was Kangaroo Point townhouses at 62.9% job gross margin: 14.0 h of technician time on a $2,700 monthly fee.</t>
        </is>
      </c>
    </row>
    <row r="75"/>
    <row r="76">
      <c r="A76" s="5" t="inlineStr">
        <is>
          <t>What you'd do about it</t>
        </is>
      </c>
    </row>
    <row r="77" ht="45" customHeight="1">
      <c r="A77" s="4" t="inlineStr">
        <is>
          <t>The thinnest, Kangaroo Point townhouses: 62.9% gross margin, 27.9 points over the 35.0% target ($753 ahead on $2,700 in September). All maintenance contracts: 63.9% gross margin, 28.9 points over the 35.0% target ($13,094 ahead on $45,350 in September).</t>
        </is>
      </c>
    </row>
    <row r="78"/>
    <row r="79">
      <c r="A79" s="6" t="inlineStr">
        <is>
          <t>Type of job: Installations</t>
        </is>
      </c>
    </row>
    <row r="80">
      <c r="A80" s="7" t="inlineStr">
        <is>
          <t>Headline number</t>
        </is>
      </c>
      <c r="B80" s="8" t="inlineStr">
        <is>
          <t>Value</t>
        </is>
      </c>
      <c r="C80" s="8" t="inlineStr">
        <is>
          <t>Compared with</t>
        </is>
      </c>
    </row>
    <row r="81">
      <c r="A81" t="inlineStr">
        <is>
          <t>Job gross margin, September · Installations</t>
        </is>
      </c>
      <c r="B81" s="9">
        <f>Workings!B307</f>
        <v/>
      </c>
      <c r="C81" s="10" t="inlineStr">
        <is>
          <t>target 35.0%</t>
        </is>
      </c>
    </row>
    <row r="82">
      <c r="A82" t="inlineStr">
        <is>
          <t>Job gross margin, August · Installations</t>
        </is>
      </c>
      <c r="B82" s="9">
        <f>Workings!C316</f>
        <v/>
      </c>
      <c r="C82" s="10" t="inlineStr">
        <is>
          <t>target 35.0%</t>
        </is>
      </c>
    </row>
    <row r="83">
      <c r="A83" t="inlineStr">
        <is>
          <t>Gross margin jobs need to break even</t>
        </is>
      </c>
      <c r="B83" s="9">
        <f>Workings!B332</f>
        <v/>
      </c>
      <c r="C83" s="10" t="inlineStr">
        <is>
          <t>covers overheads and time not charged (September)</t>
        </is>
      </c>
    </row>
    <row r="84"/>
    <row r="85">
      <c r="A85" s="11" t="inlineStr">
        <is>
          <t>Job gross margin on each installation invoiced in September 2026</t>
        </is>
      </c>
    </row>
    <row r="86">
      <c r="A86" s="7" t="inlineStr"/>
      <c r="B86" s="8" t="inlineStr">
        <is>
          <t>Gross margin %</t>
        </is>
      </c>
      <c r="C86" s="8" t="inlineStr">
        <is>
          <t>Gross margin $</t>
        </is>
      </c>
    </row>
    <row r="87">
      <c r="A87" t="inlineStr">
        <is>
          <t>Bulimba EV chargers</t>
        </is>
      </c>
      <c r="B87" s="9">
        <f>Workings!B346</f>
        <v/>
      </c>
      <c r="C87" s="12">
        <f>Workings!B345</f>
        <v/>
      </c>
    </row>
    <row r="88">
      <c r="A88" t="inlineStr">
        <is>
          <t>Milton office LED lighting</t>
        </is>
      </c>
      <c r="B88" s="9">
        <f>Workings!B359</f>
        <v/>
      </c>
      <c r="C88" s="12">
        <f>Workings!B358</f>
        <v/>
      </c>
    </row>
    <row r="89">
      <c r="A89" t="inlineStr">
        <is>
          <t>Chermside clinic cabling</t>
        </is>
      </c>
      <c r="B89" s="9">
        <f>Workings!B372</f>
        <v/>
      </c>
      <c r="C89" s="12">
        <f>Workings!B371</f>
        <v/>
      </c>
    </row>
    <row r="90">
      <c r="A90" t="inlineStr">
        <is>
          <t>West End cafe air-con</t>
        </is>
      </c>
      <c r="B90" s="9">
        <f>Workings!B385</f>
        <v/>
      </c>
      <c r="C90" s="12">
        <f>Workings!B384</f>
        <v/>
      </c>
    </row>
    <row r="91">
      <c r="A91" t="inlineStr">
        <is>
          <t>Carindale solar and battery</t>
        </is>
      </c>
      <c r="B91" s="9">
        <f>Workings!B398</f>
        <v/>
      </c>
      <c r="C91" s="12">
        <f>Workings!B397</f>
        <v/>
      </c>
    </row>
    <row r="92">
      <c r="A92" t="inlineStr">
        <is>
          <t>Wacol warehouse switchboard</t>
        </is>
      </c>
      <c r="B92" s="9">
        <f>Workings!B411</f>
        <v/>
      </c>
      <c r="C92" s="12">
        <f>Workings!B410</f>
        <v/>
      </c>
    </row>
    <row r="93"/>
    <row r="94"/>
    <row r="95"/>
    <row r="96"/>
    <row r="97"/>
    <row r="98"/>
    <row r="99"/>
    <row r="100"/>
    <row r="101">
      <c r="A101" s="5" t="inlineStr">
        <is>
          <t>What it shows</t>
        </is>
      </c>
    </row>
    <row r="102" ht="60" customHeight="1">
      <c r="A102" s="4" t="inlineStr">
        <is>
          <t>2 of the 6 installation jobs invoiced in September made less than the 35.0% job gross margin target. The Wacol warehouse switchboard made a 22.7% job gross margin: 150.0 h of technician time ($10,200) and $7,400 of subcontractors on a $52,400 job. Jobs need 39.0% gross margin just to cover overheads.</t>
        </is>
      </c>
    </row>
    <row r="103"/>
    <row r="104">
      <c r="A104" s="5" t="inlineStr">
        <is>
          <t>What you'd do about it</t>
        </is>
      </c>
    </row>
    <row r="105" ht="60" customHeight="1">
      <c r="A105" s="4" t="inlineStr">
        <is>
          <t>2 installations under the 35.0% target, worth about $6,513 between them on $83,100 of revenue. The biggest gap, Wacol warehouse switchboard: 22.7% gross margin, 12.3 points under the 35.0% target: about $6,440 on $52,400 of revenue in September. It's below the 39.0% needed to cover overheads, too.</t>
        </is>
      </c>
    </row>
    <row r="106"/>
    <row r="107">
      <c r="A107" s="6" t="inlineStr">
        <is>
          <t>Type of job: Call-outs and repairs</t>
        </is>
      </c>
    </row>
    <row r="108">
      <c r="A108" s="7" t="inlineStr">
        <is>
          <t>Headline number</t>
        </is>
      </c>
      <c r="B108" s="8" t="inlineStr">
        <is>
          <t>Value</t>
        </is>
      </c>
      <c r="C108" s="8" t="inlineStr">
        <is>
          <t>Compared with</t>
        </is>
      </c>
    </row>
    <row r="109">
      <c r="A109" t="inlineStr">
        <is>
          <t>Job gross margin, September · Call-outs and repairs</t>
        </is>
      </c>
      <c r="B109" s="9">
        <f>Workings!B420</f>
        <v/>
      </c>
      <c r="C109" s="10" t="inlineStr">
        <is>
          <t>target 35.0%</t>
        </is>
      </c>
    </row>
    <row r="110">
      <c r="A110" t="inlineStr">
        <is>
          <t>Job gross margin, August · Call-outs and repairs</t>
        </is>
      </c>
      <c r="B110" s="9">
        <f>Workings!C429</f>
        <v/>
      </c>
      <c r="C110" s="10" t="inlineStr">
        <is>
          <t>target 35.0%</t>
        </is>
      </c>
    </row>
    <row r="111">
      <c r="A111" t="inlineStr">
        <is>
          <t>Gross margin jobs need to break even</t>
        </is>
      </c>
      <c r="B111" s="9">
        <f>Workings!B445</f>
        <v/>
      </c>
      <c r="C111" s="10" t="inlineStr">
        <is>
          <t>covers overheads and time not charged (September)</t>
        </is>
      </c>
    </row>
    <row r="112">
      <c r="A112" t="inlineStr">
        <is>
          <t>Technician time charged, September</t>
        </is>
      </c>
      <c r="B112" s="12">
        <f>Workings!B452</f>
        <v/>
      </c>
      <c r="C112" s="10" t="inlineStr">
        <is>
          <t>71.6% of call-out revenue</t>
        </is>
      </c>
    </row>
    <row r="113">
      <c r="A113" t="inlineStr">
        <is>
          <t>Materials charged, September</t>
        </is>
      </c>
      <c r="B113" s="12">
        <f>Workings!B468</f>
        <v/>
      </c>
      <c r="C113" s="10" t="inlineStr">
        <is>
          <t>$7,380 at cost, plus 30%</t>
        </is>
      </c>
    </row>
    <row r="114"/>
    <row r="115">
      <c r="A115" s="11" t="inlineStr">
        <is>
          <t>Job gross margin on call-outs by length, September 2026</t>
        </is>
      </c>
    </row>
    <row r="116">
      <c r="A116" s="7" t="inlineStr"/>
      <c r="B116" s="8" t="inlineStr">
        <is>
          <t>Gross margin %</t>
        </is>
      </c>
      <c r="C116" s="8" t="inlineStr">
        <is>
          <t>Gross margin $</t>
        </is>
      </c>
    </row>
    <row r="117">
      <c r="A117" t="inlineStr">
        <is>
          <t>1-hour call-outs (6)</t>
        </is>
      </c>
      <c r="B117" s="9">
        <f>Workings!B483</f>
        <v/>
      </c>
      <c r="C117" s="12">
        <f>Workings!B482</f>
        <v/>
      </c>
    </row>
    <row r="118">
      <c r="A118" t="inlineStr">
        <is>
          <t>1.5-hour call-outs (13)</t>
        </is>
      </c>
      <c r="B118" s="9">
        <f>Workings!B496</f>
        <v/>
      </c>
      <c r="C118" s="12">
        <f>Workings!B495</f>
        <v/>
      </c>
    </row>
    <row r="119">
      <c r="A119" t="inlineStr">
        <is>
          <t>2-hour call-outs (17)</t>
        </is>
      </c>
      <c r="B119" s="9">
        <f>Workings!B509</f>
        <v/>
      </c>
      <c r="C119" s="12">
        <f>Workings!B508</f>
        <v/>
      </c>
    </row>
    <row r="120">
      <c r="A120" t="inlineStr">
        <is>
          <t>2.5-hour call-outs (8)</t>
        </is>
      </c>
      <c r="B120" s="9">
        <f>Workings!B522</f>
        <v/>
      </c>
      <c r="C120" s="12">
        <f>Workings!B521</f>
        <v/>
      </c>
    </row>
    <row r="121">
      <c r="A121" t="inlineStr">
        <is>
          <t>3-hour call-outs (11)</t>
        </is>
      </c>
      <c r="B121" s="9">
        <f>Workings!B535</f>
        <v/>
      </c>
      <c r="C121" s="12">
        <f>Workings!B534</f>
        <v/>
      </c>
    </row>
    <row r="122">
      <c r="A122" t="inlineStr">
        <is>
          <t>4-hour call-outs (9)</t>
        </is>
      </c>
      <c r="B122" s="9">
        <f>Workings!B548</f>
        <v/>
      </c>
      <c r="C122" s="12">
        <f>Workings!B547</f>
        <v/>
      </c>
    </row>
    <row r="123"/>
    <row r="124"/>
    <row r="125"/>
    <row r="126"/>
    <row r="127"/>
    <row r="128"/>
    <row r="129"/>
    <row r="130"/>
    <row r="131">
      <c r="A131" s="5" t="inlineStr">
        <is>
          <t>What it shows</t>
        </is>
      </c>
    </row>
    <row r="132" ht="60" customHeight="1">
      <c r="A132" s="4" t="inlineStr">
        <is>
          <t>64 call-outs in September billed $24,216 of technician time and $9,594 of materials ($7,380 at cost plus 30%), and made a 48.3% job gross margin between them. Gross margins run from 41.2% to 51.8% by length: the hourly rate covers technician time comfortably, so the gross margin mostly moves with how much material goes on the van.</t>
        </is>
      </c>
    </row>
    <row r="133"/>
    <row r="134">
      <c r="A134" s="5" t="inlineStr">
        <is>
          <t>What you'd do about it</t>
        </is>
      </c>
    </row>
    <row r="135" ht="30" customHeight="1">
      <c r="A135" s="4" t="inlineStr">
        <is>
          <t>All call-outs: 48.3% gross margin, 13.3 points over the 35.0% target ($4,499 ahead on $33,810 in September).</t>
        </is>
      </c>
    </row>
    <row r="136"/>
    <row r="137">
      <c r="A137" s="6" t="inlineStr">
        <is>
          <t>Every type of job at once</t>
        </is>
      </c>
    </row>
    <row r="138">
      <c r="A138" s="13" t="inlineStr">
        <is>
          <t>Job gross margin by month: every month is on the Data sheet.</t>
        </is>
      </c>
    </row>
    <row r="139"/>
    <row r="140"/>
  </sheetData>
  <mergeCells count="12">
    <mergeCell ref="A102:D102"/>
    <mergeCell ref="A5:D5"/>
    <mergeCell ref="A132:D132"/>
    <mergeCell ref="A9:D9"/>
    <mergeCell ref="A6:D6"/>
    <mergeCell ref="A74:D74"/>
    <mergeCell ref="A77:D77"/>
    <mergeCell ref="A12:D12"/>
    <mergeCell ref="A35:D35"/>
    <mergeCell ref="A105:D105"/>
    <mergeCell ref="A135:D135"/>
    <mergeCell ref="A38:D38"/>
  </mergeCells>
  <printOptions horizontalCentered="1"/>
  <pageMargins left="0.5" right="0.5" top="0.75" bottom="0.75" header="0.5" footer="0.5"/>
  <pageSetup orientation="landscape" paperSize="9" fitToHeight="0" fitToWidth="1"/>
  <headerFooter>
    <oddHeader>&amp;L&amp;"Roboto,Regular"&amp;8 Sample Electrical &amp;&amp; Air Pty Ltd&amp;R&amp;"Roboto,Regular"&amp;8 &amp;A</oddHeader>
    <oddFooter>&amp;L&amp;"Roboto,Regular"&amp;8 job-margins.xlsx&amp;C&amp;"Roboto,Regular"&amp;8 Data retrieved 2pm, Tue 6 Oct 2026 · Generated 22 Oct 2026, 4:57pm&amp;R&amp;"Roboto,Regular"&amp;8 Page &amp;P of &amp;N</oddFooter>
    <evenHeader/>
    <evenFooter/>
    <firstHeader/>
    <firstFooter/>
  </headerFooter>
  <rowBreaks count="5" manualBreakCount="5">
    <brk id="19" min="0" max="16383" man="1"/>
    <brk id="45" min="0" max="16383" man="1"/>
    <brk id="72" min="0" max="16383" man="1"/>
    <brk id="100" min="0" max="16383" man="1"/>
    <brk id="114" min="0" max="16383" man="1"/>
  </rowBreaks>
  <drawing xmlns:r="http://schemas.openxmlformats.org/officeDocument/2006/relationships" r:id="rId1"/>
</worksheet>
</file>

<file path=xl/worksheets/sheet2.xml><?xml version="1.0" encoding="utf-8"?>
<worksheet xmlns="http://schemas.openxmlformats.org/spreadsheetml/2006/main">
  <sheetPr>
    <outlinePr summaryBelow="1" summaryRight="1"/>
    <pageSetUpPr fitToPage="1"/>
  </sheetPr>
  <dimension ref="A1:C551"/>
  <sheetViews>
    <sheetView showGridLines="0" workbookViewId="0">
      <selection activeCell="A1" sqref="A1"/>
    </sheetView>
  </sheetViews>
  <sheetFormatPr baseColWidth="8" defaultRowHeight="15"/>
  <cols>
    <col width="58" customWidth="1" min="1" max="1"/>
    <col width="20" customWidth="1" min="2" max="2"/>
    <col width="20" customWidth="1" min="3" max="3"/>
    <col width="20" customWidth="1" min="4" max="4"/>
  </cols>
  <sheetData>
    <row r="1">
      <c r="A1" s="1" t="inlineStr">
        <is>
          <t>How each number is worked out</t>
        </is>
      </c>
    </row>
    <row r="2">
      <c r="A2" s="2" t="inlineStr">
        <is>
          <t>Sample Electrical &amp; Air Pty Ltd · SAMPLE DATA (invented) · The Fourth Sheet · Made with Python (openpyxl)</t>
        </is>
      </c>
    </row>
    <row r="3">
      <c r="A3" s="2" t="inlineStr">
        <is>
          <t>Period: September 2026 · Data status: Sep 2026 locked (data retrieved 2pm, Tue 6 Oct 2026) · Generated 22 Oct 2026, 4:57pm</t>
        </is>
      </c>
    </row>
    <row r="4"/>
    <row r="5">
      <c r="A5" s="6" t="inlineStr">
        <is>
          <t>Trades: From gross margin to profit, September 2026</t>
        </is>
      </c>
    </row>
    <row r="6">
      <c r="A6" s="13" t="inlineStr">
        <is>
          <t>Gross margin on the work − time not charged − overheads = profit before tax</t>
        </is>
      </c>
    </row>
    <row r="7">
      <c r="A7" s="7" t="inlineStr"/>
      <c r="B7" s="8" t="inlineStr">
        <is>
          <t>Sep 2026</t>
        </is>
      </c>
    </row>
    <row r="8">
      <c r="A8" t="inlineStr">
        <is>
          <t>Gross margin on jobs</t>
        </is>
      </c>
      <c r="B8" s="14" t="n">
        <v>96230</v>
      </c>
    </row>
    <row r="9">
      <c r="A9" t="inlineStr">
        <is>
          <t>Technician wages and on-costs</t>
        </is>
      </c>
      <c r="B9" s="14" t="n">
        <v>79587</v>
      </c>
    </row>
    <row r="10">
      <c r="A10" t="inlineStr">
        <is>
          <t>Technician time charged to jobs (at cost)</t>
        </is>
      </c>
      <c r="B10" s="14" t="n">
        <v>51170</v>
      </c>
    </row>
    <row r="11">
      <c r="A11" t="inlineStr">
        <is>
          <t>Technician time not charged to jobs</t>
        </is>
      </c>
      <c r="B11" s="14">
        <f>B9-B10</f>
        <v/>
      </c>
    </row>
    <row r="12">
      <c r="A12" t="inlineStr">
        <is>
          <t>Gross profit (the P&amp;L)</t>
        </is>
      </c>
      <c r="B12" s="14">
        <f>B8-B11</f>
        <v/>
      </c>
    </row>
    <row r="13">
      <c r="A13" t="inlineStr">
        <is>
          <t>Overheads (operating expenses, depreciation, interest)</t>
        </is>
      </c>
      <c r="B13" s="14" t="n">
        <v>59580</v>
      </c>
    </row>
    <row r="14">
      <c r="A14" t="inlineStr">
        <is>
          <t>Profit before tax (the P&amp;L)</t>
        </is>
      </c>
      <c r="B14" s="14">
        <f>B12-B13</f>
        <v/>
      </c>
    </row>
    <row r="15">
      <c r="A15" t="inlineStr">
        <is>
          <t>Revenue</t>
        </is>
      </c>
      <c r="B15" s="14" t="n">
        <v>225460</v>
      </c>
    </row>
    <row r="16">
      <c r="A16" t="inlineStr">
        <is>
          <t>Gross margin on jobs, %</t>
        </is>
      </c>
      <c r="B16" s="15">
        <f>B8/B15</f>
        <v/>
      </c>
    </row>
    <row r="17">
      <c r="A17" t="inlineStr">
        <is>
          <t>Profit before tax, % of revenue</t>
        </is>
      </c>
      <c r="B17" s="15">
        <f>B14/B15</f>
        <v/>
      </c>
    </row>
    <row r="18">
      <c r="A18" s="16" t="inlineStr">
        <is>
          <t>Gross margin jobs need just to cover overheads and time not charged</t>
        </is>
      </c>
      <c r="B18" s="17">
        <f>(B11+B13)/B15</f>
        <v/>
      </c>
    </row>
    <row r="19">
      <c r="A19" s="2" t="inlineStr">
        <is>
          <t>Ties to the September 2026 P&amp;L (locked). Wages include their on-costs: super (12%) and leave as it's earned. No payroll tax: wages are under Queensland's $1.3 million threshold.</t>
        </is>
      </c>
    </row>
    <row r="20"/>
    <row r="21"/>
    <row r="22">
      <c r="A22" s="6" t="inlineStr">
        <is>
          <t>Trades, all lines: gross margin, September and August</t>
        </is>
      </c>
    </row>
    <row r="23">
      <c r="A23" s="13" t="inlineStr">
        <is>
          <t>Revenue less direct cost, over revenue. Before overheads.</t>
        </is>
      </c>
    </row>
    <row r="24">
      <c r="A24" s="7" t="inlineStr"/>
      <c r="B24" s="8" t="inlineStr">
        <is>
          <t>Sep 26</t>
        </is>
      </c>
      <c r="C24" s="8" t="inlineStr">
        <is>
          <t>Aug 26</t>
        </is>
      </c>
    </row>
    <row r="25">
      <c r="A25" t="inlineStr">
        <is>
          <t>Revenue</t>
        </is>
      </c>
      <c r="B25" s="14" t="n">
        <v>225460</v>
      </c>
      <c r="C25" s="14" t="n">
        <v>199523</v>
      </c>
    </row>
    <row r="26">
      <c r="A26" t="inlineStr">
        <is>
          <t>Direct cost</t>
        </is>
      </c>
      <c r="B26" s="14" t="n">
        <v>129230</v>
      </c>
      <c r="C26" s="14" t="n">
        <v>105370</v>
      </c>
    </row>
    <row r="27">
      <c r="A27" t="inlineStr">
        <is>
          <t>Gross margin</t>
        </is>
      </c>
      <c r="B27" s="14">
        <f>B25-B26</f>
        <v/>
      </c>
      <c r="C27" s="14">
        <f>C25-C26</f>
        <v/>
      </c>
    </row>
    <row r="28">
      <c r="A28" s="16" t="inlineStr">
        <is>
          <t>Gross margin %</t>
        </is>
      </c>
      <c r="B28" s="17">
        <f>B27/B25</f>
        <v/>
      </c>
      <c r="C28" s="17">
        <f>C27/C25</f>
        <v/>
      </c>
    </row>
    <row r="29"/>
    <row r="30"/>
    <row r="31">
      <c r="A31" s="6" t="inlineStr">
        <is>
          <t>Trades, all lines: gross margin, September and August</t>
        </is>
      </c>
    </row>
    <row r="32">
      <c r="A32" s="13" t="inlineStr">
        <is>
          <t>Revenue less direct cost, over revenue. Before overheads.</t>
        </is>
      </c>
    </row>
    <row r="33">
      <c r="A33" s="7" t="inlineStr"/>
      <c r="B33" s="8" t="inlineStr">
        <is>
          <t>Sep 26</t>
        </is>
      </c>
      <c r="C33" s="8" t="inlineStr">
        <is>
          <t>Aug 26</t>
        </is>
      </c>
    </row>
    <row r="34">
      <c r="A34" t="inlineStr">
        <is>
          <t>Revenue</t>
        </is>
      </c>
      <c r="B34" s="14" t="n">
        <v>225460</v>
      </c>
      <c r="C34" s="14" t="n">
        <v>199523</v>
      </c>
    </row>
    <row r="35">
      <c r="A35" t="inlineStr">
        <is>
          <t>Direct cost</t>
        </is>
      </c>
      <c r="B35" s="14" t="n">
        <v>129230</v>
      </c>
      <c r="C35" s="14" t="n">
        <v>105370</v>
      </c>
    </row>
    <row r="36">
      <c r="A36" t="inlineStr">
        <is>
          <t>Gross margin</t>
        </is>
      </c>
      <c r="B36" s="14">
        <f>B34-B35</f>
        <v/>
      </c>
      <c r="C36" s="14">
        <f>C34-C35</f>
        <v/>
      </c>
    </row>
    <row r="37">
      <c r="A37" s="16" t="inlineStr">
        <is>
          <t>Gross margin %</t>
        </is>
      </c>
      <c r="B37" s="17">
        <f>B36/B34</f>
        <v/>
      </c>
      <c r="C37" s="17">
        <f>C36/C34</f>
        <v/>
      </c>
    </row>
    <row r="38"/>
    <row r="39"/>
    <row r="40">
      <c r="A40" s="6" t="inlineStr">
        <is>
          <t>Trades: From gross margin to profit, September 2026</t>
        </is>
      </c>
    </row>
    <row r="41">
      <c r="A41" s="13" t="inlineStr">
        <is>
          <t>Gross margin on the work − time not charged − overheads = profit before tax</t>
        </is>
      </c>
    </row>
    <row r="42">
      <c r="A42" s="7" t="inlineStr"/>
      <c r="B42" s="8" t="inlineStr">
        <is>
          <t>Sep 2026</t>
        </is>
      </c>
    </row>
    <row r="43">
      <c r="A43" t="inlineStr">
        <is>
          <t>Gross margin on jobs</t>
        </is>
      </c>
      <c r="B43" s="14" t="n">
        <v>96230</v>
      </c>
    </row>
    <row r="44">
      <c r="A44" t="inlineStr">
        <is>
          <t>Technician wages and on-costs</t>
        </is>
      </c>
      <c r="B44" s="14" t="n">
        <v>79587</v>
      </c>
    </row>
    <row r="45">
      <c r="A45" t="inlineStr">
        <is>
          <t>Technician time charged to jobs (at cost)</t>
        </is>
      </c>
      <c r="B45" s="14" t="n">
        <v>51170</v>
      </c>
    </row>
    <row r="46">
      <c r="A46" t="inlineStr">
        <is>
          <t>Technician time not charged to jobs</t>
        </is>
      </c>
      <c r="B46" s="14">
        <f>B44-B45</f>
        <v/>
      </c>
    </row>
    <row r="47">
      <c r="A47" t="inlineStr">
        <is>
          <t>Gross profit (the P&amp;L)</t>
        </is>
      </c>
      <c r="B47" s="14">
        <f>B43-B46</f>
        <v/>
      </c>
    </row>
    <row r="48">
      <c r="A48" t="inlineStr">
        <is>
          <t>Overheads (operating expenses, depreciation, interest)</t>
        </is>
      </c>
      <c r="B48" s="14" t="n">
        <v>59580</v>
      </c>
    </row>
    <row r="49">
      <c r="A49" t="inlineStr">
        <is>
          <t>Profit before tax (the P&amp;L)</t>
        </is>
      </c>
      <c r="B49" s="14">
        <f>B47-B48</f>
        <v/>
      </c>
    </row>
    <row r="50">
      <c r="A50" t="inlineStr">
        <is>
          <t>Revenue</t>
        </is>
      </c>
      <c r="B50" s="14" t="n">
        <v>225460</v>
      </c>
    </row>
    <row r="51">
      <c r="A51" t="inlineStr">
        <is>
          <t>Gross margin on jobs, %</t>
        </is>
      </c>
      <c r="B51" s="15">
        <f>B43/B50</f>
        <v/>
      </c>
    </row>
    <row r="52">
      <c r="A52" t="inlineStr">
        <is>
          <t>Profit before tax, % of revenue</t>
        </is>
      </c>
      <c r="B52" s="15">
        <f>B49/B50</f>
        <v/>
      </c>
    </row>
    <row r="53">
      <c r="A53" s="16" t="inlineStr">
        <is>
          <t>Gross margin jobs need just to cover overheads and time not charged</t>
        </is>
      </c>
      <c r="B53" s="17">
        <f>(B46+B48)/B50</f>
        <v/>
      </c>
    </row>
    <row r="54">
      <c r="A54" s="2" t="inlineStr">
        <is>
          <t>Ties to the September 2026 P&amp;L (locked). Wages include their on-costs: super (12%) and leave as it's earned. No payroll tax: wages are under Queensland's $1.3 million threshold.</t>
        </is>
      </c>
    </row>
    <row r="55"/>
    <row r="56"/>
    <row r="57">
      <c r="A57" s="6" t="inlineStr">
        <is>
          <t>Maintenance contracts, September</t>
        </is>
      </c>
    </row>
    <row r="58">
      <c r="A58" s="13" t="inlineStr">
        <is>
          <t>Revenue less direct cost (materials, subcontractors, technician time at cost)</t>
        </is>
      </c>
    </row>
    <row r="59">
      <c r="A59" s="7" t="inlineStr"/>
      <c r="B59" s="8" t="inlineStr">
        <is>
          <t>Sep 2026</t>
        </is>
      </c>
    </row>
    <row r="60">
      <c r="A60" t="inlineStr">
        <is>
          <t>Revenue</t>
        </is>
      </c>
      <c r="B60" s="14" t="n">
        <v>45350</v>
      </c>
    </row>
    <row r="61">
      <c r="A61" t="inlineStr">
        <is>
          <t>Direct cost</t>
        </is>
      </c>
      <c r="B61" s="14" t="n">
        <v>16384</v>
      </c>
    </row>
    <row r="62">
      <c r="A62" t="inlineStr">
        <is>
          <t>Gross margin</t>
        </is>
      </c>
      <c r="B62" s="14">
        <f>B60-B61</f>
        <v/>
      </c>
    </row>
    <row r="63">
      <c r="A63" s="16" t="inlineStr">
        <is>
          <t>Gross margin %</t>
        </is>
      </c>
      <c r="B63" s="17">
        <f>B62/B60</f>
        <v/>
      </c>
    </row>
    <row r="64"/>
    <row r="65"/>
    <row r="66">
      <c r="A66" s="6" t="inlineStr">
        <is>
          <t>Installations, September</t>
        </is>
      </c>
    </row>
    <row r="67">
      <c r="A67" s="13" t="inlineStr">
        <is>
          <t>Revenue less direct cost (materials, subcontractors, technician time at cost)</t>
        </is>
      </c>
    </row>
    <row r="68">
      <c r="A68" s="7" t="inlineStr"/>
      <c r="B68" s="8" t="inlineStr">
        <is>
          <t>Sep 2026</t>
        </is>
      </c>
    </row>
    <row r="69">
      <c r="A69" t="inlineStr">
        <is>
          <t>Revenue</t>
        </is>
      </c>
      <c r="B69" s="14" t="n">
        <v>146300</v>
      </c>
    </row>
    <row r="70">
      <c r="A70" t="inlineStr">
        <is>
          <t>Direct cost</t>
        </is>
      </c>
      <c r="B70" s="14" t="n">
        <v>95368</v>
      </c>
    </row>
    <row r="71">
      <c r="A71" t="inlineStr">
        <is>
          <t>Gross margin</t>
        </is>
      </c>
      <c r="B71" s="14">
        <f>B69-B70</f>
        <v/>
      </c>
    </row>
    <row r="72">
      <c r="A72" s="16" t="inlineStr">
        <is>
          <t>Gross margin %</t>
        </is>
      </c>
      <c r="B72" s="17">
        <f>B71/B69</f>
        <v/>
      </c>
    </row>
    <row r="73"/>
    <row r="74"/>
    <row r="75">
      <c r="A75" s="6" t="inlineStr">
        <is>
          <t>Call-outs and repairs, September</t>
        </is>
      </c>
    </row>
    <row r="76">
      <c r="A76" s="13" t="inlineStr">
        <is>
          <t>Revenue less direct cost (materials, subcontractors, technician time at cost)</t>
        </is>
      </c>
    </row>
    <row r="77">
      <c r="A77" s="7" t="inlineStr"/>
      <c r="B77" s="8" t="inlineStr">
        <is>
          <t>Sep 2026</t>
        </is>
      </c>
    </row>
    <row r="78">
      <c r="A78" t="inlineStr">
        <is>
          <t>Revenue</t>
        </is>
      </c>
      <c r="B78" s="14" t="n">
        <v>33810</v>
      </c>
    </row>
    <row r="79">
      <c r="A79" t="inlineStr">
        <is>
          <t>Direct cost</t>
        </is>
      </c>
      <c r="B79" s="14" t="n">
        <v>17478</v>
      </c>
    </row>
    <row r="80">
      <c r="A80" t="inlineStr">
        <is>
          <t>Gross margin</t>
        </is>
      </c>
      <c r="B80" s="14">
        <f>B78-B79</f>
        <v/>
      </c>
    </row>
    <row r="81">
      <c r="A81" s="16" t="inlineStr">
        <is>
          <t>Gross margin %</t>
        </is>
      </c>
      <c r="B81" s="17">
        <f>B80/B78</f>
        <v/>
      </c>
    </row>
    <row r="82"/>
    <row r="83"/>
    <row r="84">
      <c r="A84" s="6" t="inlineStr">
        <is>
          <t>Trades, Maintenance contracts: gross margin, September and August</t>
        </is>
      </c>
    </row>
    <row r="85">
      <c r="A85" s="13" t="inlineStr">
        <is>
          <t>Revenue less direct cost, over revenue. Before overheads.</t>
        </is>
      </c>
    </row>
    <row r="86">
      <c r="A86" s="7" t="inlineStr"/>
      <c r="B86" s="8" t="inlineStr">
        <is>
          <t>Sep 26</t>
        </is>
      </c>
      <c r="C86" s="8" t="inlineStr">
        <is>
          <t>Aug 26</t>
        </is>
      </c>
    </row>
    <row r="87">
      <c r="A87" t="inlineStr">
        <is>
          <t>Revenue</t>
        </is>
      </c>
      <c r="B87" s="14" t="n">
        <v>45350</v>
      </c>
      <c r="C87" s="14" t="n">
        <v>45350</v>
      </c>
    </row>
    <row r="88">
      <c r="A88" t="inlineStr">
        <is>
          <t>Direct cost</t>
        </is>
      </c>
      <c r="B88" s="14" t="n">
        <v>16384</v>
      </c>
      <c r="C88" s="14" t="n">
        <v>16384</v>
      </c>
    </row>
    <row r="89">
      <c r="A89" t="inlineStr">
        <is>
          <t>Gross margin</t>
        </is>
      </c>
      <c r="B89" s="14">
        <f>B87-B88</f>
        <v/>
      </c>
      <c r="C89" s="14">
        <f>C87-C88</f>
        <v/>
      </c>
    </row>
    <row r="90">
      <c r="A90" s="16" t="inlineStr">
        <is>
          <t>Gross margin %</t>
        </is>
      </c>
      <c r="B90" s="17">
        <f>B89/B87</f>
        <v/>
      </c>
      <c r="C90" s="17">
        <f>C89/C87</f>
        <v/>
      </c>
    </row>
    <row r="91"/>
    <row r="92"/>
    <row r="93">
      <c r="A93" s="6" t="inlineStr">
        <is>
          <t>Trades, Maintenance contracts: gross margin, September and August</t>
        </is>
      </c>
    </row>
    <row r="94">
      <c r="A94" s="13" t="inlineStr">
        <is>
          <t>Revenue less direct cost, over revenue. Before overheads.</t>
        </is>
      </c>
    </row>
    <row r="95">
      <c r="A95" s="7" t="inlineStr"/>
      <c r="B95" s="8" t="inlineStr">
        <is>
          <t>Sep 26</t>
        </is>
      </c>
      <c r="C95" s="8" t="inlineStr">
        <is>
          <t>Aug 26</t>
        </is>
      </c>
    </row>
    <row r="96">
      <c r="A96" t="inlineStr">
        <is>
          <t>Revenue</t>
        </is>
      </c>
      <c r="B96" s="14" t="n">
        <v>45350</v>
      </c>
      <c r="C96" s="14" t="n">
        <v>45350</v>
      </c>
    </row>
    <row r="97">
      <c r="A97" t="inlineStr">
        <is>
          <t>Direct cost</t>
        </is>
      </c>
      <c r="B97" s="14" t="n">
        <v>16384</v>
      </c>
      <c r="C97" s="14" t="n">
        <v>16384</v>
      </c>
    </row>
    <row r="98">
      <c r="A98" t="inlineStr">
        <is>
          <t>Gross margin</t>
        </is>
      </c>
      <c r="B98" s="14">
        <f>B96-B97</f>
        <v/>
      </c>
      <c r="C98" s="14">
        <f>C96-C97</f>
        <v/>
      </c>
    </row>
    <row r="99">
      <c r="A99" s="16" t="inlineStr">
        <is>
          <t>Gross margin %</t>
        </is>
      </c>
      <c r="B99" s="17">
        <f>B98/B96</f>
        <v/>
      </c>
      <c r="C99" s="17">
        <f>C98/C96</f>
        <v/>
      </c>
    </row>
    <row r="100"/>
    <row r="101"/>
    <row r="102">
      <c r="A102" s="6" t="inlineStr">
        <is>
          <t>Trades: From gross margin to profit, September 2026</t>
        </is>
      </c>
    </row>
    <row r="103">
      <c r="A103" s="13" t="inlineStr">
        <is>
          <t>Gross margin on the work − time not charged − overheads = profit before tax</t>
        </is>
      </c>
    </row>
    <row r="104">
      <c r="A104" s="7" t="inlineStr"/>
      <c r="B104" s="8" t="inlineStr">
        <is>
          <t>Sep 2026</t>
        </is>
      </c>
    </row>
    <row r="105">
      <c r="A105" t="inlineStr">
        <is>
          <t>Gross margin on jobs</t>
        </is>
      </c>
      <c r="B105" s="14" t="n">
        <v>96230</v>
      </c>
    </row>
    <row r="106">
      <c r="A106" t="inlineStr">
        <is>
          <t>Technician wages and on-costs</t>
        </is>
      </c>
      <c r="B106" s="14" t="n">
        <v>79587</v>
      </c>
    </row>
    <row r="107">
      <c r="A107" t="inlineStr">
        <is>
          <t>Technician time charged to jobs (at cost)</t>
        </is>
      </c>
      <c r="B107" s="14" t="n">
        <v>51170</v>
      </c>
    </row>
    <row r="108">
      <c r="A108" t="inlineStr">
        <is>
          <t>Technician time not charged to jobs</t>
        </is>
      </c>
      <c r="B108" s="14">
        <f>B106-B107</f>
        <v/>
      </c>
    </row>
    <row r="109">
      <c r="A109" t="inlineStr">
        <is>
          <t>Gross profit (the P&amp;L)</t>
        </is>
      </c>
      <c r="B109" s="14">
        <f>B105-B108</f>
        <v/>
      </c>
    </row>
    <row r="110">
      <c r="A110" t="inlineStr">
        <is>
          <t>Overheads (operating expenses, depreciation, interest)</t>
        </is>
      </c>
      <c r="B110" s="14" t="n">
        <v>59580</v>
      </c>
    </row>
    <row r="111">
      <c r="A111" t="inlineStr">
        <is>
          <t>Profit before tax (the P&amp;L)</t>
        </is>
      </c>
      <c r="B111" s="14">
        <f>B109-B110</f>
        <v/>
      </c>
    </row>
    <row r="112">
      <c r="A112" t="inlineStr">
        <is>
          <t>Revenue</t>
        </is>
      </c>
      <c r="B112" s="14" t="n">
        <v>225460</v>
      </c>
    </row>
    <row r="113">
      <c r="A113" t="inlineStr">
        <is>
          <t>Gross margin on jobs, %</t>
        </is>
      </c>
      <c r="B113" s="15">
        <f>B105/B112</f>
        <v/>
      </c>
    </row>
    <row r="114">
      <c r="A114" t="inlineStr">
        <is>
          <t>Profit before tax, % of revenue</t>
        </is>
      </c>
      <c r="B114" s="15">
        <f>B111/B112</f>
        <v/>
      </c>
    </row>
    <row r="115">
      <c r="A115" s="16" t="inlineStr">
        <is>
          <t>Gross margin jobs need just to cover overheads and time not charged</t>
        </is>
      </c>
      <c r="B115" s="17">
        <f>(B108+B110)/B112</f>
        <v/>
      </c>
    </row>
    <row r="116">
      <c r="A116" s="2" t="inlineStr">
        <is>
          <t>Ties to the September 2026 P&amp;L (locked). Wages include their on-costs: super (12%) and leave as it's earned. No payroll tax: wages are under Queensland's $1.3 million threshold.</t>
        </is>
      </c>
    </row>
    <row r="117"/>
    <row r="118"/>
    <row r="119">
      <c r="A119" s="6" t="inlineStr">
        <is>
          <t>Carindale vet clinic</t>
        </is>
      </c>
    </row>
    <row r="120">
      <c r="A120" s="13" t="inlineStr">
        <is>
          <t>Job gross margin ÷ revenue for this job (before overheads)</t>
        </is>
      </c>
    </row>
    <row r="121">
      <c r="A121" s="7" t="inlineStr"/>
      <c r="B121" s="8" t="inlineStr">
        <is>
          <t>This job</t>
        </is>
      </c>
    </row>
    <row r="122">
      <c r="A122" t="inlineStr">
        <is>
          <t>Revenue</t>
        </is>
      </c>
      <c r="B122" s="14" t="n">
        <v>1900</v>
      </c>
    </row>
    <row r="123">
      <c r="A123" t="inlineStr">
        <is>
          <t>Materials</t>
        </is>
      </c>
      <c r="B123" s="14" t="n">
        <v>-30</v>
      </c>
    </row>
    <row r="124">
      <c r="A124" t="inlineStr">
        <is>
          <t>Subcontractors</t>
        </is>
      </c>
      <c r="B124" s="14" t="n">
        <v>0</v>
      </c>
    </row>
    <row r="125">
      <c r="A125" t="inlineStr">
        <is>
          <t>Technician hours</t>
        </is>
      </c>
      <c r="B125" s="18" t="n">
        <v>9</v>
      </c>
    </row>
    <row r="126">
      <c r="A126" t="inlineStr">
        <is>
          <t>Technician cost rate ($/hour, wages and all on-costs)</t>
        </is>
      </c>
      <c r="B126" s="14" t="n">
        <v>68</v>
      </c>
    </row>
    <row r="127">
      <c r="A127" t="inlineStr">
        <is>
          <t>Technician time</t>
        </is>
      </c>
      <c r="B127" s="14">
        <f>-B125*B126</f>
        <v/>
      </c>
    </row>
    <row r="128">
      <c r="A128" t="inlineStr">
        <is>
          <t>Job gross margin</t>
        </is>
      </c>
      <c r="B128" s="14">
        <f>B122+B123+B124+B127</f>
        <v/>
      </c>
    </row>
    <row r="129">
      <c r="A129" s="16" t="inlineStr">
        <is>
          <t>Job gross margin %</t>
        </is>
      </c>
      <c r="B129" s="17">
        <f>B128/B122</f>
        <v/>
      </c>
    </row>
    <row r="130"/>
    <row r="131"/>
    <row r="132">
      <c r="A132" s="6" t="inlineStr">
        <is>
          <t>Wynnum medical centre</t>
        </is>
      </c>
    </row>
    <row r="133">
      <c r="A133" s="13" t="inlineStr">
        <is>
          <t>Job gross margin ÷ revenue for this job (before overheads)</t>
        </is>
      </c>
    </row>
    <row r="134">
      <c r="A134" s="7" t="inlineStr"/>
      <c r="B134" s="8" t="inlineStr">
        <is>
          <t>This job</t>
        </is>
      </c>
    </row>
    <row r="135">
      <c r="A135" t="inlineStr">
        <is>
          <t>Revenue</t>
        </is>
      </c>
      <c r="B135" s="14" t="n">
        <v>2450</v>
      </c>
    </row>
    <row r="136">
      <c r="A136" t="inlineStr">
        <is>
          <t>Materials</t>
        </is>
      </c>
      <c r="B136" s="14" t="n">
        <v>-40</v>
      </c>
    </row>
    <row r="137">
      <c r="A137" t="inlineStr">
        <is>
          <t>Subcontractors</t>
        </is>
      </c>
      <c r="B137" s="14" t="n">
        <v>0</v>
      </c>
    </row>
    <row r="138">
      <c r="A138" t="inlineStr">
        <is>
          <t>Technician hours</t>
        </is>
      </c>
      <c r="B138" s="18" t="n">
        <v>12</v>
      </c>
    </row>
    <row r="139">
      <c r="A139" t="inlineStr">
        <is>
          <t>Technician cost rate ($/hour, wages and all on-costs)</t>
        </is>
      </c>
      <c r="B139" s="14" t="n">
        <v>68</v>
      </c>
    </row>
    <row r="140">
      <c r="A140" t="inlineStr">
        <is>
          <t>Technician time</t>
        </is>
      </c>
      <c r="B140" s="14">
        <f>-B138*B139</f>
        <v/>
      </c>
    </row>
    <row r="141">
      <c r="A141" t="inlineStr">
        <is>
          <t>Job gross margin</t>
        </is>
      </c>
      <c r="B141" s="14">
        <f>B135+B136+B137+B140</f>
        <v/>
      </c>
    </row>
    <row r="142">
      <c r="A142" s="16" t="inlineStr">
        <is>
          <t>Job gross margin %</t>
        </is>
      </c>
      <c r="B142" s="17">
        <f>B141/B135</f>
        <v/>
      </c>
    </row>
    <row r="143"/>
    <row r="144"/>
    <row r="145">
      <c r="A145" s="6" t="inlineStr">
        <is>
          <t>Ashgrove aged care</t>
        </is>
      </c>
    </row>
    <row r="146">
      <c r="A146" s="13" t="inlineStr">
        <is>
          <t>Job gross margin ÷ revenue for this job (before overheads)</t>
        </is>
      </c>
    </row>
    <row r="147">
      <c r="A147" s="7" t="inlineStr"/>
      <c r="B147" s="8" t="inlineStr">
        <is>
          <t>This job</t>
        </is>
      </c>
    </row>
    <row r="148">
      <c r="A148" t="inlineStr">
        <is>
          <t>Revenue</t>
        </is>
      </c>
      <c r="B148" s="14" t="n">
        <v>4050</v>
      </c>
    </row>
    <row r="149">
      <c r="A149" t="inlineStr">
        <is>
          <t>Materials</t>
        </is>
      </c>
      <c r="B149" s="14" t="n">
        <v>-80</v>
      </c>
    </row>
    <row r="150">
      <c r="A150" t="inlineStr">
        <is>
          <t>Subcontractors</t>
        </is>
      </c>
      <c r="B150" s="14" t="n">
        <v>0</v>
      </c>
    </row>
    <row r="151">
      <c r="A151" t="inlineStr">
        <is>
          <t>Technician hours</t>
        </is>
      </c>
      <c r="B151" s="18" t="n">
        <v>20</v>
      </c>
    </row>
    <row r="152">
      <c r="A152" t="inlineStr">
        <is>
          <t>Technician cost rate ($/hour, wages and all on-costs)</t>
        </is>
      </c>
      <c r="B152" s="14" t="n">
        <v>68</v>
      </c>
    </row>
    <row r="153">
      <c r="A153" t="inlineStr">
        <is>
          <t>Technician time</t>
        </is>
      </c>
      <c r="B153" s="14">
        <f>-B151*B152</f>
        <v/>
      </c>
    </row>
    <row r="154">
      <c r="A154" t="inlineStr">
        <is>
          <t>Job gross margin</t>
        </is>
      </c>
      <c r="B154" s="14">
        <f>B148+B149+B150+B153</f>
        <v/>
      </c>
    </row>
    <row r="155">
      <c r="A155" s="16" t="inlineStr">
        <is>
          <t>Job gross margin %</t>
        </is>
      </c>
      <c r="B155" s="17">
        <f>B154/B148</f>
        <v/>
      </c>
    </row>
    <row r="156"/>
    <row r="157"/>
    <row r="158">
      <c r="A158" s="6" t="inlineStr">
        <is>
          <t>Riverside Apartments (strata)</t>
        </is>
      </c>
    </row>
    <row r="159">
      <c r="A159" s="13" t="inlineStr">
        <is>
          <t>Job gross margin ÷ revenue for this job (before overheads)</t>
        </is>
      </c>
    </row>
    <row r="160">
      <c r="A160" s="7" t="inlineStr"/>
      <c r="B160" s="8" t="inlineStr">
        <is>
          <t>This job</t>
        </is>
      </c>
    </row>
    <row r="161">
      <c r="A161" t="inlineStr">
        <is>
          <t>Revenue</t>
        </is>
      </c>
      <c r="B161" s="14" t="n">
        <v>3600</v>
      </c>
    </row>
    <row r="162">
      <c r="A162" t="inlineStr">
        <is>
          <t>Materials</t>
        </is>
      </c>
      <c r="B162" s="14" t="n">
        <v>-60</v>
      </c>
    </row>
    <row r="163">
      <c r="A163" t="inlineStr">
        <is>
          <t>Subcontractors</t>
        </is>
      </c>
      <c r="B163" s="14" t="n">
        <v>0</v>
      </c>
    </row>
    <row r="164">
      <c r="A164" t="inlineStr">
        <is>
          <t>Technician hours</t>
        </is>
      </c>
      <c r="B164" s="18" t="n">
        <v>18</v>
      </c>
    </row>
    <row r="165">
      <c r="A165" t="inlineStr">
        <is>
          <t>Technician cost rate ($/hour, wages and all on-costs)</t>
        </is>
      </c>
      <c r="B165" s="14" t="n">
        <v>68</v>
      </c>
    </row>
    <row r="166">
      <c r="A166" t="inlineStr">
        <is>
          <t>Technician time</t>
        </is>
      </c>
      <c r="B166" s="14">
        <f>-B164*B165</f>
        <v/>
      </c>
    </row>
    <row r="167">
      <c r="A167" t="inlineStr">
        <is>
          <t>Job gross margin</t>
        </is>
      </c>
      <c r="B167" s="14">
        <f>B161+B162+B163+B166</f>
        <v/>
      </c>
    </row>
    <row r="168">
      <c r="A168" s="16" t="inlineStr">
        <is>
          <t>Job gross margin %</t>
        </is>
      </c>
      <c r="B168" s="17">
        <f>B167/B161</f>
        <v/>
      </c>
    </row>
    <row r="169"/>
    <row r="170"/>
    <row r="171">
      <c r="A171" s="6" t="inlineStr">
        <is>
          <t>Newstead gym</t>
        </is>
      </c>
    </row>
    <row r="172">
      <c r="A172" s="13" t="inlineStr">
        <is>
          <t>Job gross margin ÷ revenue for this job (before overheads)</t>
        </is>
      </c>
    </row>
    <row r="173">
      <c r="A173" s="7" t="inlineStr"/>
      <c r="B173" s="8" t="inlineStr">
        <is>
          <t>This job</t>
        </is>
      </c>
    </row>
    <row r="174">
      <c r="A174" t="inlineStr">
        <is>
          <t>Revenue</t>
        </is>
      </c>
      <c r="B174" s="14" t="n">
        <v>1800</v>
      </c>
    </row>
    <row r="175">
      <c r="A175" t="inlineStr">
        <is>
          <t>Materials</t>
        </is>
      </c>
      <c r="B175" s="14" t="n">
        <v>-30</v>
      </c>
    </row>
    <row r="176">
      <c r="A176" t="inlineStr">
        <is>
          <t>Subcontractors</t>
        </is>
      </c>
      <c r="B176" s="14" t="n">
        <v>0</v>
      </c>
    </row>
    <row r="177">
      <c r="A177" t="inlineStr">
        <is>
          <t>Technician hours</t>
        </is>
      </c>
      <c r="B177" s="18" t="n">
        <v>9</v>
      </c>
    </row>
    <row r="178">
      <c r="A178" t="inlineStr">
        <is>
          <t>Technician cost rate ($/hour, wages and all on-costs)</t>
        </is>
      </c>
      <c r="B178" s="14" t="n">
        <v>68</v>
      </c>
    </row>
    <row r="179">
      <c r="A179" t="inlineStr">
        <is>
          <t>Technician time</t>
        </is>
      </c>
      <c r="B179" s="14">
        <f>-B177*B178</f>
        <v/>
      </c>
    </row>
    <row r="180">
      <c r="A180" t="inlineStr">
        <is>
          <t>Job gross margin</t>
        </is>
      </c>
      <c r="B180" s="14">
        <f>B174+B175+B176+B179</f>
        <v/>
      </c>
    </row>
    <row r="181">
      <c r="A181" s="16" t="inlineStr">
        <is>
          <t>Job gross margin %</t>
        </is>
      </c>
      <c r="B181" s="17">
        <f>B180/B174</f>
        <v/>
      </c>
    </row>
    <row r="182"/>
    <row r="183"/>
    <row r="184">
      <c r="A184" s="6" t="inlineStr">
        <is>
          <t>Fortitude Valley hotel</t>
        </is>
      </c>
    </row>
    <row r="185">
      <c r="A185" s="13" t="inlineStr">
        <is>
          <t>Job gross margin ÷ revenue for this job (before overheads)</t>
        </is>
      </c>
    </row>
    <row r="186">
      <c r="A186" s="7" t="inlineStr"/>
      <c r="B186" s="8" t="inlineStr">
        <is>
          <t>This job</t>
        </is>
      </c>
    </row>
    <row r="187">
      <c r="A187" t="inlineStr">
        <is>
          <t>Revenue</t>
        </is>
      </c>
      <c r="B187" s="14" t="n">
        <v>3800</v>
      </c>
    </row>
    <row r="188">
      <c r="A188" t="inlineStr">
        <is>
          <t>Materials</t>
        </is>
      </c>
      <c r="B188" s="14" t="n">
        <v>-70</v>
      </c>
    </row>
    <row r="189">
      <c r="A189" t="inlineStr">
        <is>
          <t>Subcontractors</t>
        </is>
      </c>
      <c r="B189" s="14" t="n">
        <v>0</v>
      </c>
    </row>
    <row r="190">
      <c r="A190" t="inlineStr">
        <is>
          <t>Technician hours</t>
        </is>
      </c>
      <c r="B190" s="18" t="n">
        <v>19</v>
      </c>
    </row>
    <row r="191">
      <c r="A191" t="inlineStr">
        <is>
          <t>Technician cost rate ($/hour, wages and all on-costs)</t>
        </is>
      </c>
      <c r="B191" s="14" t="n">
        <v>68</v>
      </c>
    </row>
    <row r="192">
      <c r="A192" t="inlineStr">
        <is>
          <t>Technician time</t>
        </is>
      </c>
      <c r="B192" s="14">
        <f>-B190*B191</f>
        <v/>
      </c>
    </row>
    <row r="193">
      <c r="A193" t="inlineStr">
        <is>
          <t>Job gross margin</t>
        </is>
      </c>
      <c r="B193" s="14">
        <f>B187+B188+B189+B192</f>
        <v/>
      </c>
    </row>
    <row r="194">
      <c r="A194" s="16" t="inlineStr">
        <is>
          <t>Job gross margin %</t>
        </is>
      </c>
      <c r="B194" s="17">
        <f>B193/B187</f>
        <v/>
      </c>
    </row>
    <row r="195"/>
    <row r="196"/>
    <row r="197">
      <c r="A197" s="6" t="inlineStr">
        <is>
          <t>Southbank cafe group</t>
        </is>
      </c>
    </row>
    <row r="198">
      <c r="A198" s="13" t="inlineStr">
        <is>
          <t>Job gross margin ÷ revenue for this job (before overheads)</t>
        </is>
      </c>
    </row>
    <row r="199">
      <c r="A199" s="7" t="inlineStr"/>
      <c r="B199" s="8" t="inlineStr">
        <is>
          <t>This job</t>
        </is>
      </c>
    </row>
    <row r="200">
      <c r="A200" t="inlineStr">
        <is>
          <t>Revenue</t>
        </is>
      </c>
      <c r="B200" s="14" t="n">
        <v>2000</v>
      </c>
    </row>
    <row r="201">
      <c r="A201" t="inlineStr">
        <is>
          <t>Materials</t>
        </is>
      </c>
      <c r="B201" s="14" t="n">
        <v>-40</v>
      </c>
    </row>
    <row r="202">
      <c r="A202" t="inlineStr">
        <is>
          <t>Subcontractors</t>
        </is>
      </c>
      <c r="B202" s="14" t="n">
        <v>0</v>
      </c>
    </row>
    <row r="203">
      <c r="A203" t="inlineStr">
        <is>
          <t>Technician hours</t>
        </is>
      </c>
      <c r="B203" s="18" t="n">
        <v>10</v>
      </c>
    </row>
    <row r="204">
      <c r="A204" t="inlineStr">
        <is>
          <t>Technician cost rate ($/hour, wages and all on-costs)</t>
        </is>
      </c>
      <c r="B204" s="14" t="n">
        <v>68</v>
      </c>
    </row>
    <row r="205">
      <c r="A205" t="inlineStr">
        <is>
          <t>Technician time</t>
        </is>
      </c>
      <c r="B205" s="14">
        <f>-B203*B204</f>
        <v/>
      </c>
    </row>
    <row r="206">
      <c r="A206" t="inlineStr">
        <is>
          <t>Job gross margin</t>
        </is>
      </c>
      <c r="B206" s="14">
        <f>B200+B201+B202+B205</f>
        <v/>
      </c>
    </row>
    <row r="207">
      <c r="A207" s="16" t="inlineStr">
        <is>
          <t>Job gross margin %</t>
        </is>
      </c>
      <c r="B207" s="17">
        <f>B206/B200</f>
        <v/>
      </c>
    </row>
    <row r="208"/>
    <row r="209"/>
    <row r="210">
      <c r="A210" s="6" t="inlineStr">
        <is>
          <t>Chermside retail centre</t>
        </is>
      </c>
    </row>
    <row r="211">
      <c r="A211" s="13" t="inlineStr">
        <is>
          <t>Job gross margin ÷ revenue for this job (before overheads)</t>
        </is>
      </c>
    </row>
    <row r="212">
      <c r="A212" s="7" t="inlineStr"/>
      <c r="B212" s="8" t="inlineStr">
        <is>
          <t>This job</t>
        </is>
      </c>
    </row>
    <row r="213">
      <c r="A213" t="inlineStr">
        <is>
          <t>Revenue</t>
        </is>
      </c>
      <c r="B213" s="14" t="n">
        <v>4600</v>
      </c>
    </row>
    <row r="214">
      <c r="A214" t="inlineStr">
        <is>
          <t>Materials</t>
        </is>
      </c>
      <c r="B214" s="14" t="n">
        <v>-100</v>
      </c>
    </row>
    <row r="215">
      <c r="A215" t="inlineStr">
        <is>
          <t>Subcontractors</t>
        </is>
      </c>
      <c r="B215" s="14" t="n">
        <v>0</v>
      </c>
    </row>
    <row r="216">
      <c r="A216" t="inlineStr">
        <is>
          <t>Technician hours</t>
        </is>
      </c>
      <c r="B216" s="18" t="n">
        <v>23</v>
      </c>
    </row>
    <row r="217">
      <c r="A217" t="inlineStr">
        <is>
          <t>Technician cost rate ($/hour, wages and all on-costs)</t>
        </is>
      </c>
      <c r="B217" s="14" t="n">
        <v>68</v>
      </c>
    </row>
    <row r="218">
      <c r="A218" t="inlineStr">
        <is>
          <t>Technician time</t>
        </is>
      </c>
      <c r="B218" s="14">
        <f>-B216*B217</f>
        <v/>
      </c>
    </row>
    <row r="219">
      <c r="A219" t="inlineStr">
        <is>
          <t>Job gross margin</t>
        </is>
      </c>
      <c r="B219" s="14">
        <f>B213+B214+B215+B218</f>
        <v/>
      </c>
    </row>
    <row r="220">
      <c r="A220" s="16" t="inlineStr">
        <is>
          <t>Job gross margin %</t>
        </is>
      </c>
      <c r="B220" s="17">
        <f>B219/B213</f>
        <v/>
      </c>
    </row>
    <row r="221"/>
    <row r="222"/>
    <row r="223">
      <c r="A223" s="6" t="inlineStr">
        <is>
          <t>Bulimba school</t>
        </is>
      </c>
    </row>
    <row r="224">
      <c r="A224" s="13" t="inlineStr">
        <is>
          <t>Job gross margin ÷ revenue for this job (before overheads)</t>
        </is>
      </c>
    </row>
    <row r="225">
      <c r="A225" s="7" t="inlineStr"/>
      <c r="B225" s="8" t="inlineStr">
        <is>
          <t>This job</t>
        </is>
      </c>
    </row>
    <row r="226">
      <c r="A226" t="inlineStr">
        <is>
          <t>Revenue</t>
        </is>
      </c>
      <c r="B226" s="14" t="n">
        <v>3150</v>
      </c>
    </row>
    <row r="227">
      <c r="A227" t="inlineStr">
        <is>
          <t>Materials</t>
        </is>
      </c>
      <c r="B227" s="14" t="n">
        <v>-60</v>
      </c>
    </row>
    <row r="228">
      <c r="A228" t="inlineStr">
        <is>
          <t>Subcontractors</t>
        </is>
      </c>
      <c r="B228" s="14" t="n">
        <v>0</v>
      </c>
    </row>
    <row r="229">
      <c r="A229" t="inlineStr">
        <is>
          <t>Technician hours</t>
        </is>
      </c>
      <c r="B229" s="18" t="n">
        <v>16</v>
      </c>
    </row>
    <row r="230">
      <c r="A230" t="inlineStr">
        <is>
          <t>Technician cost rate ($/hour, wages and all on-costs)</t>
        </is>
      </c>
      <c r="B230" s="14" t="n">
        <v>68</v>
      </c>
    </row>
    <row r="231">
      <c r="A231" t="inlineStr">
        <is>
          <t>Technician time</t>
        </is>
      </c>
      <c r="B231" s="14">
        <f>-B229*B230</f>
        <v/>
      </c>
    </row>
    <row r="232">
      <c r="A232" t="inlineStr">
        <is>
          <t>Job gross margin</t>
        </is>
      </c>
      <c r="B232" s="14">
        <f>B226+B227+B228+B231</f>
        <v/>
      </c>
    </row>
    <row r="233">
      <c r="A233" s="16" t="inlineStr">
        <is>
          <t>Job gross margin %</t>
        </is>
      </c>
      <c r="B233" s="17">
        <f>B232/B226</f>
        <v/>
      </c>
    </row>
    <row r="234"/>
    <row r="235"/>
    <row r="236">
      <c r="A236" s="6" t="inlineStr">
        <is>
          <t>Wacol logistics depot</t>
        </is>
      </c>
    </row>
    <row r="237">
      <c r="A237" s="13" t="inlineStr">
        <is>
          <t>Job gross margin ÷ revenue for this job (before overheads)</t>
        </is>
      </c>
    </row>
    <row r="238">
      <c r="A238" s="7" t="inlineStr"/>
      <c r="B238" s="8" t="inlineStr">
        <is>
          <t>This job</t>
        </is>
      </c>
    </row>
    <row r="239">
      <c r="A239" t="inlineStr">
        <is>
          <t>Revenue</t>
        </is>
      </c>
      <c r="B239" s="14" t="n">
        <v>3350</v>
      </c>
    </row>
    <row r="240">
      <c r="A240" t="inlineStr">
        <is>
          <t>Materials</t>
        </is>
      </c>
      <c r="B240" s="14" t="n">
        <v>-70</v>
      </c>
    </row>
    <row r="241">
      <c r="A241" t="inlineStr">
        <is>
          <t>Subcontractors</t>
        </is>
      </c>
      <c r="B241" s="14" t="n">
        <v>0</v>
      </c>
    </row>
    <row r="242">
      <c r="A242" t="inlineStr">
        <is>
          <t>Technician hours</t>
        </is>
      </c>
      <c r="B242" s="18" t="n">
        <v>17</v>
      </c>
    </row>
    <row r="243">
      <c r="A243" t="inlineStr">
        <is>
          <t>Technician cost rate ($/hour, wages and all on-costs)</t>
        </is>
      </c>
      <c r="B243" s="14" t="n">
        <v>68</v>
      </c>
    </row>
    <row r="244">
      <c r="A244" t="inlineStr">
        <is>
          <t>Technician time</t>
        </is>
      </c>
      <c r="B244" s="14">
        <f>-B242*B243</f>
        <v/>
      </c>
    </row>
    <row r="245">
      <c r="A245" t="inlineStr">
        <is>
          <t>Job gross margin</t>
        </is>
      </c>
      <c r="B245" s="14">
        <f>B239+B240+B241+B244</f>
        <v/>
      </c>
    </row>
    <row r="246">
      <c r="A246" s="16" t="inlineStr">
        <is>
          <t>Job gross margin %</t>
        </is>
      </c>
      <c r="B246" s="17">
        <f>B245/B239</f>
        <v/>
      </c>
    </row>
    <row r="247"/>
    <row r="248"/>
    <row r="249">
      <c r="A249" s="6" t="inlineStr">
        <is>
          <t>Milton office tower</t>
        </is>
      </c>
    </row>
    <row r="250">
      <c r="A250" s="13" t="inlineStr">
        <is>
          <t>Job gross margin ÷ revenue for this job (before overheads)</t>
        </is>
      </c>
    </row>
    <row r="251">
      <c r="A251" s="7" t="inlineStr"/>
      <c r="B251" s="8" t="inlineStr">
        <is>
          <t>This job</t>
        </is>
      </c>
    </row>
    <row r="252">
      <c r="A252" t="inlineStr">
        <is>
          <t>Revenue</t>
        </is>
      </c>
      <c r="B252" s="14" t="n">
        <v>4700</v>
      </c>
    </row>
    <row r="253">
      <c r="A253" t="inlineStr">
        <is>
          <t>Materials</t>
        </is>
      </c>
      <c r="B253" s="14" t="n">
        <v>-90</v>
      </c>
    </row>
    <row r="254">
      <c r="A254" t="inlineStr">
        <is>
          <t>Subcontractors</t>
        </is>
      </c>
      <c r="B254" s="14" t="n">
        <v>0</v>
      </c>
    </row>
    <row r="255">
      <c r="A255" t="inlineStr">
        <is>
          <t>Technician hours</t>
        </is>
      </c>
      <c r="B255" s="18" t="n">
        <v>24</v>
      </c>
    </row>
    <row r="256">
      <c r="A256" t="inlineStr">
        <is>
          <t>Technician cost rate ($/hour, wages and all on-costs)</t>
        </is>
      </c>
      <c r="B256" s="14" t="n">
        <v>68</v>
      </c>
    </row>
    <row r="257">
      <c r="A257" t="inlineStr">
        <is>
          <t>Technician time</t>
        </is>
      </c>
      <c r="B257" s="14">
        <f>-B255*B256</f>
        <v/>
      </c>
    </row>
    <row r="258">
      <c r="A258" t="inlineStr">
        <is>
          <t>Job gross margin</t>
        </is>
      </c>
      <c r="B258" s="14">
        <f>B252+B253+B254+B257</f>
        <v/>
      </c>
    </row>
    <row r="259">
      <c r="A259" s="16" t="inlineStr">
        <is>
          <t>Job gross margin %</t>
        </is>
      </c>
      <c r="B259" s="17">
        <f>B258/B252</f>
        <v/>
      </c>
    </row>
    <row r="260"/>
    <row r="261"/>
    <row r="262">
      <c r="A262" s="6" t="inlineStr">
        <is>
          <t>West End brewery</t>
        </is>
      </c>
    </row>
    <row r="263">
      <c r="A263" s="13" t="inlineStr">
        <is>
          <t>Job gross margin ÷ revenue for this job (before overheads)</t>
        </is>
      </c>
    </row>
    <row r="264">
      <c r="A264" s="7" t="inlineStr"/>
      <c r="B264" s="8" t="inlineStr">
        <is>
          <t>This job</t>
        </is>
      </c>
    </row>
    <row r="265">
      <c r="A265" t="inlineStr">
        <is>
          <t>Revenue</t>
        </is>
      </c>
      <c r="B265" s="14" t="n">
        <v>2900</v>
      </c>
    </row>
    <row r="266">
      <c r="A266" t="inlineStr">
        <is>
          <t>Materials</t>
        </is>
      </c>
      <c r="B266" s="14" t="n">
        <v>-50</v>
      </c>
    </row>
    <row r="267">
      <c r="A267" t="inlineStr">
        <is>
          <t>Subcontractors</t>
        </is>
      </c>
      <c r="B267" s="14" t="n">
        <v>0</v>
      </c>
    </row>
    <row r="268">
      <c r="A268" t="inlineStr">
        <is>
          <t>Technician hours</t>
        </is>
      </c>
      <c r="B268" s="18" t="n">
        <v>15</v>
      </c>
    </row>
    <row r="269">
      <c r="A269" t="inlineStr">
        <is>
          <t>Technician cost rate ($/hour, wages and all on-costs)</t>
        </is>
      </c>
      <c r="B269" s="14" t="n">
        <v>68</v>
      </c>
    </row>
    <row r="270">
      <c r="A270" t="inlineStr">
        <is>
          <t>Technician time</t>
        </is>
      </c>
      <c r="B270" s="14">
        <f>-B268*B269</f>
        <v/>
      </c>
    </row>
    <row r="271">
      <c r="A271" t="inlineStr">
        <is>
          <t>Job gross margin</t>
        </is>
      </c>
      <c r="B271" s="14">
        <f>B265+B266+B267+B270</f>
        <v/>
      </c>
    </row>
    <row r="272">
      <c r="A272" s="16" t="inlineStr">
        <is>
          <t>Job gross margin %</t>
        </is>
      </c>
      <c r="B272" s="17">
        <f>B271/B265</f>
        <v/>
      </c>
    </row>
    <row r="273"/>
    <row r="274"/>
    <row r="275">
      <c r="A275" s="6" t="inlineStr">
        <is>
          <t>Rocklea factory</t>
        </is>
      </c>
    </row>
    <row r="276">
      <c r="A276" s="13" t="inlineStr">
        <is>
          <t>Job gross margin ÷ revenue for this job (before overheads)</t>
        </is>
      </c>
    </row>
    <row r="277">
      <c r="A277" s="7" t="inlineStr"/>
      <c r="B277" s="8" t="inlineStr">
        <is>
          <t>This job</t>
        </is>
      </c>
    </row>
    <row r="278">
      <c r="A278" t="inlineStr">
        <is>
          <t>Revenue</t>
        </is>
      </c>
      <c r="B278" s="14" t="n">
        <v>4350</v>
      </c>
    </row>
    <row r="279">
      <c r="A279" t="inlineStr">
        <is>
          <t>Materials</t>
        </is>
      </c>
      <c r="B279" s="14" t="n">
        <v>-110</v>
      </c>
    </row>
    <row r="280">
      <c r="A280" t="inlineStr">
        <is>
          <t>Subcontractors</t>
        </is>
      </c>
      <c r="B280" s="14" t="n">
        <v>0</v>
      </c>
    </row>
    <row r="281">
      <c r="A281" t="inlineStr">
        <is>
          <t>Technician hours</t>
        </is>
      </c>
      <c r="B281" s="18" t="n">
        <v>22</v>
      </c>
    </row>
    <row r="282">
      <c r="A282" t="inlineStr">
        <is>
          <t>Technician cost rate ($/hour, wages and all on-costs)</t>
        </is>
      </c>
      <c r="B282" s="14" t="n">
        <v>68</v>
      </c>
    </row>
    <row r="283">
      <c r="A283" t="inlineStr">
        <is>
          <t>Technician time</t>
        </is>
      </c>
      <c r="B283" s="14">
        <f>-B281*B282</f>
        <v/>
      </c>
    </row>
    <row r="284">
      <c r="A284" t="inlineStr">
        <is>
          <t>Job gross margin</t>
        </is>
      </c>
      <c r="B284" s="14">
        <f>B278+B279+B280+B283</f>
        <v/>
      </c>
    </row>
    <row r="285">
      <c r="A285" s="16" t="inlineStr">
        <is>
          <t>Job gross margin %</t>
        </is>
      </c>
      <c r="B285" s="17">
        <f>B284/B278</f>
        <v/>
      </c>
    </row>
    <row r="286"/>
    <row r="287"/>
    <row r="288">
      <c r="A288" s="6" t="inlineStr">
        <is>
          <t>Kangaroo Point townhouses</t>
        </is>
      </c>
    </row>
    <row r="289">
      <c r="A289" s="13" t="inlineStr">
        <is>
          <t>Job gross margin ÷ revenue for this job (before overheads)</t>
        </is>
      </c>
    </row>
    <row r="290">
      <c r="A290" s="7" t="inlineStr"/>
      <c r="B290" s="8" t="inlineStr">
        <is>
          <t>This job</t>
        </is>
      </c>
    </row>
    <row r="291">
      <c r="A291" t="inlineStr">
        <is>
          <t>Revenue</t>
        </is>
      </c>
      <c r="B291" s="14" t="n">
        <v>2700</v>
      </c>
    </row>
    <row r="292">
      <c r="A292" t="inlineStr">
        <is>
          <t>Materials</t>
        </is>
      </c>
      <c r="B292" s="14" t="n">
        <v>-50</v>
      </c>
    </row>
    <row r="293">
      <c r="A293" t="inlineStr">
        <is>
          <t>Subcontractors</t>
        </is>
      </c>
      <c r="B293" s="14" t="n">
        <v>0</v>
      </c>
    </row>
    <row r="294">
      <c r="A294" t="inlineStr">
        <is>
          <t>Technician hours</t>
        </is>
      </c>
      <c r="B294" s="18" t="n">
        <v>14</v>
      </c>
    </row>
    <row r="295">
      <c r="A295" t="inlineStr">
        <is>
          <t>Technician cost rate ($/hour, wages and all on-costs)</t>
        </is>
      </c>
      <c r="B295" s="14" t="n">
        <v>68</v>
      </c>
    </row>
    <row r="296">
      <c r="A296" t="inlineStr">
        <is>
          <t>Technician time</t>
        </is>
      </c>
      <c r="B296" s="14">
        <f>-B294*B295</f>
        <v/>
      </c>
    </row>
    <row r="297">
      <c r="A297" t="inlineStr">
        <is>
          <t>Job gross margin</t>
        </is>
      </c>
      <c r="B297" s="14">
        <f>B291+B292+B293+B296</f>
        <v/>
      </c>
    </row>
    <row r="298">
      <c r="A298" s="16" t="inlineStr">
        <is>
          <t>Job gross margin %</t>
        </is>
      </c>
      <c r="B298" s="17">
        <f>B297/B291</f>
        <v/>
      </c>
    </row>
    <row r="299"/>
    <row r="300"/>
    <row r="301">
      <c r="A301" s="6" t="inlineStr">
        <is>
          <t>Trades, Installations: gross margin, September and August</t>
        </is>
      </c>
    </row>
    <row r="302">
      <c r="A302" s="13" t="inlineStr">
        <is>
          <t>Revenue less direct cost, over revenue. Before overheads.</t>
        </is>
      </c>
    </row>
    <row r="303">
      <c r="A303" s="7" t="inlineStr"/>
      <c r="B303" s="8" t="inlineStr">
        <is>
          <t>Sep 26</t>
        </is>
      </c>
      <c r="C303" s="8" t="inlineStr">
        <is>
          <t>Aug 26</t>
        </is>
      </c>
    </row>
    <row r="304">
      <c r="A304" t="inlineStr">
        <is>
          <t>Revenue</t>
        </is>
      </c>
      <c r="B304" s="14" t="n">
        <v>146300</v>
      </c>
      <c r="C304" s="14" t="n">
        <v>122800</v>
      </c>
    </row>
    <row r="305">
      <c r="A305" t="inlineStr">
        <is>
          <t>Direct cost</t>
        </is>
      </c>
      <c r="B305" s="14" t="n">
        <v>95368</v>
      </c>
      <c r="C305" s="14" t="n">
        <v>72720</v>
      </c>
    </row>
    <row r="306">
      <c r="A306" t="inlineStr">
        <is>
          <t>Gross margin</t>
        </is>
      </c>
      <c r="B306" s="14">
        <f>B304-B305</f>
        <v/>
      </c>
      <c r="C306" s="14">
        <f>C304-C305</f>
        <v/>
      </c>
    </row>
    <row r="307">
      <c r="A307" s="16" t="inlineStr">
        <is>
          <t>Gross margin %</t>
        </is>
      </c>
      <c r="B307" s="17">
        <f>B306/B304</f>
        <v/>
      </c>
      <c r="C307" s="17">
        <f>C306/C304</f>
        <v/>
      </c>
    </row>
    <row r="308"/>
    <row r="309"/>
    <row r="310">
      <c r="A310" s="6" t="inlineStr">
        <is>
          <t>Trades, Installations: gross margin, September and August</t>
        </is>
      </c>
    </row>
    <row r="311">
      <c r="A311" s="13" t="inlineStr">
        <is>
          <t>Revenue less direct cost, over revenue. Before overheads.</t>
        </is>
      </c>
    </row>
    <row r="312">
      <c r="A312" s="7" t="inlineStr"/>
      <c r="B312" s="8" t="inlineStr">
        <is>
          <t>Sep 26</t>
        </is>
      </c>
      <c r="C312" s="8" t="inlineStr">
        <is>
          <t>Aug 26</t>
        </is>
      </c>
    </row>
    <row r="313">
      <c r="A313" t="inlineStr">
        <is>
          <t>Revenue</t>
        </is>
      </c>
      <c r="B313" s="14" t="n">
        <v>146300</v>
      </c>
      <c r="C313" s="14" t="n">
        <v>122800</v>
      </c>
    </row>
    <row r="314">
      <c r="A314" t="inlineStr">
        <is>
          <t>Direct cost</t>
        </is>
      </c>
      <c r="B314" s="14" t="n">
        <v>95368</v>
      </c>
      <c r="C314" s="14" t="n">
        <v>72720</v>
      </c>
    </row>
    <row r="315">
      <c r="A315" t="inlineStr">
        <is>
          <t>Gross margin</t>
        </is>
      </c>
      <c r="B315" s="14">
        <f>B313-B314</f>
        <v/>
      </c>
      <c r="C315" s="14">
        <f>C313-C314</f>
        <v/>
      </c>
    </row>
    <row r="316">
      <c r="A316" s="16" t="inlineStr">
        <is>
          <t>Gross margin %</t>
        </is>
      </c>
      <c r="B316" s="17">
        <f>B315/B313</f>
        <v/>
      </c>
      <c r="C316" s="17">
        <f>C315/C313</f>
        <v/>
      </c>
    </row>
    <row r="317"/>
    <row r="318"/>
    <row r="319">
      <c r="A319" s="6" t="inlineStr">
        <is>
          <t>Trades: From gross margin to profit, September 2026</t>
        </is>
      </c>
    </row>
    <row r="320">
      <c r="A320" s="13" t="inlineStr">
        <is>
          <t>Gross margin on the work − time not charged − overheads = profit before tax</t>
        </is>
      </c>
    </row>
    <row r="321">
      <c r="A321" s="7" t="inlineStr"/>
      <c r="B321" s="8" t="inlineStr">
        <is>
          <t>Sep 2026</t>
        </is>
      </c>
    </row>
    <row r="322">
      <c r="A322" t="inlineStr">
        <is>
          <t>Gross margin on jobs</t>
        </is>
      </c>
      <c r="B322" s="14" t="n">
        <v>96230</v>
      </c>
    </row>
    <row r="323">
      <c r="A323" t="inlineStr">
        <is>
          <t>Technician wages and on-costs</t>
        </is>
      </c>
      <c r="B323" s="14" t="n">
        <v>79587</v>
      </c>
    </row>
    <row r="324">
      <c r="A324" t="inlineStr">
        <is>
          <t>Technician time charged to jobs (at cost)</t>
        </is>
      </c>
      <c r="B324" s="14" t="n">
        <v>51170</v>
      </c>
    </row>
    <row r="325">
      <c r="A325" t="inlineStr">
        <is>
          <t>Technician time not charged to jobs</t>
        </is>
      </c>
      <c r="B325" s="14">
        <f>B323-B324</f>
        <v/>
      </c>
    </row>
    <row r="326">
      <c r="A326" t="inlineStr">
        <is>
          <t>Gross profit (the P&amp;L)</t>
        </is>
      </c>
      <c r="B326" s="14">
        <f>B322-B325</f>
        <v/>
      </c>
    </row>
    <row r="327">
      <c r="A327" t="inlineStr">
        <is>
          <t>Overheads (operating expenses, depreciation, interest)</t>
        </is>
      </c>
      <c r="B327" s="14" t="n">
        <v>59580</v>
      </c>
    </row>
    <row r="328">
      <c r="A328" t="inlineStr">
        <is>
          <t>Profit before tax (the P&amp;L)</t>
        </is>
      </c>
      <c r="B328" s="14">
        <f>B326-B327</f>
        <v/>
      </c>
    </row>
    <row r="329">
      <c r="A329" t="inlineStr">
        <is>
          <t>Revenue</t>
        </is>
      </c>
      <c r="B329" s="14" t="n">
        <v>225460</v>
      </c>
    </row>
    <row r="330">
      <c r="A330" t="inlineStr">
        <is>
          <t>Gross margin on jobs, %</t>
        </is>
      </c>
      <c r="B330" s="15">
        <f>B322/B329</f>
        <v/>
      </c>
    </row>
    <row r="331">
      <c r="A331" t="inlineStr">
        <is>
          <t>Profit before tax, % of revenue</t>
        </is>
      </c>
      <c r="B331" s="15">
        <f>B328/B329</f>
        <v/>
      </c>
    </row>
    <row r="332">
      <c r="A332" s="16" t="inlineStr">
        <is>
          <t>Gross margin jobs need just to cover overheads and time not charged</t>
        </is>
      </c>
      <c r="B332" s="17">
        <f>(B325+B327)/B329</f>
        <v/>
      </c>
    </row>
    <row r="333">
      <c r="A333" s="2" t="inlineStr">
        <is>
          <t>Ties to the September 2026 P&amp;L (locked). Wages include their on-costs: super (12%) and leave as it's earned. No payroll tax: wages are under Queensland's $1.3 million threshold.</t>
        </is>
      </c>
    </row>
    <row r="334"/>
    <row r="335"/>
    <row r="336">
      <c r="A336" s="6" t="inlineStr">
        <is>
          <t>Bulimba EV chargers</t>
        </is>
      </c>
    </row>
    <row r="337">
      <c r="A337" s="13" t="inlineStr">
        <is>
          <t>Job gross margin ÷ revenue for this job (before overheads)</t>
        </is>
      </c>
    </row>
    <row r="338">
      <c r="A338" s="7" t="inlineStr"/>
      <c r="B338" s="8" t="inlineStr">
        <is>
          <t>This job</t>
        </is>
      </c>
    </row>
    <row r="339">
      <c r="A339" t="inlineStr">
        <is>
          <t>Revenue</t>
        </is>
      </c>
      <c r="B339" s="14" t="n">
        <v>11000</v>
      </c>
    </row>
    <row r="340">
      <c r="A340" t="inlineStr">
        <is>
          <t>Materials</t>
        </is>
      </c>
      <c r="B340" s="14" t="n">
        <v>-3600</v>
      </c>
    </row>
    <row r="341">
      <c r="A341" t="inlineStr">
        <is>
          <t>Subcontractors</t>
        </is>
      </c>
      <c r="B341" s="14" t="n">
        <v>0</v>
      </c>
    </row>
    <row r="342">
      <c r="A342" t="inlineStr">
        <is>
          <t>Technician hours</t>
        </is>
      </c>
      <c r="B342" s="18" t="n">
        <v>26</v>
      </c>
    </row>
    <row r="343">
      <c r="A343" t="inlineStr">
        <is>
          <t>Technician cost rate ($/hour, wages and all on-costs)</t>
        </is>
      </c>
      <c r="B343" s="14" t="n">
        <v>68</v>
      </c>
    </row>
    <row r="344">
      <c r="A344" t="inlineStr">
        <is>
          <t>Technician time</t>
        </is>
      </c>
      <c r="B344" s="14">
        <f>-B342*B343</f>
        <v/>
      </c>
    </row>
    <row r="345">
      <c r="A345" t="inlineStr">
        <is>
          <t>Job gross margin</t>
        </is>
      </c>
      <c r="B345" s="14">
        <f>B339+B340+B341+B344</f>
        <v/>
      </c>
    </row>
    <row r="346">
      <c r="A346" s="16" t="inlineStr">
        <is>
          <t>Job gross margin %</t>
        </is>
      </c>
      <c r="B346" s="17">
        <f>B345/B339</f>
        <v/>
      </c>
    </row>
    <row r="347"/>
    <row r="348"/>
    <row r="349">
      <c r="A349" s="6" t="inlineStr">
        <is>
          <t>Milton office LED lighting</t>
        </is>
      </c>
    </row>
    <row r="350">
      <c r="A350" s="13" t="inlineStr">
        <is>
          <t>Job gross margin ÷ revenue for this job (before overheads)</t>
        </is>
      </c>
    </row>
    <row r="351">
      <c r="A351" s="7" t="inlineStr"/>
      <c r="B351" s="8" t="inlineStr">
        <is>
          <t>This job</t>
        </is>
      </c>
    </row>
    <row r="352">
      <c r="A352" t="inlineStr">
        <is>
          <t>Revenue</t>
        </is>
      </c>
      <c r="B352" s="14" t="n">
        <v>20800</v>
      </c>
    </row>
    <row r="353">
      <c r="A353" t="inlineStr">
        <is>
          <t>Materials</t>
        </is>
      </c>
      <c r="B353" s="14" t="n">
        <v>-6900</v>
      </c>
    </row>
    <row r="354">
      <c r="A354" t="inlineStr">
        <is>
          <t>Subcontractors</t>
        </is>
      </c>
      <c r="B354" s="14" t="n">
        <v>0</v>
      </c>
    </row>
    <row r="355">
      <c r="A355" t="inlineStr">
        <is>
          <t>Technician hours</t>
        </is>
      </c>
      <c r="B355" s="18" t="n">
        <v>64</v>
      </c>
    </row>
    <row r="356">
      <c r="A356" t="inlineStr">
        <is>
          <t>Technician cost rate ($/hour, wages and all on-costs)</t>
        </is>
      </c>
      <c r="B356" s="14" t="n">
        <v>68</v>
      </c>
    </row>
    <row r="357">
      <c r="A357" t="inlineStr">
        <is>
          <t>Technician time</t>
        </is>
      </c>
      <c r="B357" s="14">
        <f>-B355*B356</f>
        <v/>
      </c>
    </row>
    <row r="358">
      <c r="A358" t="inlineStr">
        <is>
          <t>Job gross margin</t>
        </is>
      </c>
      <c r="B358" s="14">
        <f>B352+B353+B354+B357</f>
        <v/>
      </c>
    </row>
    <row r="359">
      <c r="A359" s="16" t="inlineStr">
        <is>
          <t>Job gross margin %</t>
        </is>
      </c>
      <c r="B359" s="17">
        <f>B358/B352</f>
        <v/>
      </c>
    </row>
    <row r="360"/>
    <row r="361"/>
    <row r="362">
      <c r="A362" s="6" t="inlineStr">
        <is>
          <t>Chermside clinic cabling</t>
        </is>
      </c>
    </row>
    <row r="363">
      <c r="A363" s="13" t="inlineStr">
        <is>
          <t>Job gross margin ÷ revenue for this job (before overheads)</t>
        </is>
      </c>
    </row>
    <row r="364">
      <c r="A364" s="7" t="inlineStr"/>
      <c r="B364" s="8" t="inlineStr">
        <is>
          <t>This job</t>
        </is>
      </c>
    </row>
    <row r="365">
      <c r="A365" t="inlineStr">
        <is>
          <t>Revenue</t>
        </is>
      </c>
      <c r="B365" s="14" t="n">
        <v>17000</v>
      </c>
    </row>
    <row r="366">
      <c r="A366" t="inlineStr">
        <is>
          <t>Materials</t>
        </is>
      </c>
      <c r="B366" s="14" t="n">
        <v>-4300</v>
      </c>
    </row>
    <row r="367">
      <c r="A367" t="inlineStr">
        <is>
          <t>Subcontractors</t>
        </is>
      </c>
      <c r="B367" s="14" t="n">
        <v>-1800</v>
      </c>
    </row>
    <row r="368">
      <c r="A368" t="inlineStr">
        <is>
          <t>Technician hours</t>
        </is>
      </c>
      <c r="B368" s="18" t="n">
        <v>52</v>
      </c>
    </row>
    <row r="369">
      <c r="A369" t="inlineStr">
        <is>
          <t>Technician cost rate ($/hour, wages and all on-costs)</t>
        </is>
      </c>
      <c r="B369" s="14" t="n">
        <v>68</v>
      </c>
    </row>
    <row r="370">
      <c r="A370" t="inlineStr">
        <is>
          <t>Technician time</t>
        </is>
      </c>
      <c r="B370" s="14">
        <f>-B368*B369</f>
        <v/>
      </c>
    </row>
    <row r="371">
      <c r="A371" t="inlineStr">
        <is>
          <t>Job gross margin</t>
        </is>
      </c>
      <c r="B371" s="14">
        <f>B365+B366+B367+B370</f>
        <v/>
      </c>
    </row>
    <row r="372">
      <c r="A372" s="16" t="inlineStr">
        <is>
          <t>Job gross margin %</t>
        </is>
      </c>
      <c r="B372" s="17">
        <f>B371/B365</f>
        <v/>
      </c>
    </row>
    <row r="373"/>
    <row r="374"/>
    <row r="375">
      <c r="A375" s="6" t="inlineStr">
        <is>
          <t>West End cafe air-con</t>
        </is>
      </c>
    </row>
    <row r="376">
      <c r="A376" s="13" t="inlineStr">
        <is>
          <t>Job gross margin ÷ revenue for this job (before overheads)</t>
        </is>
      </c>
    </row>
    <row r="377">
      <c r="A377" s="7" t="inlineStr"/>
      <c r="B377" s="8" t="inlineStr">
        <is>
          <t>This job</t>
        </is>
      </c>
    </row>
    <row r="378">
      <c r="A378" t="inlineStr">
        <is>
          <t>Revenue</t>
        </is>
      </c>
      <c r="B378" s="14" t="n">
        <v>14400</v>
      </c>
    </row>
    <row r="379">
      <c r="A379" t="inlineStr">
        <is>
          <t>Materials</t>
        </is>
      </c>
      <c r="B379" s="14" t="n">
        <v>-5100</v>
      </c>
    </row>
    <row r="380">
      <c r="A380" t="inlineStr">
        <is>
          <t>Subcontractors</t>
        </is>
      </c>
      <c r="B380" s="14" t="n">
        <v>-900</v>
      </c>
    </row>
    <row r="381">
      <c r="A381" t="inlineStr">
        <is>
          <t>Technician hours</t>
        </is>
      </c>
      <c r="B381" s="18" t="n">
        <v>38</v>
      </c>
    </row>
    <row r="382">
      <c r="A382" t="inlineStr">
        <is>
          <t>Technician cost rate ($/hour, wages and all on-costs)</t>
        </is>
      </c>
      <c r="B382" s="14" t="n">
        <v>68</v>
      </c>
    </row>
    <row r="383">
      <c r="A383" t="inlineStr">
        <is>
          <t>Technician time</t>
        </is>
      </c>
      <c r="B383" s="14">
        <f>-B381*B382</f>
        <v/>
      </c>
    </row>
    <row r="384">
      <c r="A384" t="inlineStr">
        <is>
          <t>Job gross margin</t>
        </is>
      </c>
      <c r="B384" s="14">
        <f>B378+B379+B380+B383</f>
        <v/>
      </c>
    </row>
    <row r="385">
      <c r="A385" s="16" t="inlineStr">
        <is>
          <t>Job gross margin %</t>
        </is>
      </c>
      <c r="B385" s="17">
        <f>B384/B378</f>
        <v/>
      </c>
    </row>
    <row r="386"/>
    <row r="387"/>
    <row r="388">
      <c r="A388" s="6" t="inlineStr">
        <is>
          <t>Carindale solar and battery</t>
        </is>
      </c>
    </row>
    <row r="389">
      <c r="A389" s="13" t="inlineStr">
        <is>
          <t>Job gross margin ÷ revenue for this job (before overheads)</t>
        </is>
      </c>
    </row>
    <row r="390">
      <c r="A390" s="7" t="inlineStr"/>
      <c r="B390" s="8" t="inlineStr">
        <is>
          <t>This job</t>
        </is>
      </c>
    </row>
    <row r="391">
      <c r="A391" t="inlineStr">
        <is>
          <t>Revenue</t>
        </is>
      </c>
      <c r="B391" s="14" t="n">
        <v>30700</v>
      </c>
    </row>
    <row r="392">
      <c r="A392" t="inlineStr">
        <is>
          <t>Materials</t>
        </is>
      </c>
      <c r="B392" s="14" t="n">
        <v>-13800</v>
      </c>
    </row>
    <row r="393">
      <c r="A393" t="inlineStr">
        <is>
          <t>Subcontractors</t>
        </is>
      </c>
      <c r="B393" s="14" t="n">
        <v>-3100</v>
      </c>
    </row>
    <row r="394">
      <c r="A394" t="inlineStr">
        <is>
          <t>Technician hours</t>
        </is>
      </c>
      <c r="B394" s="18" t="n">
        <v>46</v>
      </c>
    </row>
    <row r="395">
      <c r="A395" t="inlineStr">
        <is>
          <t>Technician cost rate ($/hour, wages and all on-costs)</t>
        </is>
      </c>
      <c r="B395" s="14" t="n">
        <v>68</v>
      </c>
    </row>
    <row r="396">
      <c r="A396" t="inlineStr">
        <is>
          <t>Technician time</t>
        </is>
      </c>
      <c r="B396" s="14">
        <f>-B394*B395</f>
        <v/>
      </c>
    </row>
    <row r="397">
      <c r="A397" t="inlineStr">
        <is>
          <t>Job gross margin</t>
        </is>
      </c>
      <c r="B397" s="14">
        <f>B391+B392+B393+B396</f>
        <v/>
      </c>
    </row>
    <row r="398">
      <c r="A398" s="16" t="inlineStr">
        <is>
          <t>Job gross margin %</t>
        </is>
      </c>
      <c r="B398" s="17">
        <f>B397/B391</f>
        <v/>
      </c>
    </row>
    <row r="399"/>
    <row r="400"/>
    <row r="401">
      <c r="A401" s="6" t="inlineStr">
        <is>
          <t>Wacol warehouse switchboard</t>
        </is>
      </c>
    </row>
    <row r="402">
      <c r="A402" s="13" t="inlineStr">
        <is>
          <t>Job gross margin ÷ revenue for this job (before overheads)</t>
        </is>
      </c>
    </row>
    <row r="403">
      <c r="A403" s="7" t="inlineStr"/>
      <c r="B403" s="8" t="inlineStr">
        <is>
          <t>This job</t>
        </is>
      </c>
    </row>
    <row r="404">
      <c r="A404" t="inlineStr">
        <is>
          <t>Revenue</t>
        </is>
      </c>
      <c r="B404" s="14" t="n">
        <v>52400</v>
      </c>
    </row>
    <row r="405">
      <c r="A405" t="inlineStr">
        <is>
          <t>Materials</t>
        </is>
      </c>
      <c r="B405" s="14" t="n">
        <v>-22900</v>
      </c>
    </row>
    <row r="406">
      <c r="A406" t="inlineStr">
        <is>
          <t>Subcontractors</t>
        </is>
      </c>
      <c r="B406" s="14" t="n">
        <v>-7400</v>
      </c>
    </row>
    <row r="407">
      <c r="A407" t="inlineStr">
        <is>
          <t>Technician hours</t>
        </is>
      </c>
      <c r="B407" s="18" t="n">
        <v>150</v>
      </c>
    </row>
    <row r="408">
      <c r="A408" t="inlineStr">
        <is>
          <t>Technician cost rate ($/hour, wages and all on-costs)</t>
        </is>
      </c>
      <c r="B408" s="14" t="n">
        <v>68</v>
      </c>
    </row>
    <row r="409">
      <c r="A409" t="inlineStr">
        <is>
          <t>Technician time</t>
        </is>
      </c>
      <c r="B409" s="14">
        <f>-B407*B408</f>
        <v/>
      </c>
    </row>
    <row r="410">
      <c r="A410" t="inlineStr">
        <is>
          <t>Job gross margin</t>
        </is>
      </c>
      <c r="B410" s="14">
        <f>B404+B405+B406+B409</f>
        <v/>
      </c>
    </row>
    <row r="411">
      <c r="A411" s="16" t="inlineStr">
        <is>
          <t>Job gross margin %</t>
        </is>
      </c>
      <c r="B411" s="17">
        <f>B410/B404</f>
        <v/>
      </c>
    </row>
    <row r="412"/>
    <row r="413"/>
    <row r="414">
      <c r="A414" s="6" t="inlineStr">
        <is>
          <t>Trades, Call-outs and repairs: gross margin, September and August</t>
        </is>
      </c>
    </row>
    <row r="415">
      <c r="A415" s="13" t="inlineStr">
        <is>
          <t>Revenue less direct cost, over revenue. Before overheads.</t>
        </is>
      </c>
    </row>
    <row r="416">
      <c r="A416" s="7" t="inlineStr"/>
      <c r="B416" s="8" t="inlineStr">
        <is>
          <t>Sep 26</t>
        </is>
      </c>
      <c r="C416" s="8" t="inlineStr">
        <is>
          <t>Aug 26</t>
        </is>
      </c>
    </row>
    <row r="417">
      <c r="A417" t="inlineStr">
        <is>
          <t>Revenue</t>
        </is>
      </c>
      <c r="B417" s="14" t="n">
        <v>33810</v>
      </c>
      <c r="C417" s="14" t="n">
        <v>31373</v>
      </c>
    </row>
    <row r="418">
      <c r="A418" t="inlineStr">
        <is>
          <t>Direct cost</t>
        </is>
      </c>
      <c r="B418" s="14" t="n">
        <v>17478</v>
      </c>
      <c r="C418" s="14" t="n">
        <v>16266</v>
      </c>
    </row>
    <row r="419">
      <c r="A419" t="inlineStr">
        <is>
          <t>Gross margin</t>
        </is>
      </c>
      <c r="B419" s="14">
        <f>B417-B418</f>
        <v/>
      </c>
      <c r="C419" s="14">
        <f>C417-C418</f>
        <v/>
      </c>
    </row>
    <row r="420">
      <c r="A420" s="16" t="inlineStr">
        <is>
          <t>Gross margin %</t>
        </is>
      </c>
      <c r="B420" s="17">
        <f>B419/B417</f>
        <v/>
      </c>
      <c r="C420" s="17">
        <f>C419/C417</f>
        <v/>
      </c>
    </row>
    <row r="421"/>
    <row r="422"/>
    <row r="423">
      <c r="A423" s="6" t="inlineStr">
        <is>
          <t>Trades, Call-outs and repairs: gross margin, September and August</t>
        </is>
      </c>
    </row>
    <row r="424">
      <c r="A424" s="13" t="inlineStr">
        <is>
          <t>Revenue less direct cost, over revenue. Before overheads.</t>
        </is>
      </c>
    </row>
    <row r="425">
      <c r="A425" s="7" t="inlineStr"/>
      <c r="B425" s="8" t="inlineStr">
        <is>
          <t>Sep 26</t>
        </is>
      </c>
      <c r="C425" s="8" t="inlineStr">
        <is>
          <t>Aug 26</t>
        </is>
      </c>
    </row>
    <row r="426">
      <c r="A426" t="inlineStr">
        <is>
          <t>Revenue</t>
        </is>
      </c>
      <c r="B426" s="14" t="n">
        <v>33810</v>
      </c>
      <c r="C426" s="14" t="n">
        <v>31373</v>
      </c>
    </row>
    <row r="427">
      <c r="A427" t="inlineStr">
        <is>
          <t>Direct cost</t>
        </is>
      </c>
      <c r="B427" s="14" t="n">
        <v>17478</v>
      </c>
      <c r="C427" s="14" t="n">
        <v>16266</v>
      </c>
    </row>
    <row r="428">
      <c r="A428" t="inlineStr">
        <is>
          <t>Gross margin</t>
        </is>
      </c>
      <c r="B428" s="14">
        <f>B426-B427</f>
        <v/>
      </c>
      <c r="C428" s="14">
        <f>C426-C427</f>
        <v/>
      </c>
    </row>
    <row r="429">
      <c r="A429" s="16" t="inlineStr">
        <is>
          <t>Gross margin %</t>
        </is>
      </c>
      <c r="B429" s="17">
        <f>B428/B426</f>
        <v/>
      </c>
      <c r="C429" s="17">
        <f>C428/C426</f>
        <v/>
      </c>
    </row>
    <row r="430"/>
    <row r="431"/>
    <row r="432">
      <c r="A432" s="6" t="inlineStr">
        <is>
          <t>Trades: From gross margin to profit, September 2026</t>
        </is>
      </c>
    </row>
    <row r="433">
      <c r="A433" s="13" t="inlineStr">
        <is>
          <t>Gross margin on the work − time not charged − overheads = profit before tax</t>
        </is>
      </c>
    </row>
    <row r="434">
      <c r="A434" s="7" t="inlineStr"/>
      <c r="B434" s="8" t="inlineStr">
        <is>
          <t>Sep 2026</t>
        </is>
      </c>
    </row>
    <row r="435">
      <c r="A435" t="inlineStr">
        <is>
          <t>Gross margin on jobs</t>
        </is>
      </c>
      <c r="B435" s="14" t="n">
        <v>96230</v>
      </c>
    </row>
    <row r="436">
      <c r="A436" t="inlineStr">
        <is>
          <t>Technician wages and on-costs</t>
        </is>
      </c>
      <c r="B436" s="14" t="n">
        <v>79587</v>
      </c>
    </row>
    <row r="437">
      <c r="A437" t="inlineStr">
        <is>
          <t>Technician time charged to jobs (at cost)</t>
        </is>
      </c>
      <c r="B437" s="14" t="n">
        <v>51170</v>
      </c>
    </row>
    <row r="438">
      <c r="A438" t="inlineStr">
        <is>
          <t>Technician time not charged to jobs</t>
        </is>
      </c>
      <c r="B438" s="14">
        <f>B436-B437</f>
        <v/>
      </c>
    </row>
    <row r="439">
      <c r="A439" t="inlineStr">
        <is>
          <t>Gross profit (the P&amp;L)</t>
        </is>
      </c>
      <c r="B439" s="14">
        <f>B435-B438</f>
        <v/>
      </c>
    </row>
    <row r="440">
      <c r="A440" t="inlineStr">
        <is>
          <t>Overheads (operating expenses, depreciation, interest)</t>
        </is>
      </c>
      <c r="B440" s="14" t="n">
        <v>59580</v>
      </c>
    </row>
    <row r="441">
      <c r="A441" t="inlineStr">
        <is>
          <t>Profit before tax (the P&amp;L)</t>
        </is>
      </c>
      <c r="B441" s="14">
        <f>B439-B440</f>
        <v/>
      </c>
    </row>
    <row r="442">
      <c r="A442" t="inlineStr">
        <is>
          <t>Revenue</t>
        </is>
      </c>
      <c r="B442" s="14" t="n">
        <v>225460</v>
      </c>
    </row>
    <row r="443">
      <c r="A443" t="inlineStr">
        <is>
          <t>Gross margin on jobs, %</t>
        </is>
      </c>
      <c r="B443" s="15">
        <f>B435/B442</f>
        <v/>
      </c>
    </row>
    <row r="444">
      <c r="A444" t="inlineStr">
        <is>
          <t>Profit before tax, % of revenue</t>
        </is>
      </c>
      <c r="B444" s="15">
        <f>B441/B442</f>
        <v/>
      </c>
    </row>
    <row r="445">
      <c r="A445" s="16" t="inlineStr">
        <is>
          <t>Gross margin jobs need just to cover overheads and time not charged</t>
        </is>
      </c>
      <c r="B445" s="17">
        <f>(B438+B440)/B442</f>
        <v/>
      </c>
    </row>
    <row r="446">
      <c r="A446" s="2" t="inlineStr">
        <is>
          <t>Ties to the September 2026 P&amp;L (locked). Wages include their on-costs: super (12%) and leave as it's earned. No payroll tax: wages are under Queensland's $1.3 million threshold.</t>
        </is>
      </c>
    </row>
    <row r="447"/>
    <row r="448"/>
    <row r="449">
      <c r="A449" s="6" t="inlineStr">
        <is>
          <t>Call-out revenue, September</t>
        </is>
      </c>
    </row>
    <row r="450">
      <c r="A450" s="13" t="inlineStr">
        <is>
          <t>Technician time charged at $163/hour + materials charged at cost × 1.3</t>
        </is>
      </c>
    </row>
    <row r="451">
      <c r="A451" s="7" t="inlineStr"/>
      <c r="B451" s="8" t="inlineStr">
        <is>
          <t>Sep 2026</t>
        </is>
      </c>
    </row>
    <row r="452">
      <c r="A452" t="inlineStr">
        <is>
          <t>Technician time charged ($163/hour)</t>
        </is>
      </c>
      <c r="B452" s="14" t="n">
        <v>24216</v>
      </c>
    </row>
    <row r="453">
      <c r="A453" t="inlineStr">
        <is>
          <t>Materials at cost</t>
        </is>
      </c>
      <c r="B453" s="14" t="n">
        <v>7380</v>
      </c>
    </row>
    <row r="454">
      <c r="A454" t="inlineStr">
        <is>
          <t>Mark-up on materials</t>
        </is>
      </c>
      <c r="B454" s="15" t="n">
        <v>0.3</v>
      </c>
    </row>
    <row r="455">
      <c r="A455" t="inlineStr">
        <is>
          <t>Materials charged (cost × 1.3)</t>
        </is>
      </c>
      <c r="B455" s="14">
        <f>B453*(1+B454)</f>
        <v/>
      </c>
    </row>
    <row r="456">
      <c r="A456" t="inlineStr">
        <is>
          <t>Materials charged (as invoiced, rounded per call-out)</t>
        </is>
      </c>
      <c r="B456" s="14" t="n">
        <v>9594</v>
      </c>
    </row>
    <row r="457">
      <c r="A457" t="inlineStr">
        <is>
          <t>Call-out revenue</t>
        </is>
      </c>
      <c r="B457" s="14">
        <f>B452+B456</f>
        <v/>
      </c>
    </row>
    <row r="458">
      <c r="A458" s="16" t="inlineStr">
        <is>
          <t>Technician time, % of call-out revenue</t>
        </is>
      </c>
      <c r="B458" s="17">
        <f>B452/B457</f>
        <v/>
      </c>
    </row>
    <row r="459"/>
    <row r="460"/>
    <row r="461">
      <c r="A461" s="6" t="inlineStr">
        <is>
          <t>Call-out revenue, September</t>
        </is>
      </c>
    </row>
    <row r="462">
      <c r="A462" s="13" t="inlineStr">
        <is>
          <t>Technician time charged at $163/hour + materials charged at cost × 1.3</t>
        </is>
      </c>
    </row>
    <row r="463">
      <c r="A463" s="7" t="inlineStr"/>
      <c r="B463" s="8" t="inlineStr">
        <is>
          <t>Sep 2026</t>
        </is>
      </c>
    </row>
    <row r="464">
      <c r="A464" t="inlineStr">
        <is>
          <t>Technician time charged ($163/hour)</t>
        </is>
      </c>
      <c r="B464" s="14" t="n">
        <v>24216</v>
      </c>
    </row>
    <row r="465">
      <c r="A465" t="inlineStr">
        <is>
          <t>Materials at cost</t>
        </is>
      </c>
      <c r="B465" s="14" t="n">
        <v>7380</v>
      </c>
    </row>
    <row r="466">
      <c r="A466" t="inlineStr">
        <is>
          <t>Mark-up on materials</t>
        </is>
      </c>
      <c r="B466" s="15" t="n">
        <v>0.3</v>
      </c>
    </row>
    <row r="467">
      <c r="A467" t="inlineStr">
        <is>
          <t>Materials charged (cost × 1.3)</t>
        </is>
      </c>
      <c r="B467" s="14">
        <f>B465*(1+B466)</f>
        <v/>
      </c>
    </row>
    <row r="468">
      <c r="A468" t="inlineStr">
        <is>
          <t>Materials charged (as invoiced, rounded per call-out)</t>
        </is>
      </c>
      <c r="B468" s="14" t="n">
        <v>9594</v>
      </c>
    </row>
    <row r="469">
      <c r="A469" t="inlineStr">
        <is>
          <t>Call-out revenue</t>
        </is>
      </c>
      <c r="B469" s="14">
        <f>B464+B468</f>
        <v/>
      </c>
    </row>
    <row r="470">
      <c r="A470" s="16" t="inlineStr">
        <is>
          <t>Technician time, % of call-out revenue</t>
        </is>
      </c>
      <c r="B470" s="17">
        <f>B464/B469</f>
        <v/>
      </c>
    </row>
    <row r="471"/>
    <row r="472"/>
    <row r="473">
      <c r="A473" s="6" t="inlineStr">
        <is>
          <t>1-hour call-outs (6)</t>
        </is>
      </c>
    </row>
    <row r="474">
      <c r="A474" s="13" t="inlineStr">
        <is>
          <t>Call-outs of this length in September, added together</t>
        </is>
      </c>
    </row>
    <row r="475">
      <c r="A475" s="7" t="inlineStr"/>
      <c r="B475" s="8" t="inlineStr">
        <is>
          <t>Sep 2026</t>
        </is>
      </c>
    </row>
    <row r="476">
      <c r="A476" t="inlineStr">
        <is>
          <t>Call-outs</t>
        </is>
      </c>
      <c r="B476" s="14" t="n">
        <v>6</v>
      </c>
    </row>
    <row r="477">
      <c r="A477" t="inlineStr">
        <is>
          <t>Technician time charged ($163/hour)</t>
        </is>
      </c>
      <c r="B477" s="14" t="n">
        <v>978</v>
      </c>
    </row>
    <row r="478">
      <c r="A478" t="inlineStr">
        <is>
          <t>Materials charged (cost × 1.3)</t>
        </is>
      </c>
      <c r="B478" s="14" t="n">
        <v>923</v>
      </c>
    </row>
    <row r="479">
      <c r="A479" t="inlineStr">
        <is>
          <t>Revenue</t>
        </is>
      </c>
      <c r="B479" s="14">
        <f>B477+B478</f>
        <v/>
      </c>
    </row>
    <row r="480">
      <c r="A480" t="inlineStr">
        <is>
          <t>Materials at cost</t>
        </is>
      </c>
      <c r="B480" s="14" t="n">
        <v>-710</v>
      </c>
    </row>
    <row r="481">
      <c r="A481" t="inlineStr">
        <is>
          <t>Technician time at cost</t>
        </is>
      </c>
      <c r="B481" s="14" t="n">
        <v>-408</v>
      </c>
    </row>
    <row r="482">
      <c r="A482" t="inlineStr">
        <is>
          <t>Job gross margin</t>
        </is>
      </c>
      <c r="B482" s="14">
        <f>B479+B480+B481</f>
        <v/>
      </c>
    </row>
    <row r="483">
      <c r="A483" s="16" t="inlineStr">
        <is>
          <t>Job gross margin %</t>
        </is>
      </c>
      <c r="B483" s="17">
        <f>B482/B479</f>
        <v/>
      </c>
    </row>
    <row r="484"/>
    <row r="485"/>
    <row r="486">
      <c r="A486" s="6" t="inlineStr">
        <is>
          <t>1.5-hour call-outs (13)</t>
        </is>
      </c>
    </row>
    <row r="487">
      <c r="A487" s="13" t="inlineStr">
        <is>
          <t>Call-outs of this length in September, added together</t>
        </is>
      </c>
    </row>
    <row r="488">
      <c r="A488" s="7" t="inlineStr"/>
      <c r="B488" s="8" t="inlineStr">
        <is>
          <t>Sep 2026</t>
        </is>
      </c>
    </row>
    <row r="489">
      <c r="A489" t="inlineStr">
        <is>
          <t>Call-outs</t>
        </is>
      </c>
      <c r="B489" s="14" t="n">
        <v>13</v>
      </c>
    </row>
    <row r="490">
      <c r="A490" t="inlineStr">
        <is>
          <t>Technician time charged ($163/hour)</t>
        </is>
      </c>
      <c r="B490" s="14" t="n">
        <v>3185</v>
      </c>
    </row>
    <row r="491">
      <c r="A491" t="inlineStr">
        <is>
          <t>Materials charged (cost × 1.3)</t>
        </is>
      </c>
      <c r="B491" s="14" t="n">
        <v>1833</v>
      </c>
    </row>
    <row r="492">
      <c r="A492" t="inlineStr">
        <is>
          <t>Revenue</t>
        </is>
      </c>
      <c r="B492" s="14">
        <f>B490+B491</f>
        <v/>
      </c>
    </row>
    <row r="493">
      <c r="A493" t="inlineStr">
        <is>
          <t>Materials at cost</t>
        </is>
      </c>
      <c r="B493" s="14" t="n">
        <v>-1410</v>
      </c>
    </row>
    <row r="494">
      <c r="A494" t="inlineStr">
        <is>
          <t>Technician time at cost</t>
        </is>
      </c>
      <c r="B494" s="14" t="n">
        <v>-1326</v>
      </c>
    </row>
    <row r="495">
      <c r="A495" t="inlineStr">
        <is>
          <t>Job gross margin</t>
        </is>
      </c>
      <c r="B495" s="14">
        <f>B492+B493+B494</f>
        <v/>
      </c>
    </row>
    <row r="496">
      <c r="A496" s="16" t="inlineStr">
        <is>
          <t>Job gross margin %</t>
        </is>
      </c>
      <c r="B496" s="17">
        <f>B495/B492</f>
        <v/>
      </c>
    </row>
    <row r="497"/>
    <row r="498"/>
    <row r="499">
      <c r="A499" s="6" t="inlineStr">
        <is>
          <t>2-hour call-outs (17)</t>
        </is>
      </c>
    </row>
    <row r="500">
      <c r="A500" s="13" t="inlineStr">
        <is>
          <t>Call-outs of this length in September, added together</t>
        </is>
      </c>
    </row>
    <row r="501">
      <c r="A501" s="7" t="inlineStr"/>
      <c r="B501" s="8" t="inlineStr">
        <is>
          <t>Sep 2026</t>
        </is>
      </c>
    </row>
    <row r="502">
      <c r="A502" t="inlineStr">
        <is>
          <t>Call-outs</t>
        </is>
      </c>
      <c r="B502" s="14" t="n">
        <v>17</v>
      </c>
    </row>
    <row r="503">
      <c r="A503" t="inlineStr">
        <is>
          <t>Technician time charged ($163/hour)</t>
        </is>
      </c>
      <c r="B503" s="14" t="n">
        <v>5542</v>
      </c>
    </row>
    <row r="504">
      <c r="A504" t="inlineStr">
        <is>
          <t>Materials charged (cost × 1.3)</t>
        </is>
      </c>
      <c r="B504" s="14" t="n">
        <v>2860</v>
      </c>
    </row>
    <row r="505">
      <c r="A505" t="inlineStr">
        <is>
          <t>Revenue</t>
        </is>
      </c>
      <c r="B505" s="14">
        <f>B503+B504</f>
        <v/>
      </c>
    </row>
    <row r="506">
      <c r="A506" t="inlineStr">
        <is>
          <t>Materials at cost</t>
        </is>
      </c>
      <c r="B506" s="14" t="n">
        <v>-2200</v>
      </c>
    </row>
    <row r="507">
      <c r="A507" t="inlineStr">
        <is>
          <t>Technician time at cost</t>
        </is>
      </c>
      <c r="B507" s="14" t="n">
        <v>-2312</v>
      </c>
    </row>
    <row r="508">
      <c r="A508" t="inlineStr">
        <is>
          <t>Job gross margin</t>
        </is>
      </c>
      <c r="B508" s="14">
        <f>B505+B506+B507</f>
        <v/>
      </c>
    </row>
    <row r="509">
      <c r="A509" s="16" t="inlineStr">
        <is>
          <t>Job gross margin %</t>
        </is>
      </c>
      <c r="B509" s="17">
        <f>B508/B505</f>
        <v/>
      </c>
    </row>
    <row r="510"/>
    <row r="511"/>
    <row r="512">
      <c r="A512" s="6" t="inlineStr">
        <is>
          <t>2.5-hour call-outs (8)</t>
        </is>
      </c>
    </row>
    <row r="513">
      <c r="A513" s="13" t="inlineStr">
        <is>
          <t>Call-outs of this length in September, added together</t>
        </is>
      </c>
    </row>
    <row r="514">
      <c r="A514" s="7" t="inlineStr"/>
      <c r="B514" s="8" t="inlineStr">
        <is>
          <t>Sep 2026</t>
        </is>
      </c>
    </row>
    <row r="515">
      <c r="A515" t="inlineStr">
        <is>
          <t>Call-outs</t>
        </is>
      </c>
      <c r="B515" s="14" t="n">
        <v>8</v>
      </c>
    </row>
    <row r="516">
      <c r="A516" t="inlineStr">
        <is>
          <t>Technician time charged ($163/hour)</t>
        </is>
      </c>
      <c r="B516" s="14" t="n">
        <v>3264</v>
      </c>
    </row>
    <row r="517">
      <c r="A517" t="inlineStr">
        <is>
          <t>Materials charged (cost × 1.3)</t>
        </is>
      </c>
      <c r="B517" s="14" t="n">
        <v>1092</v>
      </c>
    </row>
    <row r="518">
      <c r="A518" t="inlineStr">
        <is>
          <t>Revenue</t>
        </is>
      </c>
      <c r="B518" s="14">
        <f>B516+B517</f>
        <v/>
      </c>
    </row>
    <row r="519">
      <c r="A519" t="inlineStr">
        <is>
          <t>Materials at cost</t>
        </is>
      </c>
      <c r="B519" s="14" t="n">
        <v>-840</v>
      </c>
    </row>
    <row r="520">
      <c r="A520" t="inlineStr">
        <is>
          <t>Technician time at cost</t>
        </is>
      </c>
      <c r="B520" s="14" t="n">
        <v>-1360</v>
      </c>
    </row>
    <row r="521">
      <c r="A521" t="inlineStr">
        <is>
          <t>Job gross margin</t>
        </is>
      </c>
      <c r="B521" s="14">
        <f>B518+B519+B520</f>
        <v/>
      </c>
    </row>
    <row r="522">
      <c r="A522" s="16" t="inlineStr">
        <is>
          <t>Job gross margin %</t>
        </is>
      </c>
      <c r="B522" s="17">
        <f>B521/B518</f>
        <v/>
      </c>
    </row>
    <row r="523"/>
    <row r="524"/>
    <row r="525">
      <c r="A525" s="6" t="inlineStr">
        <is>
          <t>3-hour call-outs (11)</t>
        </is>
      </c>
    </row>
    <row r="526">
      <c r="A526" s="13" t="inlineStr">
        <is>
          <t>Call-outs of this length in September, added together</t>
        </is>
      </c>
    </row>
    <row r="527">
      <c r="A527" s="7" t="inlineStr"/>
      <c r="B527" s="8" t="inlineStr">
        <is>
          <t>Sep 2026</t>
        </is>
      </c>
    </row>
    <row r="528">
      <c r="A528" t="inlineStr">
        <is>
          <t>Call-outs</t>
        </is>
      </c>
      <c r="B528" s="14" t="n">
        <v>11</v>
      </c>
    </row>
    <row r="529">
      <c r="A529" t="inlineStr">
        <is>
          <t>Technician time charged ($163/hour)</t>
        </is>
      </c>
      <c r="B529" s="14" t="n">
        <v>5379</v>
      </c>
    </row>
    <row r="530">
      <c r="A530" t="inlineStr">
        <is>
          <t>Materials charged (cost × 1.3)</t>
        </is>
      </c>
      <c r="B530" s="14" t="n">
        <v>1573</v>
      </c>
    </row>
    <row r="531">
      <c r="A531" t="inlineStr">
        <is>
          <t>Revenue</t>
        </is>
      </c>
      <c r="B531" s="14">
        <f>B529+B530</f>
        <v/>
      </c>
    </row>
    <row r="532">
      <c r="A532" t="inlineStr">
        <is>
          <t>Materials at cost</t>
        </is>
      </c>
      <c r="B532" s="14" t="n">
        <v>-1210</v>
      </c>
    </row>
    <row r="533">
      <c r="A533" t="inlineStr">
        <is>
          <t>Technician time at cost</t>
        </is>
      </c>
      <c r="B533" s="14" t="n">
        <v>-2244</v>
      </c>
    </row>
    <row r="534">
      <c r="A534" t="inlineStr">
        <is>
          <t>Job gross margin</t>
        </is>
      </c>
      <c r="B534" s="14">
        <f>B531+B532+B533</f>
        <v/>
      </c>
    </row>
    <row r="535">
      <c r="A535" s="16" t="inlineStr">
        <is>
          <t>Job gross margin %</t>
        </is>
      </c>
      <c r="B535" s="17">
        <f>B534/B531</f>
        <v/>
      </c>
    </row>
    <row r="536"/>
    <row r="537"/>
    <row r="538">
      <c r="A538" s="6" t="inlineStr">
        <is>
          <t>4-hour call-outs (9)</t>
        </is>
      </c>
    </row>
    <row r="539">
      <c r="A539" s="13" t="inlineStr">
        <is>
          <t>Call-outs of this length in September, added together</t>
        </is>
      </c>
    </row>
    <row r="540">
      <c r="A540" s="7" t="inlineStr"/>
      <c r="B540" s="8" t="inlineStr">
        <is>
          <t>Sep 2026</t>
        </is>
      </c>
    </row>
    <row r="541">
      <c r="A541" t="inlineStr">
        <is>
          <t>Call-outs</t>
        </is>
      </c>
      <c r="B541" s="14" t="n">
        <v>9</v>
      </c>
    </row>
    <row r="542">
      <c r="A542" t="inlineStr">
        <is>
          <t>Technician time charged ($163/hour)</t>
        </is>
      </c>
      <c r="B542" s="14" t="n">
        <v>5868</v>
      </c>
    </row>
    <row r="543">
      <c r="A543" t="inlineStr">
        <is>
          <t>Materials charged (cost × 1.3)</t>
        </is>
      </c>
      <c r="B543" s="14" t="n">
        <v>1313</v>
      </c>
    </row>
    <row r="544">
      <c r="A544" t="inlineStr">
        <is>
          <t>Revenue</t>
        </is>
      </c>
      <c r="B544" s="14">
        <f>B542+B543</f>
        <v/>
      </c>
    </row>
    <row r="545">
      <c r="A545" t="inlineStr">
        <is>
          <t>Materials at cost</t>
        </is>
      </c>
      <c r="B545" s="14" t="n">
        <v>-1010</v>
      </c>
    </row>
    <row r="546">
      <c r="A546" t="inlineStr">
        <is>
          <t>Technician time at cost</t>
        </is>
      </c>
      <c r="B546" s="14" t="n">
        <v>-2448</v>
      </c>
    </row>
    <row r="547">
      <c r="A547" t="inlineStr">
        <is>
          <t>Job gross margin</t>
        </is>
      </c>
      <c r="B547" s="14">
        <f>B544+B545+B546</f>
        <v/>
      </c>
    </row>
    <row r="548">
      <c r="A548" s="16" t="inlineStr">
        <is>
          <t>Job gross margin %</t>
        </is>
      </c>
      <c r="B548" s="17">
        <f>B547/B544</f>
        <v/>
      </c>
    </row>
    <row r="549"/>
    <row r="550"/>
    <row r="551"/>
  </sheetData>
  <printOptions horizontalCentered="1"/>
  <pageMargins left="0.5" right="0.5" top="0.75" bottom="0.75" header="0.5" footer="0.5"/>
  <pageSetup orientation="landscape" paperSize="9" fitToHeight="0" fitToWidth="1"/>
  <headerFooter>
    <oddHeader>&amp;L&amp;"Roboto,Regular"&amp;8 Sample Electrical &amp;&amp; Air Pty Ltd&amp;R&amp;"Roboto,Regular"&amp;8 &amp;A</oddHeader>
    <oddFooter>&amp;L&amp;"Roboto,Regular"&amp;8 job-margins.xlsx&amp;C&amp;"Roboto,Regular"&amp;8 Data retrieved 2pm, Tue 6 Oct 2026 · Generated 22 Oct 2026, 4:57pm&amp;R&amp;"Roboto,Regular"&amp;8 Page &amp;P of &amp;N</oddFooter>
    <evenHeader/>
    <evenFooter/>
    <firstHeader/>
    <firstFooter/>
  </headerFooter>
  <rowBreaks count="20" manualBreakCount="20">
    <brk id="30" min="0" max="16383" man="1"/>
    <brk id="56" min="0" max="16383" man="1"/>
    <brk id="83" min="0" max="16383" man="1"/>
    <brk id="101" min="0" max="16383" man="1"/>
    <brk id="131" min="0" max="16383" man="1"/>
    <brk id="157" min="0" max="16383" man="1"/>
    <brk id="183" min="0" max="16383" man="1"/>
    <brk id="209" min="0" max="16383" man="1"/>
    <brk id="235" min="0" max="16383" man="1"/>
    <brk id="261" min="0" max="16383" man="1"/>
    <brk id="287" min="0" max="16383" man="1"/>
    <brk id="318" min="0" max="16383" man="1"/>
    <brk id="348" min="0" max="16383" man="1"/>
    <brk id="374" min="0" max="16383" man="1"/>
    <brk id="400" min="0" max="16383" man="1"/>
    <brk id="431" min="0" max="16383" man="1"/>
    <brk id="460" min="0" max="16383" man="1"/>
    <brk id="485" min="0" max="16383" man="1"/>
    <brk id="511" min="0" max="16383" man="1"/>
    <brk id="537" min="0" max="16383" man="1"/>
  </rowBreaks>
</worksheet>
</file>

<file path=xl/worksheets/sheet3.xml><?xml version="1.0" encoding="utf-8"?>
<worksheet xmlns="http://schemas.openxmlformats.org/spreadsheetml/2006/main">
  <sheetPr>
    <outlinePr summaryBelow="1" summaryRight="1"/>
    <pageSetUpPr/>
  </sheetPr>
  <dimension ref="A1:C33"/>
  <sheetViews>
    <sheetView workbookViewId="0">
      <selection activeCell="A1" sqref="A1"/>
    </sheetView>
  </sheetViews>
  <sheetFormatPr baseColWidth="8" defaultRowHeight="15"/>
  <sheetData>
    <row r="1">
      <c r="A1" t="inlineStr">
        <is>
          <t>Points for the target and break-even lines drawn on the charts (hidden sheet; edit the values on the chart's own sheet).</t>
        </is>
      </c>
    </row>
    <row r="2"/>
    <row r="3">
      <c r="A3" t="inlineStr">
        <is>
          <t>Report: Job gross margin by type of job, September 2026: Target 35.0%</t>
        </is>
      </c>
    </row>
    <row r="4">
      <c r="B4" t="n">
        <v>0.35</v>
      </c>
      <c r="C4" t="n">
        <v>0</v>
      </c>
    </row>
    <row r="5">
      <c r="B5" t="n">
        <v>0.35</v>
      </c>
      <c r="C5" t="n">
        <v>1</v>
      </c>
    </row>
    <row r="6"/>
    <row r="7">
      <c r="A7" t="inlineStr">
        <is>
          <t>Report: Job gross margin by type of job, September 2026: Break-even 39.0%</t>
        </is>
      </c>
    </row>
    <row r="8">
      <c r="B8" t="n">
        <v>0.39</v>
      </c>
      <c r="C8" t="n">
        <v>0</v>
      </c>
    </row>
    <row r="9">
      <c r="B9" t="n">
        <v>0.39</v>
      </c>
      <c r="C9" t="n">
        <v>1</v>
      </c>
    </row>
    <row r="10"/>
    <row r="11">
      <c r="A11" t="inlineStr">
        <is>
          <t>Report: Job gross margin on each maintenance contract, September 2026: Target 35.0%</t>
        </is>
      </c>
    </row>
    <row r="12">
      <c r="B12" t="n">
        <v>0.35</v>
      </c>
      <c r="C12" t="n">
        <v>0</v>
      </c>
    </row>
    <row r="13">
      <c r="B13" t="n">
        <v>0.35</v>
      </c>
      <c r="C13" t="n">
        <v>1</v>
      </c>
    </row>
    <row r="14"/>
    <row r="15">
      <c r="A15" t="inlineStr">
        <is>
          <t>Report: Job gross margin on each maintenance contract, September 2026: Break-even 39.0%</t>
        </is>
      </c>
    </row>
    <row r="16">
      <c r="B16" t="n">
        <v>0.39</v>
      </c>
      <c r="C16" t="n">
        <v>0</v>
      </c>
    </row>
    <row r="17">
      <c r="B17" t="n">
        <v>0.39</v>
      </c>
      <c r="C17" t="n">
        <v>1</v>
      </c>
    </row>
    <row r="18"/>
    <row r="19">
      <c r="A19" t="inlineStr">
        <is>
          <t>Report: Job gross margin on each installation invoiced in September 2026: Target 35.0%</t>
        </is>
      </c>
    </row>
    <row r="20">
      <c r="B20" t="n">
        <v>0.35</v>
      </c>
      <c r="C20" t="n">
        <v>0</v>
      </c>
    </row>
    <row r="21">
      <c r="B21" t="n">
        <v>0.35</v>
      </c>
      <c r="C21" t="n">
        <v>1</v>
      </c>
    </row>
    <row r="22"/>
    <row r="23">
      <c r="A23" t="inlineStr">
        <is>
          <t>Report: Job gross margin on each installation invoiced in September 2026: Break-even 39.0%</t>
        </is>
      </c>
    </row>
    <row r="24">
      <c r="B24" t="n">
        <v>0.39</v>
      </c>
      <c r="C24" t="n">
        <v>0</v>
      </c>
    </row>
    <row r="25">
      <c r="B25" t="n">
        <v>0.39</v>
      </c>
      <c r="C25" t="n">
        <v>1</v>
      </c>
    </row>
    <row r="26"/>
    <row r="27">
      <c r="A27" t="inlineStr">
        <is>
          <t>Report: Job gross margin on call-outs by length, September 2026: Target 35.0%</t>
        </is>
      </c>
    </row>
    <row r="28">
      <c r="B28" t="n">
        <v>0.35</v>
      </c>
      <c r="C28" t="n">
        <v>0</v>
      </c>
    </row>
    <row r="29">
      <c r="B29" t="n">
        <v>0.35</v>
      </c>
      <c r="C29" t="n">
        <v>1</v>
      </c>
    </row>
    <row r="30"/>
    <row r="31">
      <c r="A31" t="inlineStr">
        <is>
          <t>Report: Job gross margin on call-outs by length, September 2026: Break-even 39.0%</t>
        </is>
      </c>
    </row>
    <row r="32">
      <c r="B32" t="n">
        <v>0.39</v>
      </c>
      <c r="C32" t="n">
        <v>0</v>
      </c>
    </row>
    <row r="33">
      <c r="B33" t="n">
        <v>0.39</v>
      </c>
      <c r="C33" t="n">
        <v>1</v>
      </c>
    </row>
  </sheetData>
  <pageMargins left="0.75" right="0.75" top="1" bottom="1" header="0.5" footer="0.5"/>
</worksheet>
</file>

<file path=xl/worksheets/sheet4.xml><?xml version="1.0" encoding="utf-8"?>
<worksheet xmlns="http://schemas.openxmlformats.org/spreadsheetml/2006/main">
  <sheetPr>
    <outlinePr summaryBelow="1" summaryRight="1"/>
    <pageSetUpPr fitToPage="1"/>
  </sheetPr>
  <dimension ref="A1:G101"/>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34" customWidth="1" min="1" max="1"/>
    <col width="16" customWidth="1" min="2" max="2"/>
    <col width="16" customWidth="1" min="3" max="3"/>
    <col width="16" customWidth="1" min="4" max="4"/>
    <col width="16" customWidth="1" min="5" max="5"/>
    <col width="16" customWidth="1" min="6" max="6"/>
    <col width="16" customWidth="1" min="7" max="7"/>
  </cols>
  <sheetData>
    <row r="1">
      <c r="A1" s="1" t="inlineStr">
        <is>
          <t>Data</t>
        </is>
      </c>
    </row>
    <row r="2">
      <c r="A2" s="2" t="inlineStr">
        <is>
          <t>Sample Electrical &amp; Air Pty Ltd · SAMPLE DATA (invented) · The Fourth Sheet · Made with Python (openpyxl)</t>
        </is>
      </c>
    </row>
    <row r="3">
      <c r="A3" s="2" t="inlineStr">
        <is>
          <t>Period: September 2026 · Data status: Sep 2026 locked (data retrieved 2pm, Tue 6 Oct 2026) · Generated 22 Oct 2026, 4:57pm</t>
        </is>
      </c>
    </row>
    <row r="4"/>
    <row r="5">
      <c r="A5" s="7" t="inlineStr">
        <is>
          <t>Line</t>
        </is>
      </c>
      <c r="B5" s="8" t="inlineStr">
        <is>
          <t>Month</t>
        </is>
      </c>
      <c r="C5" s="8" t="inlineStr">
        <is>
          <t>Status</t>
        </is>
      </c>
      <c r="D5" s="8" t="inlineStr">
        <is>
          <t>Revenue</t>
        </is>
      </c>
      <c r="E5" s="8" t="inlineStr">
        <is>
          <t>Direct cost</t>
        </is>
      </c>
      <c r="F5" s="8" t="inlineStr">
        <is>
          <t>Gross margin</t>
        </is>
      </c>
      <c r="G5" s="8" t="inlineStr">
        <is>
          <t>Gross margin %</t>
        </is>
      </c>
    </row>
    <row r="6">
      <c r="A6" s="19" t="inlineStr">
        <is>
          <t>All</t>
        </is>
      </c>
      <c r="B6" s="19" t="inlineStr">
        <is>
          <t>Oct 24</t>
        </is>
      </c>
      <c r="C6" s="19" t="inlineStr">
        <is>
          <t>Locked</t>
        </is>
      </c>
      <c r="D6" s="14" t="n">
        <v>191014</v>
      </c>
      <c r="E6" s="14" t="n">
        <v>114334</v>
      </c>
      <c r="F6" s="14">
        <f>D6-E6</f>
        <v/>
      </c>
      <c r="G6" s="15">
        <f>IF(D6=0,"",F6/D6)</f>
        <v/>
      </c>
    </row>
    <row r="7">
      <c r="A7" s="19" t="inlineStr">
        <is>
          <t>All</t>
        </is>
      </c>
      <c r="B7" s="19" t="inlineStr">
        <is>
          <t>Nov 24</t>
        </is>
      </c>
      <c r="C7" s="19" t="inlineStr">
        <is>
          <t>Locked</t>
        </is>
      </c>
      <c r="D7" s="14" t="n">
        <v>200124</v>
      </c>
      <c r="E7" s="14" t="n">
        <v>113016</v>
      </c>
      <c r="F7" s="14">
        <f>D7-E7</f>
        <v/>
      </c>
      <c r="G7" s="15">
        <f>IF(D7=0,"",F7/D7)</f>
        <v/>
      </c>
    </row>
    <row r="8">
      <c r="A8" s="19" t="inlineStr">
        <is>
          <t>All</t>
        </is>
      </c>
      <c r="B8" s="19" t="inlineStr">
        <is>
          <t>Dec 24</t>
        </is>
      </c>
      <c r="C8" s="19" t="inlineStr">
        <is>
          <t>Locked</t>
        </is>
      </c>
      <c r="D8" s="14" t="n">
        <v>159406</v>
      </c>
      <c r="E8" s="14" t="n">
        <v>85316</v>
      </c>
      <c r="F8" s="14">
        <f>D8-E8</f>
        <v/>
      </c>
      <c r="G8" s="15">
        <f>IF(D8=0,"",F8/D8)</f>
        <v/>
      </c>
    </row>
    <row r="9">
      <c r="A9" s="19" t="inlineStr">
        <is>
          <t>All</t>
        </is>
      </c>
      <c r="B9" s="19" t="inlineStr">
        <is>
          <t>Jan 25</t>
        </is>
      </c>
      <c r="C9" s="19" t="inlineStr">
        <is>
          <t>Locked</t>
        </is>
      </c>
      <c r="D9" s="14" t="n">
        <v>156794</v>
      </c>
      <c r="E9" s="14" t="n">
        <v>80742</v>
      </c>
      <c r="F9" s="14">
        <f>D9-E9</f>
        <v/>
      </c>
      <c r="G9" s="15">
        <f>IF(D9=0,"",F9/D9)</f>
        <v/>
      </c>
    </row>
    <row r="10">
      <c r="A10" s="19" t="inlineStr">
        <is>
          <t>All</t>
        </is>
      </c>
      <c r="B10" s="19" t="inlineStr">
        <is>
          <t>Feb 25</t>
        </is>
      </c>
      <c r="C10" s="19" t="inlineStr">
        <is>
          <t>Locked</t>
        </is>
      </c>
      <c r="D10" s="14" t="n">
        <v>179190</v>
      </c>
      <c r="E10" s="14" t="n">
        <v>102348</v>
      </c>
      <c r="F10" s="14">
        <f>D10-E10</f>
        <v/>
      </c>
      <c r="G10" s="15">
        <f>IF(D10=0,"",F10/D10)</f>
        <v/>
      </c>
    </row>
    <row r="11">
      <c r="A11" s="19" t="inlineStr">
        <is>
          <t>All</t>
        </is>
      </c>
      <c r="B11" s="19" t="inlineStr">
        <is>
          <t>Mar 25</t>
        </is>
      </c>
      <c r="C11" s="19" t="inlineStr">
        <is>
          <t>Locked</t>
        </is>
      </c>
      <c r="D11" s="14" t="n">
        <v>150465</v>
      </c>
      <c r="E11" s="14" t="n">
        <v>85752</v>
      </c>
      <c r="F11" s="14">
        <f>D11-E11</f>
        <v/>
      </c>
      <c r="G11" s="15">
        <f>IF(D11=0,"",F11/D11)</f>
        <v/>
      </c>
    </row>
    <row r="12">
      <c r="A12" s="19" t="inlineStr">
        <is>
          <t>All</t>
        </is>
      </c>
      <c r="B12" s="19" t="inlineStr">
        <is>
          <t>Apr 25</t>
        </is>
      </c>
      <c r="C12" s="19" t="inlineStr">
        <is>
          <t>Locked</t>
        </is>
      </c>
      <c r="D12" s="14" t="n">
        <v>138865</v>
      </c>
      <c r="E12" s="14" t="n">
        <v>76808</v>
      </c>
      <c r="F12" s="14">
        <f>D12-E12</f>
        <v/>
      </c>
      <c r="G12" s="15">
        <f>IF(D12=0,"",F12/D12)</f>
        <v/>
      </c>
    </row>
    <row r="13">
      <c r="A13" s="19" t="inlineStr">
        <is>
          <t>All</t>
        </is>
      </c>
      <c r="B13" s="19" t="inlineStr">
        <is>
          <t>May 25</t>
        </is>
      </c>
      <c r="C13" s="19" t="inlineStr">
        <is>
          <t>Locked</t>
        </is>
      </c>
      <c r="D13" s="14" t="n">
        <v>144649</v>
      </c>
      <c r="E13" s="14" t="n">
        <v>83700</v>
      </c>
      <c r="F13" s="14">
        <f>D13-E13</f>
        <v/>
      </c>
      <c r="G13" s="15">
        <f>IF(D13=0,"",F13/D13)</f>
        <v/>
      </c>
    </row>
    <row r="14">
      <c r="A14" s="19" t="inlineStr">
        <is>
          <t>All</t>
        </is>
      </c>
      <c r="B14" s="19" t="inlineStr">
        <is>
          <t>Jun 25</t>
        </is>
      </c>
      <c r="C14" s="19" t="inlineStr">
        <is>
          <t>Locked</t>
        </is>
      </c>
      <c r="D14" s="14" t="n">
        <v>183265</v>
      </c>
      <c r="E14" s="14" t="n">
        <v>97584</v>
      </c>
      <c r="F14" s="14">
        <f>D14-E14</f>
        <v/>
      </c>
      <c r="G14" s="15">
        <f>IF(D14=0,"",F14/D14)</f>
        <v/>
      </c>
    </row>
    <row r="15">
      <c r="A15" s="19" t="inlineStr">
        <is>
          <t>All</t>
        </is>
      </c>
      <c r="B15" s="19" t="inlineStr">
        <is>
          <t>Jul 25</t>
        </is>
      </c>
      <c r="C15" s="19" t="inlineStr">
        <is>
          <t>Locked</t>
        </is>
      </c>
      <c r="D15" s="14" t="n">
        <v>208588</v>
      </c>
      <c r="E15" s="14" t="n">
        <v>120326</v>
      </c>
      <c r="F15" s="14">
        <f>D15-E15</f>
        <v/>
      </c>
      <c r="G15" s="15">
        <f>IF(D15=0,"",F15/D15)</f>
        <v/>
      </c>
    </row>
    <row r="16">
      <c r="A16" s="19" t="inlineStr">
        <is>
          <t>All</t>
        </is>
      </c>
      <c r="B16" s="19" t="inlineStr">
        <is>
          <t>Aug 25</t>
        </is>
      </c>
      <c r="C16" s="19" t="inlineStr">
        <is>
          <t>Locked</t>
        </is>
      </c>
      <c r="D16" s="14" t="n">
        <v>155118</v>
      </c>
      <c r="E16" s="14" t="n">
        <v>78258</v>
      </c>
      <c r="F16" s="14">
        <f>D16-E16</f>
        <v/>
      </c>
      <c r="G16" s="15">
        <f>IF(D16=0,"",F16/D16)</f>
        <v/>
      </c>
    </row>
    <row r="17">
      <c r="A17" s="19" t="inlineStr">
        <is>
          <t>All</t>
        </is>
      </c>
      <c r="B17" s="19" t="inlineStr">
        <is>
          <t>Sep 25</t>
        </is>
      </c>
      <c r="C17" s="19" t="inlineStr">
        <is>
          <t>Locked</t>
        </is>
      </c>
      <c r="D17" s="14" t="n">
        <v>143077</v>
      </c>
      <c r="E17" s="14" t="n">
        <v>80054</v>
      </c>
      <c r="F17" s="14">
        <f>D17-E17</f>
        <v/>
      </c>
      <c r="G17" s="15">
        <f>IF(D17=0,"",F17/D17)</f>
        <v/>
      </c>
    </row>
    <row r="18">
      <c r="A18" s="19" t="inlineStr">
        <is>
          <t>All</t>
        </is>
      </c>
      <c r="B18" s="19" t="inlineStr">
        <is>
          <t>Oct 25</t>
        </is>
      </c>
      <c r="C18" s="19" t="inlineStr">
        <is>
          <t>Locked</t>
        </is>
      </c>
      <c r="D18" s="14" t="n">
        <v>143566</v>
      </c>
      <c r="E18" s="14" t="n">
        <v>79452</v>
      </c>
      <c r="F18" s="14">
        <f>D18-E18</f>
        <v/>
      </c>
      <c r="G18" s="15">
        <f>IF(D18=0,"",F18/D18)</f>
        <v/>
      </c>
    </row>
    <row r="19">
      <c r="A19" s="19" t="inlineStr">
        <is>
          <t>All</t>
        </is>
      </c>
      <c r="B19" s="19" t="inlineStr">
        <is>
          <t>Nov 25</t>
        </is>
      </c>
      <c r="C19" s="19" t="inlineStr">
        <is>
          <t>Locked</t>
        </is>
      </c>
      <c r="D19" s="14" t="n">
        <v>194966</v>
      </c>
      <c r="E19" s="14" t="n">
        <v>115942</v>
      </c>
      <c r="F19" s="14">
        <f>D19-E19</f>
        <v/>
      </c>
      <c r="G19" s="15">
        <f>IF(D19=0,"",F19/D19)</f>
        <v/>
      </c>
    </row>
    <row r="20">
      <c r="A20" s="19" t="inlineStr">
        <is>
          <t>All</t>
        </is>
      </c>
      <c r="B20" s="19" t="inlineStr">
        <is>
          <t>Dec 25</t>
        </is>
      </c>
      <c r="C20" s="19" t="inlineStr">
        <is>
          <t>Locked</t>
        </is>
      </c>
      <c r="D20" s="14" t="n">
        <v>150283</v>
      </c>
      <c r="E20" s="14" t="n">
        <v>84626</v>
      </c>
      <c r="F20" s="14">
        <f>D20-E20</f>
        <v/>
      </c>
      <c r="G20" s="15">
        <f>IF(D20=0,"",F20/D20)</f>
        <v/>
      </c>
    </row>
    <row r="21">
      <c r="A21" s="19" t="inlineStr">
        <is>
          <t>All</t>
        </is>
      </c>
      <c r="B21" s="19" t="inlineStr">
        <is>
          <t>Jan 26</t>
        </is>
      </c>
      <c r="C21" s="19" t="inlineStr">
        <is>
          <t>Locked</t>
        </is>
      </c>
      <c r="D21" s="14" t="n">
        <v>183306</v>
      </c>
      <c r="E21" s="14" t="n">
        <v>106590</v>
      </c>
      <c r="F21" s="14">
        <f>D21-E21</f>
        <v/>
      </c>
      <c r="G21" s="15">
        <f>IF(D21=0,"",F21/D21)</f>
        <v/>
      </c>
    </row>
    <row r="22">
      <c r="A22" s="19" t="inlineStr">
        <is>
          <t>All</t>
        </is>
      </c>
      <c r="B22" s="19" t="inlineStr">
        <is>
          <t>Feb 26</t>
        </is>
      </c>
      <c r="C22" s="19" t="inlineStr">
        <is>
          <t>Locked</t>
        </is>
      </c>
      <c r="D22" s="14" t="n">
        <v>218908</v>
      </c>
      <c r="E22" s="14" t="n">
        <v>120662</v>
      </c>
      <c r="F22" s="14">
        <f>D22-E22</f>
        <v/>
      </c>
      <c r="G22" s="15">
        <f>IF(D22=0,"",F22/D22)</f>
        <v/>
      </c>
    </row>
    <row r="23">
      <c r="A23" s="19" t="inlineStr">
        <is>
          <t>All</t>
        </is>
      </c>
      <c r="B23" s="19" t="inlineStr">
        <is>
          <t>Mar 26</t>
        </is>
      </c>
      <c r="C23" s="19" t="inlineStr">
        <is>
          <t>Locked</t>
        </is>
      </c>
      <c r="D23" s="14" t="n">
        <v>213578</v>
      </c>
      <c r="E23" s="14" t="n">
        <v>123342</v>
      </c>
      <c r="F23" s="14">
        <f>D23-E23</f>
        <v/>
      </c>
      <c r="G23" s="15">
        <f>IF(D23=0,"",F23/D23)</f>
        <v/>
      </c>
    </row>
    <row r="24">
      <c r="A24" s="19" t="inlineStr">
        <is>
          <t>All</t>
        </is>
      </c>
      <c r="B24" s="19" t="inlineStr">
        <is>
          <t>Apr 26</t>
        </is>
      </c>
      <c r="C24" s="19" t="inlineStr">
        <is>
          <t>Locked</t>
        </is>
      </c>
      <c r="D24" s="14" t="n">
        <v>183967</v>
      </c>
      <c r="E24" s="14" t="n">
        <v>96144</v>
      </c>
      <c r="F24" s="14">
        <f>D24-E24</f>
        <v/>
      </c>
      <c r="G24" s="15">
        <f>IF(D24=0,"",F24/D24)</f>
        <v/>
      </c>
    </row>
    <row r="25">
      <c r="A25" s="19" t="inlineStr">
        <is>
          <t>All</t>
        </is>
      </c>
      <c r="B25" s="19" t="inlineStr">
        <is>
          <t>May 26</t>
        </is>
      </c>
      <c r="C25" s="19" t="inlineStr">
        <is>
          <t>Locked</t>
        </is>
      </c>
      <c r="D25" s="14" t="n">
        <v>180342</v>
      </c>
      <c r="E25" s="14" t="n">
        <v>98858</v>
      </c>
      <c r="F25" s="14">
        <f>D25-E25</f>
        <v/>
      </c>
      <c r="G25" s="15">
        <f>IF(D25=0,"",F25/D25)</f>
        <v/>
      </c>
    </row>
    <row r="26">
      <c r="A26" s="19" t="inlineStr">
        <is>
          <t>All</t>
        </is>
      </c>
      <c r="B26" s="19" t="inlineStr">
        <is>
          <t>Jun 26</t>
        </is>
      </c>
      <c r="C26" s="19" t="inlineStr">
        <is>
          <t>Locked</t>
        </is>
      </c>
      <c r="D26" s="14" t="n">
        <v>193032</v>
      </c>
      <c r="E26" s="14" t="n">
        <v>106500</v>
      </c>
      <c r="F26" s="14">
        <f>D26-E26</f>
        <v/>
      </c>
      <c r="G26" s="15">
        <f>IF(D26=0,"",F26/D26)</f>
        <v/>
      </c>
    </row>
    <row r="27">
      <c r="A27" s="19" t="inlineStr">
        <is>
          <t>All</t>
        </is>
      </c>
      <c r="B27" s="19" t="inlineStr">
        <is>
          <t>Jul 26</t>
        </is>
      </c>
      <c r="C27" s="19" t="inlineStr">
        <is>
          <t>Locked</t>
        </is>
      </c>
      <c r="D27" s="14" t="n">
        <v>215610</v>
      </c>
      <c r="E27" s="14" t="n">
        <v>122124</v>
      </c>
      <c r="F27" s="14">
        <f>D27-E27</f>
        <v/>
      </c>
      <c r="G27" s="15">
        <f>IF(D27=0,"",F27/D27)</f>
        <v/>
      </c>
    </row>
    <row r="28">
      <c r="A28" s="19" t="inlineStr">
        <is>
          <t>All</t>
        </is>
      </c>
      <c r="B28" s="19" t="inlineStr">
        <is>
          <t>Aug 26</t>
        </is>
      </c>
      <c r="C28" s="19" t="inlineStr">
        <is>
          <t>Locked</t>
        </is>
      </c>
      <c r="D28" s="14" t="n">
        <v>199523</v>
      </c>
      <c r="E28" s="14" t="n">
        <v>105370</v>
      </c>
      <c r="F28" s="14">
        <f>D28-E28</f>
        <v/>
      </c>
      <c r="G28" s="15">
        <f>IF(D28=0,"",F28/D28)</f>
        <v/>
      </c>
    </row>
    <row r="29">
      <c r="A29" s="19" t="inlineStr">
        <is>
          <t>All</t>
        </is>
      </c>
      <c r="B29" s="19" t="inlineStr">
        <is>
          <t>Sep 26</t>
        </is>
      </c>
      <c r="C29" s="19" t="inlineStr">
        <is>
          <t>Locked</t>
        </is>
      </c>
      <c r="D29" s="14" t="n">
        <v>225460</v>
      </c>
      <c r="E29" s="14" t="n">
        <v>129230</v>
      </c>
      <c r="F29" s="14">
        <f>D29-E29</f>
        <v/>
      </c>
      <c r="G29" s="15">
        <f>IF(D29=0,"",F29/D29)</f>
        <v/>
      </c>
    </row>
    <row r="30">
      <c r="A30" s="19" t="inlineStr">
        <is>
          <t>Maintenance contracts</t>
        </is>
      </c>
      <c r="B30" s="19" t="inlineStr">
        <is>
          <t>Oct 24</t>
        </is>
      </c>
      <c r="C30" s="19" t="inlineStr">
        <is>
          <t>Locked</t>
        </is>
      </c>
      <c r="D30" s="14" t="n">
        <v>27650</v>
      </c>
      <c r="E30" s="14" t="n">
        <v>10420</v>
      </c>
      <c r="F30" s="14">
        <f>D30-E30</f>
        <v/>
      </c>
      <c r="G30" s="15">
        <f>IF(D30=0,"",F30/D30)</f>
        <v/>
      </c>
    </row>
    <row r="31">
      <c r="A31" s="19" t="inlineStr">
        <is>
          <t>Maintenance contracts</t>
        </is>
      </c>
      <c r="B31" s="19" t="inlineStr">
        <is>
          <t>Nov 24</t>
        </is>
      </c>
      <c r="C31" s="19" t="inlineStr">
        <is>
          <t>Locked</t>
        </is>
      </c>
      <c r="D31" s="14" t="n">
        <v>27650</v>
      </c>
      <c r="E31" s="14" t="n">
        <v>10420</v>
      </c>
      <c r="F31" s="14">
        <f>D31-E31</f>
        <v/>
      </c>
      <c r="G31" s="15">
        <f>IF(D31=0,"",F31/D31)</f>
        <v/>
      </c>
    </row>
    <row r="32">
      <c r="A32" s="19" t="inlineStr">
        <is>
          <t>Maintenance contracts</t>
        </is>
      </c>
      <c r="B32" s="19" t="inlineStr">
        <is>
          <t>Dec 24</t>
        </is>
      </c>
      <c r="C32" s="19" t="inlineStr">
        <is>
          <t>Locked</t>
        </is>
      </c>
      <c r="D32" s="14" t="n">
        <v>27650</v>
      </c>
      <c r="E32" s="14" t="n">
        <v>10420</v>
      </c>
      <c r="F32" s="14">
        <f>D32-E32</f>
        <v/>
      </c>
      <c r="G32" s="15">
        <f>IF(D32=0,"",F32/D32)</f>
        <v/>
      </c>
    </row>
    <row r="33">
      <c r="A33" s="19" t="inlineStr">
        <is>
          <t>Maintenance contracts</t>
        </is>
      </c>
      <c r="B33" s="19" t="inlineStr">
        <is>
          <t>Jan 25</t>
        </is>
      </c>
      <c r="C33" s="19" t="inlineStr">
        <is>
          <t>Locked</t>
        </is>
      </c>
      <c r="D33" s="14" t="n">
        <v>27650</v>
      </c>
      <c r="E33" s="14" t="n">
        <v>10420</v>
      </c>
      <c r="F33" s="14">
        <f>D33-E33</f>
        <v/>
      </c>
      <c r="G33" s="15">
        <f>IF(D33=0,"",F33/D33)</f>
        <v/>
      </c>
    </row>
    <row r="34">
      <c r="A34" s="19" t="inlineStr">
        <is>
          <t>Maintenance contracts</t>
        </is>
      </c>
      <c r="B34" s="19" t="inlineStr">
        <is>
          <t>Feb 25</t>
        </is>
      </c>
      <c r="C34" s="19" t="inlineStr">
        <is>
          <t>Locked</t>
        </is>
      </c>
      <c r="D34" s="14" t="n">
        <v>31300</v>
      </c>
      <c r="E34" s="14" t="n">
        <v>11782</v>
      </c>
      <c r="F34" s="14">
        <f>D34-E34</f>
        <v/>
      </c>
      <c r="G34" s="15">
        <f>IF(D34=0,"",F34/D34)</f>
        <v/>
      </c>
    </row>
    <row r="35">
      <c r="A35" s="19" t="inlineStr">
        <is>
          <t>Maintenance contracts</t>
        </is>
      </c>
      <c r="B35" s="19" t="inlineStr">
        <is>
          <t>Mar 25</t>
        </is>
      </c>
      <c r="C35" s="19" t="inlineStr">
        <is>
          <t>Locked</t>
        </is>
      </c>
      <c r="D35" s="14" t="n">
        <v>31300</v>
      </c>
      <c r="E35" s="14" t="n">
        <v>11782</v>
      </c>
      <c r="F35" s="14">
        <f>D35-E35</f>
        <v/>
      </c>
      <c r="G35" s="15">
        <f>IF(D35=0,"",F35/D35)</f>
        <v/>
      </c>
    </row>
    <row r="36">
      <c r="A36" s="19" t="inlineStr">
        <is>
          <t>Maintenance contracts</t>
        </is>
      </c>
      <c r="B36" s="19" t="inlineStr">
        <is>
          <t>Apr 25</t>
        </is>
      </c>
      <c r="C36" s="19" t="inlineStr">
        <is>
          <t>Locked</t>
        </is>
      </c>
      <c r="D36" s="14" t="n">
        <v>31300</v>
      </c>
      <c r="E36" s="14" t="n">
        <v>11782</v>
      </c>
      <c r="F36" s="14">
        <f>D36-E36</f>
        <v/>
      </c>
      <c r="G36" s="15">
        <f>IF(D36=0,"",F36/D36)</f>
        <v/>
      </c>
    </row>
    <row r="37">
      <c r="A37" s="19" t="inlineStr">
        <is>
          <t>Maintenance contracts</t>
        </is>
      </c>
      <c r="B37" s="19" t="inlineStr">
        <is>
          <t>May 25</t>
        </is>
      </c>
      <c r="C37" s="19" t="inlineStr">
        <is>
          <t>Locked</t>
        </is>
      </c>
      <c r="D37" s="14" t="n">
        <v>31300</v>
      </c>
      <c r="E37" s="14" t="n">
        <v>11782</v>
      </c>
      <c r="F37" s="14">
        <f>D37-E37</f>
        <v/>
      </c>
      <c r="G37" s="15">
        <f>IF(D37=0,"",F37/D37)</f>
        <v/>
      </c>
    </row>
    <row r="38">
      <c r="A38" s="19" t="inlineStr">
        <is>
          <t>Maintenance contracts</t>
        </is>
      </c>
      <c r="B38" s="19" t="inlineStr">
        <is>
          <t>Jun 25</t>
        </is>
      </c>
      <c r="C38" s="19" t="inlineStr">
        <is>
          <t>Locked</t>
        </is>
      </c>
      <c r="D38" s="14" t="n">
        <v>35720</v>
      </c>
      <c r="E38" s="14" t="n">
        <v>13446</v>
      </c>
      <c r="F38" s="14">
        <f>D38-E38</f>
        <v/>
      </c>
      <c r="G38" s="15">
        <f>IF(D38=0,"",F38/D38)</f>
        <v/>
      </c>
    </row>
    <row r="39">
      <c r="A39" s="19" t="inlineStr">
        <is>
          <t>Maintenance contracts</t>
        </is>
      </c>
      <c r="B39" s="19" t="inlineStr">
        <is>
          <t>Jul 25</t>
        </is>
      </c>
      <c r="C39" s="19" t="inlineStr">
        <is>
          <t>Locked</t>
        </is>
      </c>
      <c r="D39" s="14" t="n">
        <v>37200</v>
      </c>
      <c r="E39" s="14" t="n">
        <v>13446</v>
      </c>
      <c r="F39" s="14">
        <f>D39-E39</f>
        <v/>
      </c>
      <c r="G39" s="15">
        <f>IF(D39=0,"",F39/D39)</f>
        <v/>
      </c>
    </row>
    <row r="40">
      <c r="A40" s="19" t="inlineStr">
        <is>
          <t>Maintenance contracts</t>
        </is>
      </c>
      <c r="B40" s="19" t="inlineStr">
        <is>
          <t>Aug 25</t>
        </is>
      </c>
      <c r="C40" s="19" t="inlineStr">
        <is>
          <t>Locked</t>
        </is>
      </c>
      <c r="D40" s="14" t="n">
        <v>37200</v>
      </c>
      <c r="E40" s="14" t="n">
        <v>13446</v>
      </c>
      <c r="F40" s="14">
        <f>D40-E40</f>
        <v/>
      </c>
      <c r="G40" s="15">
        <f>IF(D40=0,"",F40/D40)</f>
        <v/>
      </c>
    </row>
    <row r="41">
      <c r="A41" s="19" t="inlineStr">
        <is>
          <t>Maintenance contracts</t>
        </is>
      </c>
      <c r="B41" s="19" t="inlineStr">
        <is>
          <t>Sep 25</t>
        </is>
      </c>
      <c r="C41" s="19" t="inlineStr">
        <is>
          <t>Locked</t>
        </is>
      </c>
      <c r="D41" s="14" t="n">
        <v>37200</v>
      </c>
      <c r="E41" s="14" t="n">
        <v>13446</v>
      </c>
      <c r="F41" s="14">
        <f>D41-E41</f>
        <v/>
      </c>
      <c r="G41" s="15">
        <f>IF(D41=0,"",F41/D41)</f>
        <v/>
      </c>
    </row>
    <row r="42">
      <c r="A42" s="19" t="inlineStr">
        <is>
          <t>Maintenance contracts</t>
        </is>
      </c>
      <c r="B42" s="19" t="inlineStr">
        <is>
          <t>Oct 25</t>
        </is>
      </c>
      <c r="C42" s="19" t="inlineStr">
        <is>
          <t>Locked</t>
        </is>
      </c>
      <c r="D42" s="14" t="n">
        <v>40100</v>
      </c>
      <c r="E42" s="14" t="n">
        <v>14516</v>
      </c>
      <c r="F42" s="14">
        <f>D42-E42</f>
        <v/>
      </c>
      <c r="G42" s="15">
        <f>IF(D42=0,"",F42/D42)</f>
        <v/>
      </c>
    </row>
    <row r="43">
      <c r="A43" s="19" t="inlineStr">
        <is>
          <t>Maintenance contracts</t>
        </is>
      </c>
      <c r="B43" s="19" t="inlineStr">
        <is>
          <t>Nov 25</t>
        </is>
      </c>
      <c r="C43" s="19" t="inlineStr">
        <is>
          <t>Locked</t>
        </is>
      </c>
      <c r="D43" s="14" t="n">
        <v>40100</v>
      </c>
      <c r="E43" s="14" t="n">
        <v>14516</v>
      </c>
      <c r="F43" s="14">
        <f>D43-E43</f>
        <v/>
      </c>
      <c r="G43" s="15">
        <f>IF(D43=0,"",F43/D43)</f>
        <v/>
      </c>
    </row>
    <row r="44">
      <c r="A44" s="19" t="inlineStr">
        <is>
          <t>Maintenance contracts</t>
        </is>
      </c>
      <c r="B44" s="19" t="inlineStr">
        <is>
          <t>Dec 25</t>
        </is>
      </c>
      <c r="C44" s="19" t="inlineStr">
        <is>
          <t>Locked</t>
        </is>
      </c>
      <c r="D44" s="14" t="n">
        <v>40100</v>
      </c>
      <c r="E44" s="14" t="n">
        <v>14516</v>
      </c>
      <c r="F44" s="14">
        <f>D44-E44</f>
        <v/>
      </c>
      <c r="G44" s="15">
        <f>IF(D44=0,"",F44/D44)</f>
        <v/>
      </c>
    </row>
    <row r="45">
      <c r="A45" s="19" t="inlineStr">
        <is>
          <t>Maintenance contracts</t>
        </is>
      </c>
      <c r="B45" s="19" t="inlineStr">
        <is>
          <t>Jan 26</t>
        </is>
      </c>
      <c r="C45" s="19" t="inlineStr">
        <is>
          <t>Locked</t>
        </is>
      </c>
      <c r="D45" s="14" t="n">
        <v>40100</v>
      </c>
      <c r="E45" s="14" t="n">
        <v>14516</v>
      </c>
      <c r="F45" s="14">
        <f>D45-E45</f>
        <v/>
      </c>
      <c r="G45" s="15">
        <f>IF(D45=0,"",F45/D45)</f>
        <v/>
      </c>
    </row>
    <row r="46">
      <c r="A46" s="19" t="inlineStr">
        <is>
          <t>Maintenance contracts</t>
        </is>
      </c>
      <c r="B46" s="19" t="inlineStr">
        <is>
          <t>Feb 26</t>
        </is>
      </c>
      <c r="C46" s="19" t="inlineStr">
        <is>
          <t>Locked</t>
        </is>
      </c>
      <c r="D46" s="14" t="n">
        <v>42000</v>
      </c>
      <c r="E46" s="14" t="n">
        <v>15158</v>
      </c>
      <c r="F46" s="14">
        <f>D46-E46</f>
        <v/>
      </c>
      <c r="G46" s="15">
        <f>IF(D46=0,"",F46/D46)</f>
        <v/>
      </c>
    </row>
    <row r="47">
      <c r="A47" s="19" t="inlineStr">
        <is>
          <t>Maintenance contracts</t>
        </is>
      </c>
      <c r="B47" s="19" t="inlineStr">
        <is>
          <t>Mar 26</t>
        </is>
      </c>
      <c r="C47" s="19" t="inlineStr">
        <is>
          <t>Locked</t>
        </is>
      </c>
      <c r="D47" s="14" t="n">
        <v>42000</v>
      </c>
      <c r="E47" s="14" t="n">
        <v>15158</v>
      </c>
      <c r="F47" s="14">
        <f>D47-E47</f>
        <v/>
      </c>
      <c r="G47" s="15">
        <f>IF(D47=0,"",F47/D47)</f>
        <v/>
      </c>
    </row>
    <row r="48">
      <c r="A48" s="19" t="inlineStr">
        <is>
          <t>Maintenance contracts</t>
        </is>
      </c>
      <c r="B48" s="19" t="inlineStr">
        <is>
          <t>Apr 26</t>
        </is>
      </c>
      <c r="C48" s="19" t="inlineStr">
        <is>
          <t>Locked</t>
        </is>
      </c>
      <c r="D48" s="14" t="n">
        <v>42000</v>
      </c>
      <c r="E48" s="14" t="n">
        <v>15158</v>
      </c>
      <c r="F48" s="14">
        <f>D48-E48</f>
        <v/>
      </c>
      <c r="G48" s="15">
        <f>IF(D48=0,"",F48/D48)</f>
        <v/>
      </c>
    </row>
    <row r="49">
      <c r="A49" s="19" t="inlineStr">
        <is>
          <t>Maintenance contracts</t>
        </is>
      </c>
      <c r="B49" s="19" t="inlineStr">
        <is>
          <t>May 26</t>
        </is>
      </c>
      <c r="C49" s="19" t="inlineStr">
        <is>
          <t>Locked</t>
        </is>
      </c>
      <c r="D49" s="14" t="n">
        <v>45350</v>
      </c>
      <c r="E49" s="14" t="n">
        <v>16384</v>
      </c>
      <c r="F49" s="14">
        <f>D49-E49</f>
        <v/>
      </c>
      <c r="G49" s="15">
        <f>IF(D49=0,"",F49/D49)</f>
        <v/>
      </c>
    </row>
    <row r="50">
      <c r="A50" s="19" t="inlineStr">
        <is>
          <t>Maintenance contracts</t>
        </is>
      </c>
      <c r="B50" s="19" t="inlineStr">
        <is>
          <t>Jun 26</t>
        </is>
      </c>
      <c r="C50" s="19" t="inlineStr">
        <is>
          <t>Locked</t>
        </is>
      </c>
      <c r="D50" s="14" t="n">
        <v>45350</v>
      </c>
      <c r="E50" s="14" t="n">
        <v>16384</v>
      </c>
      <c r="F50" s="14">
        <f>D50-E50</f>
        <v/>
      </c>
      <c r="G50" s="15">
        <f>IF(D50=0,"",F50/D50)</f>
        <v/>
      </c>
    </row>
    <row r="51">
      <c r="A51" s="19" t="inlineStr">
        <is>
          <t>Maintenance contracts</t>
        </is>
      </c>
      <c r="B51" s="19" t="inlineStr">
        <is>
          <t>Jul 26</t>
        </is>
      </c>
      <c r="C51" s="19" t="inlineStr">
        <is>
          <t>Locked</t>
        </is>
      </c>
      <c r="D51" s="14" t="n">
        <v>45350</v>
      </c>
      <c r="E51" s="14" t="n">
        <v>16384</v>
      </c>
      <c r="F51" s="14">
        <f>D51-E51</f>
        <v/>
      </c>
      <c r="G51" s="15">
        <f>IF(D51=0,"",F51/D51)</f>
        <v/>
      </c>
    </row>
    <row r="52">
      <c r="A52" s="19" t="inlineStr">
        <is>
          <t>Maintenance contracts</t>
        </is>
      </c>
      <c r="B52" s="19" t="inlineStr">
        <is>
          <t>Aug 26</t>
        </is>
      </c>
      <c r="C52" s="19" t="inlineStr">
        <is>
          <t>Locked</t>
        </is>
      </c>
      <c r="D52" s="14" t="n">
        <v>45350</v>
      </c>
      <c r="E52" s="14" t="n">
        <v>16384</v>
      </c>
      <c r="F52" s="14">
        <f>D52-E52</f>
        <v/>
      </c>
      <c r="G52" s="15">
        <f>IF(D52=0,"",F52/D52)</f>
        <v/>
      </c>
    </row>
    <row r="53">
      <c r="A53" s="19" t="inlineStr">
        <is>
          <t>Maintenance contracts</t>
        </is>
      </c>
      <c r="B53" s="19" t="inlineStr">
        <is>
          <t>Sep 26</t>
        </is>
      </c>
      <c r="C53" s="19" t="inlineStr">
        <is>
          <t>Locked</t>
        </is>
      </c>
      <c r="D53" s="14" t="n">
        <v>45350</v>
      </c>
      <c r="E53" s="14" t="n">
        <v>16384</v>
      </c>
      <c r="F53" s="14">
        <f>D53-E53</f>
        <v/>
      </c>
      <c r="G53" s="15">
        <f>IF(D53=0,"",F53/D53)</f>
        <v/>
      </c>
    </row>
    <row r="54">
      <c r="A54" s="19" t="inlineStr">
        <is>
          <t>Installations</t>
        </is>
      </c>
      <c r="B54" s="19" t="inlineStr">
        <is>
          <t>Oct 24</t>
        </is>
      </c>
      <c r="C54" s="19" t="inlineStr">
        <is>
          <t>Locked</t>
        </is>
      </c>
      <c r="D54" s="14" t="n">
        <v>141600</v>
      </c>
      <c r="E54" s="14" t="n">
        <v>92430</v>
      </c>
      <c r="F54" s="14">
        <f>D54-E54</f>
        <v/>
      </c>
      <c r="G54" s="15">
        <f>IF(D54=0,"",F54/D54)</f>
        <v/>
      </c>
    </row>
    <row r="55">
      <c r="A55" s="19" t="inlineStr">
        <is>
          <t>Installations</t>
        </is>
      </c>
      <c r="B55" s="19" t="inlineStr">
        <is>
          <t>Nov 24</t>
        </is>
      </c>
      <c r="C55" s="19" t="inlineStr">
        <is>
          <t>Locked</t>
        </is>
      </c>
      <c r="D55" s="14" t="n">
        <v>147100</v>
      </c>
      <c r="E55" s="14" t="n">
        <v>89070</v>
      </c>
      <c r="F55" s="14">
        <f>D55-E55</f>
        <v/>
      </c>
      <c r="G55" s="15">
        <f>IF(D55=0,"",F55/D55)</f>
        <v/>
      </c>
    </row>
    <row r="56">
      <c r="A56" s="19" t="inlineStr">
        <is>
          <t>Installations</t>
        </is>
      </c>
      <c r="B56" s="19" t="inlineStr">
        <is>
          <t>Dec 24</t>
        </is>
      </c>
      <c r="C56" s="19" t="inlineStr">
        <is>
          <t>Locked</t>
        </is>
      </c>
      <c r="D56" s="14" t="n">
        <v>103700</v>
      </c>
      <c r="E56" s="14" t="n">
        <v>59908</v>
      </c>
      <c r="F56" s="14">
        <f>D56-E56</f>
        <v/>
      </c>
      <c r="G56" s="15">
        <f>IF(D56=0,"",F56/D56)</f>
        <v/>
      </c>
    </row>
    <row r="57">
      <c r="A57" s="19" t="inlineStr">
        <is>
          <t>Installations</t>
        </is>
      </c>
      <c r="B57" s="19" t="inlineStr">
        <is>
          <t>Jan 25</t>
        </is>
      </c>
      <c r="C57" s="19" t="inlineStr">
        <is>
          <t>Locked</t>
        </is>
      </c>
      <c r="D57" s="14" t="n">
        <v>100100</v>
      </c>
      <c r="E57" s="14" t="n">
        <v>54678</v>
      </c>
      <c r="F57" s="14">
        <f>D57-E57</f>
        <v/>
      </c>
      <c r="G57" s="15">
        <f>IF(D57=0,"",F57/D57)</f>
        <v/>
      </c>
    </row>
    <row r="58">
      <c r="A58" s="19" t="inlineStr">
        <is>
          <t>Installations</t>
        </is>
      </c>
      <c r="B58" s="19" t="inlineStr">
        <is>
          <t>Feb 25</t>
        </is>
      </c>
      <c r="C58" s="19" t="inlineStr">
        <is>
          <t>Locked</t>
        </is>
      </c>
      <c r="D58" s="14" t="n">
        <v>118600</v>
      </c>
      <c r="E58" s="14" t="n">
        <v>74966</v>
      </c>
      <c r="F58" s="14">
        <f>D58-E58</f>
        <v/>
      </c>
      <c r="G58" s="15">
        <f>IF(D58=0,"",F58/D58)</f>
        <v/>
      </c>
    </row>
    <row r="59">
      <c r="A59" s="19" t="inlineStr">
        <is>
          <t>Installations</t>
        </is>
      </c>
      <c r="B59" s="19" t="inlineStr">
        <is>
          <t>Mar 25</t>
        </is>
      </c>
      <c r="C59" s="19" t="inlineStr">
        <is>
          <t>Locked</t>
        </is>
      </c>
      <c r="D59" s="14" t="n">
        <v>96400</v>
      </c>
      <c r="E59" s="14" t="n">
        <v>61664</v>
      </c>
      <c r="F59" s="14">
        <f>D59-E59</f>
        <v/>
      </c>
      <c r="G59" s="15">
        <f>IF(D59=0,"",F59/D59)</f>
        <v/>
      </c>
    </row>
    <row r="60">
      <c r="A60" s="19" t="inlineStr">
        <is>
          <t>Installations</t>
        </is>
      </c>
      <c r="B60" s="19" t="inlineStr">
        <is>
          <t>Apr 25</t>
        </is>
      </c>
      <c r="C60" s="19" t="inlineStr">
        <is>
          <t>Locked</t>
        </is>
      </c>
      <c r="D60" s="14" t="n">
        <v>83900</v>
      </c>
      <c r="E60" s="14" t="n">
        <v>52264</v>
      </c>
      <c r="F60" s="14">
        <f>D60-E60</f>
        <v/>
      </c>
      <c r="G60" s="15">
        <f>IF(D60=0,"",F60/D60)</f>
        <v/>
      </c>
    </row>
    <row r="61">
      <c r="A61" s="19" t="inlineStr">
        <is>
          <t>Installations</t>
        </is>
      </c>
      <c r="B61" s="19" t="inlineStr">
        <is>
          <t>May 25</t>
        </is>
      </c>
      <c r="C61" s="19" t="inlineStr">
        <is>
          <t>Locked</t>
        </is>
      </c>
      <c r="D61" s="14" t="n">
        <v>89900</v>
      </c>
      <c r="E61" s="14" t="n">
        <v>59534</v>
      </c>
      <c r="F61" s="14">
        <f>D61-E61</f>
        <v/>
      </c>
      <c r="G61" s="15">
        <f>IF(D61=0,"",F61/D61)</f>
        <v/>
      </c>
    </row>
    <row r="62">
      <c r="A62" s="19" t="inlineStr">
        <is>
          <t>Installations</t>
        </is>
      </c>
      <c r="B62" s="19" t="inlineStr">
        <is>
          <t>Jun 25</t>
        </is>
      </c>
      <c r="C62" s="19" t="inlineStr">
        <is>
          <t>Locked</t>
        </is>
      </c>
      <c r="D62" s="14" t="n">
        <v>126300</v>
      </c>
      <c r="E62" s="14" t="n">
        <v>72976</v>
      </c>
      <c r="F62" s="14">
        <f>D62-E62</f>
        <v/>
      </c>
      <c r="G62" s="15">
        <f>IF(D62=0,"",F62/D62)</f>
        <v/>
      </c>
    </row>
    <row r="63">
      <c r="A63" s="19" t="inlineStr">
        <is>
          <t>Installations</t>
        </is>
      </c>
      <c r="B63" s="19" t="inlineStr">
        <is>
          <t>Jul 25</t>
        </is>
      </c>
      <c r="C63" s="19" t="inlineStr">
        <is>
          <t>Locked</t>
        </is>
      </c>
      <c r="D63" s="14" t="n">
        <v>152100</v>
      </c>
      <c r="E63" s="14" t="n">
        <v>96920</v>
      </c>
      <c r="F63" s="14">
        <f>D63-E63</f>
        <v/>
      </c>
      <c r="G63" s="15">
        <f>IF(D63=0,"",F63/D63)</f>
        <v/>
      </c>
    </row>
    <row r="64">
      <c r="A64" s="19" t="inlineStr">
        <is>
          <t>Installations</t>
        </is>
      </c>
      <c r="B64" s="19" t="inlineStr">
        <is>
          <t>Aug 25</t>
        </is>
      </c>
      <c r="C64" s="19" t="inlineStr">
        <is>
          <t>Locked</t>
        </is>
      </c>
      <c r="D64" s="14" t="n">
        <v>96500</v>
      </c>
      <c r="E64" s="14" t="n">
        <v>53590</v>
      </c>
      <c r="F64" s="14">
        <f>D64-E64</f>
        <v/>
      </c>
      <c r="G64" s="15">
        <f>IF(D64=0,"",F64/D64)</f>
        <v/>
      </c>
    </row>
    <row r="65">
      <c r="A65" s="19" t="inlineStr">
        <is>
          <t>Installations</t>
        </is>
      </c>
      <c r="B65" s="19" t="inlineStr">
        <is>
          <t>Sep 25</t>
        </is>
      </c>
      <c r="C65" s="19" t="inlineStr">
        <is>
          <t>Locked</t>
        </is>
      </c>
      <c r="D65" s="14" t="n">
        <v>84200</v>
      </c>
      <c r="E65" s="14" t="n">
        <v>55440</v>
      </c>
      <c r="F65" s="14">
        <f>D65-E65</f>
        <v/>
      </c>
      <c r="G65" s="15">
        <f>IF(D65=0,"",F65/D65)</f>
        <v/>
      </c>
    </row>
    <row r="66">
      <c r="A66" s="19" t="inlineStr">
        <is>
          <t>Installations</t>
        </is>
      </c>
      <c r="B66" s="19" t="inlineStr">
        <is>
          <t>Oct 25</t>
        </is>
      </c>
      <c r="C66" s="19" t="inlineStr">
        <is>
          <t>Locked</t>
        </is>
      </c>
      <c r="D66" s="14" t="n">
        <v>79300</v>
      </c>
      <c r="E66" s="14" t="n">
        <v>52288</v>
      </c>
      <c r="F66" s="14">
        <f>D66-E66</f>
        <v/>
      </c>
      <c r="G66" s="15">
        <f>IF(D66=0,"",F66/D66)</f>
        <v/>
      </c>
    </row>
    <row r="67">
      <c r="A67" s="19" t="inlineStr">
        <is>
          <t>Installations</t>
        </is>
      </c>
      <c r="B67" s="19" t="inlineStr">
        <is>
          <t>Nov 25</t>
        </is>
      </c>
      <c r="C67" s="19" t="inlineStr">
        <is>
          <t>Locked</t>
        </is>
      </c>
      <c r="D67" s="14" t="n">
        <v>126900</v>
      </c>
      <c r="E67" s="14" t="n">
        <v>87174</v>
      </c>
      <c r="F67" s="14">
        <f>D67-E67</f>
        <v/>
      </c>
      <c r="G67" s="15">
        <f>IF(D67=0,"",F67/D67)</f>
        <v/>
      </c>
    </row>
    <row r="68">
      <c r="A68" s="19" t="inlineStr">
        <is>
          <t>Installations</t>
        </is>
      </c>
      <c r="B68" s="19" t="inlineStr">
        <is>
          <t>Dec 25</t>
        </is>
      </c>
      <c r="C68" s="19" t="inlineStr">
        <is>
          <t>Locked</t>
        </is>
      </c>
      <c r="D68" s="14" t="n">
        <v>78100</v>
      </c>
      <c r="E68" s="14" t="n">
        <v>53408</v>
      </c>
      <c r="F68" s="14">
        <f>D68-E68</f>
        <v/>
      </c>
      <c r="G68" s="15">
        <f>IF(D68=0,"",F68/D68)</f>
        <v/>
      </c>
    </row>
    <row r="69">
      <c r="A69" s="19" t="inlineStr">
        <is>
          <t>Installations</t>
        </is>
      </c>
      <c r="B69" s="19" t="inlineStr">
        <is>
          <t>Jan 26</t>
        </is>
      </c>
      <c r="C69" s="19" t="inlineStr">
        <is>
          <t>Locked</t>
        </is>
      </c>
      <c r="D69" s="14" t="n">
        <v>109100</v>
      </c>
      <c r="E69" s="14" t="n">
        <v>74216</v>
      </c>
      <c r="F69" s="14">
        <f>D69-E69</f>
        <v/>
      </c>
      <c r="G69" s="15">
        <f>IF(D69=0,"",F69/D69)</f>
        <v/>
      </c>
    </row>
    <row r="70">
      <c r="A70" s="19" t="inlineStr">
        <is>
          <t>Installations</t>
        </is>
      </c>
      <c r="B70" s="19" t="inlineStr">
        <is>
          <t>Feb 26</t>
        </is>
      </c>
      <c r="C70" s="19" t="inlineStr">
        <is>
          <t>Locked</t>
        </is>
      </c>
      <c r="D70" s="14" t="n">
        <v>144800</v>
      </c>
      <c r="E70" s="14" t="n">
        <v>88896</v>
      </c>
      <c r="F70" s="14">
        <f>D70-E70</f>
        <v/>
      </c>
      <c r="G70" s="15">
        <f>IF(D70=0,"",F70/D70)</f>
        <v/>
      </c>
    </row>
    <row r="71">
      <c r="A71" s="19" t="inlineStr">
        <is>
          <t>Installations</t>
        </is>
      </c>
      <c r="B71" s="19" t="inlineStr">
        <is>
          <t>Mar 26</t>
        </is>
      </c>
      <c r="C71" s="19" t="inlineStr">
        <is>
          <t>Locked</t>
        </is>
      </c>
      <c r="D71" s="14" t="n">
        <v>144900</v>
      </c>
      <c r="E71" s="14" t="n">
        <v>94290</v>
      </c>
      <c r="F71" s="14">
        <f>D71-E71</f>
        <v/>
      </c>
      <c r="G71" s="15">
        <f>IF(D71=0,"",F71/D71)</f>
        <v/>
      </c>
    </row>
    <row r="72">
      <c r="A72" s="19" t="inlineStr">
        <is>
          <t>Installations</t>
        </is>
      </c>
      <c r="B72" s="19" t="inlineStr">
        <is>
          <t>Apr 26</t>
        </is>
      </c>
      <c r="C72" s="19" t="inlineStr">
        <is>
          <t>Locked</t>
        </is>
      </c>
      <c r="D72" s="14" t="n">
        <v>116900</v>
      </c>
      <c r="E72" s="14" t="n">
        <v>68016</v>
      </c>
      <c r="F72" s="14">
        <f>D72-E72</f>
        <v/>
      </c>
      <c r="G72" s="15">
        <f>IF(D72=0,"",F72/D72)</f>
        <v/>
      </c>
    </row>
    <row r="73">
      <c r="A73" s="19" t="inlineStr">
        <is>
          <t>Installations</t>
        </is>
      </c>
      <c r="B73" s="19" t="inlineStr">
        <is>
          <t>May 26</t>
        </is>
      </c>
      <c r="C73" s="19" t="inlineStr">
        <is>
          <t>Locked</t>
        </is>
      </c>
      <c r="D73" s="14" t="n">
        <v>103400</v>
      </c>
      <c r="E73" s="14" t="n">
        <v>66240</v>
      </c>
      <c r="F73" s="14">
        <f>D73-E73</f>
        <v/>
      </c>
      <c r="G73" s="15">
        <f>IF(D73=0,"",F73/D73)</f>
        <v/>
      </c>
    </row>
    <row r="74">
      <c r="A74" s="19" t="inlineStr">
        <is>
          <t>Installations</t>
        </is>
      </c>
      <c r="B74" s="19" t="inlineStr">
        <is>
          <t>Jun 26</t>
        </is>
      </c>
      <c r="C74" s="19" t="inlineStr">
        <is>
          <t>Locked</t>
        </is>
      </c>
      <c r="D74" s="14" t="n">
        <v>115600</v>
      </c>
      <c r="E74" s="14" t="n">
        <v>73792</v>
      </c>
      <c r="F74" s="14">
        <f>D74-E74</f>
        <v/>
      </c>
      <c r="G74" s="15">
        <f>IF(D74=0,"",F74/D74)</f>
        <v/>
      </c>
    </row>
    <row r="75">
      <c r="A75" s="19" t="inlineStr">
        <is>
          <t>Installations</t>
        </is>
      </c>
      <c r="B75" s="19" t="inlineStr">
        <is>
          <t>Jul 26</t>
        </is>
      </c>
      <c r="C75" s="19" t="inlineStr">
        <is>
          <t>Locked</t>
        </is>
      </c>
      <c r="D75" s="14" t="n">
        <v>143000</v>
      </c>
      <c r="E75" s="14" t="n">
        <v>91520</v>
      </c>
      <c r="F75" s="14">
        <f>D75-E75</f>
        <v/>
      </c>
      <c r="G75" s="15">
        <f>IF(D75=0,"",F75/D75)</f>
        <v/>
      </c>
    </row>
    <row r="76">
      <c r="A76" s="19" t="inlineStr">
        <is>
          <t>Installations</t>
        </is>
      </c>
      <c r="B76" s="19" t="inlineStr">
        <is>
          <t>Aug 26</t>
        </is>
      </c>
      <c r="C76" s="19" t="inlineStr">
        <is>
          <t>Locked</t>
        </is>
      </c>
      <c r="D76" s="14" t="n">
        <v>122800</v>
      </c>
      <c r="E76" s="14" t="n">
        <v>72720</v>
      </c>
      <c r="F76" s="14">
        <f>D76-E76</f>
        <v/>
      </c>
      <c r="G76" s="15">
        <f>IF(D76=0,"",F76/D76)</f>
        <v/>
      </c>
    </row>
    <row r="77">
      <c r="A77" s="19" t="inlineStr">
        <is>
          <t>Installations</t>
        </is>
      </c>
      <c r="B77" s="19" t="inlineStr">
        <is>
          <t>Sep 26</t>
        </is>
      </c>
      <c r="C77" s="19" t="inlineStr">
        <is>
          <t>Locked</t>
        </is>
      </c>
      <c r="D77" s="14" t="n">
        <v>146300</v>
      </c>
      <c r="E77" s="14" t="n">
        <v>95368</v>
      </c>
      <c r="F77" s="14">
        <f>D77-E77</f>
        <v/>
      </c>
      <c r="G77" s="15">
        <f>IF(D77=0,"",F77/D77)</f>
        <v/>
      </c>
    </row>
    <row r="78">
      <c r="A78" s="19" t="inlineStr">
        <is>
          <t>Call-outs and repairs</t>
        </is>
      </c>
      <c r="B78" s="19" t="inlineStr">
        <is>
          <t>Oct 24</t>
        </is>
      </c>
      <c r="C78" s="19" t="inlineStr">
        <is>
          <t>Locked</t>
        </is>
      </c>
      <c r="D78" s="14" t="n">
        <v>21764</v>
      </c>
      <c r="E78" s="14" t="n">
        <v>11484</v>
      </c>
      <c r="F78" s="14">
        <f>D78-E78</f>
        <v/>
      </c>
      <c r="G78" s="15">
        <f>IF(D78=0,"",F78/D78)</f>
        <v/>
      </c>
    </row>
    <row r="79">
      <c r="A79" s="19" t="inlineStr">
        <is>
          <t>Call-outs and repairs</t>
        </is>
      </c>
      <c r="B79" s="19" t="inlineStr">
        <is>
          <t>Nov 24</t>
        </is>
      </c>
      <c r="C79" s="19" t="inlineStr">
        <is>
          <t>Locked</t>
        </is>
      </c>
      <c r="D79" s="14" t="n">
        <v>25374</v>
      </c>
      <c r="E79" s="14" t="n">
        <v>13526</v>
      </c>
      <c r="F79" s="14">
        <f>D79-E79</f>
        <v/>
      </c>
      <c r="G79" s="15">
        <f>IF(D79=0,"",F79/D79)</f>
        <v/>
      </c>
    </row>
    <row r="80">
      <c r="A80" s="19" t="inlineStr">
        <is>
          <t>Call-outs and repairs</t>
        </is>
      </c>
      <c r="B80" s="19" t="inlineStr">
        <is>
          <t>Dec 24</t>
        </is>
      </c>
      <c r="C80" s="19" t="inlineStr">
        <is>
          <t>Locked</t>
        </is>
      </c>
      <c r="D80" s="14" t="n">
        <v>28056</v>
      </c>
      <c r="E80" s="14" t="n">
        <v>14988</v>
      </c>
      <c r="F80" s="14">
        <f>D80-E80</f>
        <v/>
      </c>
      <c r="G80" s="15">
        <f>IF(D80=0,"",F80/D80)</f>
        <v/>
      </c>
    </row>
    <row r="81">
      <c r="A81" s="19" t="inlineStr">
        <is>
          <t>Call-outs and repairs</t>
        </is>
      </c>
      <c r="B81" s="19" t="inlineStr">
        <is>
          <t>Jan 25</t>
        </is>
      </c>
      <c r="C81" s="19" t="inlineStr">
        <is>
          <t>Locked</t>
        </is>
      </c>
      <c r="D81" s="14" t="n">
        <v>29044</v>
      </c>
      <c r="E81" s="14" t="n">
        <v>15644</v>
      </c>
      <c r="F81" s="14">
        <f>D81-E81</f>
        <v/>
      </c>
      <c r="G81" s="15">
        <f>IF(D81=0,"",F81/D81)</f>
        <v/>
      </c>
    </row>
    <row r="82">
      <c r="A82" s="19" t="inlineStr">
        <is>
          <t>Call-outs and repairs</t>
        </is>
      </c>
      <c r="B82" s="19" t="inlineStr">
        <is>
          <t>Feb 25</t>
        </is>
      </c>
      <c r="C82" s="19" t="inlineStr">
        <is>
          <t>Locked</t>
        </is>
      </c>
      <c r="D82" s="14" t="n">
        <v>29290</v>
      </c>
      <c r="E82" s="14" t="n">
        <v>15600</v>
      </c>
      <c r="F82" s="14">
        <f>D82-E82</f>
        <v/>
      </c>
      <c r="G82" s="15">
        <f>IF(D82=0,"",F82/D82)</f>
        <v/>
      </c>
    </row>
    <row r="83">
      <c r="A83" s="19" t="inlineStr">
        <is>
          <t>Call-outs and repairs</t>
        </is>
      </c>
      <c r="B83" s="19" t="inlineStr">
        <is>
          <t>Mar 25</t>
        </is>
      </c>
      <c r="C83" s="19" t="inlineStr">
        <is>
          <t>Locked</t>
        </is>
      </c>
      <c r="D83" s="14" t="n">
        <v>22765</v>
      </c>
      <c r="E83" s="14" t="n">
        <v>12306</v>
      </c>
      <c r="F83" s="14">
        <f>D83-E83</f>
        <v/>
      </c>
      <c r="G83" s="15">
        <f>IF(D83=0,"",F83/D83)</f>
        <v/>
      </c>
    </row>
    <row r="84">
      <c r="A84" s="19" t="inlineStr">
        <is>
          <t>Call-outs and repairs</t>
        </is>
      </c>
      <c r="B84" s="19" t="inlineStr">
        <is>
          <t>Apr 25</t>
        </is>
      </c>
      <c r="C84" s="19" t="inlineStr">
        <is>
          <t>Locked</t>
        </is>
      </c>
      <c r="D84" s="14" t="n">
        <v>23665</v>
      </c>
      <c r="E84" s="14" t="n">
        <v>12762</v>
      </c>
      <c r="F84" s="14">
        <f>D84-E84</f>
        <v/>
      </c>
      <c r="G84" s="15">
        <f>IF(D84=0,"",F84/D84)</f>
        <v/>
      </c>
    </row>
    <row r="85">
      <c r="A85" s="19" t="inlineStr">
        <is>
          <t>Call-outs and repairs</t>
        </is>
      </c>
      <c r="B85" s="19" t="inlineStr">
        <is>
          <t>May 25</t>
        </is>
      </c>
      <c r="C85" s="19" t="inlineStr">
        <is>
          <t>Locked</t>
        </is>
      </c>
      <c r="D85" s="14" t="n">
        <v>23449</v>
      </c>
      <c r="E85" s="14" t="n">
        <v>12384</v>
      </c>
      <c r="F85" s="14">
        <f>D85-E85</f>
        <v/>
      </c>
      <c r="G85" s="15">
        <f>IF(D85=0,"",F85/D85)</f>
        <v/>
      </c>
    </row>
    <row r="86">
      <c r="A86" s="19" t="inlineStr">
        <is>
          <t>Call-outs and repairs</t>
        </is>
      </c>
      <c r="B86" s="19" t="inlineStr">
        <is>
          <t>Jun 25</t>
        </is>
      </c>
      <c r="C86" s="19" t="inlineStr">
        <is>
          <t>Locked</t>
        </is>
      </c>
      <c r="D86" s="14" t="n">
        <v>21245</v>
      </c>
      <c r="E86" s="14" t="n">
        <v>11162</v>
      </c>
      <c r="F86" s="14">
        <f>D86-E86</f>
        <v/>
      </c>
      <c r="G86" s="15">
        <f>IF(D86=0,"",F86/D86)</f>
        <v/>
      </c>
    </row>
    <row r="87">
      <c r="A87" s="19" t="inlineStr">
        <is>
          <t>Call-outs and repairs</t>
        </is>
      </c>
      <c r="B87" s="19" t="inlineStr">
        <is>
          <t>Jul 25</t>
        </is>
      </c>
      <c r="C87" s="19" t="inlineStr">
        <is>
          <t>Locked</t>
        </is>
      </c>
      <c r="D87" s="14" t="n">
        <v>19288</v>
      </c>
      <c r="E87" s="14" t="n">
        <v>9960</v>
      </c>
      <c r="F87" s="14">
        <f>D87-E87</f>
        <v/>
      </c>
      <c r="G87" s="15">
        <f>IF(D87=0,"",F87/D87)</f>
        <v/>
      </c>
    </row>
    <row r="88">
      <c r="A88" s="19" t="inlineStr">
        <is>
          <t>Call-outs and repairs</t>
        </is>
      </c>
      <c r="B88" s="19" t="inlineStr">
        <is>
          <t>Aug 25</t>
        </is>
      </c>
      <c r="C88" s="19" t="inlineStr">
        <is>
          <t>Locked</t>
        </is>
      </c>
      <c r="D88" s="14" t="n">
        <v>21418</v>
      </c>
      <c r="E88" s="14" t="n">
        <v>11222</v>
      </c>
      <c r="F88" s="14">
        <f>D88-E88</f>
        <v/>
      </c>
      <c r="G88" s="15">
        <f>IF(D88=0,"",F88/D88)</f>
        <v/>
      </c>
    </row>
    <row r="89">
      <c r="A89" s="19" t="inlineStr">
        <is>
          <t>Call-outs and repairs</t>
        </is>
      </c>
      <c r="B89" s="19" t="inlineStr">
        <is>
          <t>Sep 25</t>
        </is>
      </c>
      <c r="C89" s="19" t="inlineStr">
        <is>
          <t>Locked</t>
        </is>
      </c>
      <c r="D89" s="14" t="n">
        <v>21677</v>
      </c>
      <c r="E89" s="14" t="n">
        <v>11168</v>
      </c>
      <c r="F89" s="14">
        <f>D89-E89</f>
        <v/>
      </c>
      <c r="G89" s="15">
        <f>IF(D89=0,"",F89/D89)</f>
        <v/>
      </c>
    </row>
    <row r="90">
      <c r="A90" s="19" t="inlineStr">
        <is>
          <t>Call-outs and repairs</t>
        </is>
      </c>
      <c r="B90" s="19" t="inlineStr">
        <is>
          <t>Oct 25</t>
        </is>
      </c>
      <c r="C90" s="19" t="inlineStr">
        <is>
          <t>Locked</t>
        </is>
      </c>
      <c r="D90" s="14" t="n">
        <v>24166</v>
      </c>
      <c r="E90" s="14" t="n">
        <v>12648</v>
      </c>
      <c r="F90" s="14">
        <f>D90-E90</f>
        <v/>
      </c>
      <c r="G90" s="15">
        <f>IF(D90=0,"",F90/D90)</f>
        <v/>
      </c>
    </row>
    <row r="91">
      <c r="A91" s="19" t="inlineStr">
        <is>
          <t>Call-outs and repairs</t>
        </is>
      </c>
      <c r="B91" s="19" t="inlineStr">
        <is>
          <t>Nov 25</t>
        </is>
      </c>
      <c r="C91" s="19" t="inlineStr">
        <is>
          <t>Locked</t>
        </is>
      </c>
      <c r="D91" s="14" t="n">
        <v>27966</v>
      </c>
      <c r="E91" s="14" t="n">
        <v>14252</v>
      </c>
      <c r="F91" s="14">
        <f>D91-E91</f>
        <v/>
      </c>
      <c r="G91" s="15">
        <f>IF(D91=0,"",F91/D91)</f>
        <v/>
      </c>
    </row>
    <row r="92">
      <c r="A92" s="19" t="inlineStr">
        <is>
          <t>Call-outs and repairs</t>
        </is>
      </c>
      <c r="B92" s="19" t="inlineStr">
        <is>
          <t>Dec 25</t>
        </is>
      </c>
      <c r="C92" s="19" t="inlineStr">
        <is>
          <t>Locked</t>
        </is>
      </c>
      <c r="D92" s="14" t="n">
        <v>32083</v>
      </c>
      <c r="E92" s="14" t="n">
        <v>16702</v>
      </c>
      <c r="F92" s="14">
        <f>D92-E92</f>
        <v/>
      </c>
      <c r="G92" s="15">
        <f>IF(D92=0,"",F92/D92)</f>
        <v/>
      </c>
    </row>
    <row r="93">
      <c r="A93" s="19" t="inlineStr">
        <is>
          <t>Call-outs and repairs</t>
        </is>
      </c>
      <c r="B93" s="19" t="inlineStr">
        <is>
          <t>Jan 26</t>
        </is>
      </c>
      <c r="C93" s="19" t="inlineStr">
        <is>
          <t>Locked</t>
        </is>
      </c>
      <c r="D93" s="14" t="n">
        <v>34106</v>
      </c>
      <c r="E93" s="14" t="n">
        <v>17858</v>
      </c>
      <c r="F93" s="14">
        <f>D93-E93</f>
        <v/>
      </c>
      <c r="G93" s="15">
        <f>IF(D93=0,"",F93/D93)</f>
        <v/>
      </c>
    </row>
    <row r="94">
      <c r="A94" s="19" t="inlineStr">
        <is>
          <t>Call-outs and repairs</t>
        </is>
      </c>
      <c r="B94" s="19" t="inlineStr">
        <is>
          <t>Feb 26</t>
        </is>
      </c>
      <c r="C94" s="19" t="inlineStr">
        <is>
          <t>Locked</t>
        </is>
      </c>
      <c r="D94" s="14" t="n">
        <v>32108</v>
      </c>
      <c r="E94" s="14" t="n">
        <v>16608</v>
      </c>
      <c r="F94" s="14">
        <f>D94-E94</f>
        <v/>
      </c>
      <c r="G94" s="15">
        <f>IF(D94=0,"",F94/D94)</f>
        <v/>
      </c>
    </row>
    <row r="95">
      <c r="A95" s="19" t="inlineStr">
        <is>
          <t>Call-outs and repairs</t>
        </is>
      </c>
      <c r="B95" s="19" t="inlineStr">
        <is>
          <t>Mar 26</t>
        </is>
      </c>
      <c r="C95" s="19" t="inlineStr">
        <is>
          <t>Locked</t>
        </is>
      </c>
      <c r="D95" s="14" t="n">
        <v>26678</v>
      </c>
      <c r="E95" s="14" t="n">
        <v>13894</v>
      </c>
      <c r="F95" s="14">
        <f>D95-E95</f>
        <v/>
      </c>
      <c r="G95" s="15">
        <f>IF(D95=0,"",F95/D95)</f>
        <v/>
      </c>
    </row>
    <row r="96">
      <c r="A96" s="19" t="inlineStr">
        <is>
          <t>Call-outs and repairs</t>
        </is>
      </c>
      <c r="B96" s="19" t="inlineStr">
        <is>
          <t>Apr 26</t>
        </is>
      </c>
      <c r="C96" s="19" t="inlineStr">
        <is>
          <t>Locked</t>
        </is>
      </c>
      <c r="D96" s="14" t="n">
        <v>25067</v>
      </c>
      <c r="E96" s="14" t="n">
        <v>12970</v>
      </c>
      <c r="F96" s="14">
        <f>D96-E96</f>
        <v/>
      </c>
      <c r="G96" s="15">
        <f>IF(D96=0,"",F96/D96)</f>
        <v/>
      </c>
    </row>
    <row r="97">
      <c r="A97" s="19" t="inlineStr">
        <is>
          <t>Call-outs and repairs</t>
        </is>
      </c>
      <c r="B97" s="19" t="inlineStr">
        <is>
          <t>May 26</t>
        </is>
      </c>
      <c r="C97" s="19" t="inlineStr">
        <is>
          <t>Locked</t>
        </is>
      </c>
      <c r="D97" s="14" t="n">
        <v>31592</v>
      </c>
      <c r="E97" s="14" t="n">
        <v>16234</v>
      </c>
      <c r="F97" s="14">
        <f>D97-E97</f>
        <v/>
      </c>
      <c r="G97" s="15">
        <f>IF(D97=0,"",F97/D97)</f>
        <v/>
      </c>
    </row>
    <row r="98">
      <c r="A98" s="19" t="inlineStr">
        <is>
          <t>Call-outs and repairs</t>
        </is>
      </c>
      <c r="B98" s="19" t="inlineStr">
        <is>
          <t>Jun 26</t>
        </is>
      </c>
      <c r="C98" s="19" t="inlineStr">
        <is>
          <t>Locked</t>
        </is>
      </c>
      <c r="D98" s="14" t="n">
        <v>32082</v>
      </c>
      <c r="E98" s="14" t="n">
        <v>16324</v>
      </c>
      <c r="F98" s="14">
        <f>D98-E98</f>
        <v/>
      </c>
      <c r="G98" s="15">
        <f>IF(D98=0,"",F98/D98)</f>
        <v/>
      </c>
    </row>
    <row r="99">
      <c r="A99" s="19" t="inlineStr">
        <is>
          <t>Call-outs and repairs</t>
        </is>
      </c>
      <c r="B99" s="19" t="inlineStr">
        <is>
          <t>Jul 26</t>
        </is>
      </c>
      <c r="C99" s="19" t="inlineStr">
        <is>
          <t>Locked</t>
        </is>
      </c>
      <c r="D99" s="14" t="n">
        <v>27260</v>
      </c>
      <c r="E99" s="14" t="n">
        <v>14220</v>
      </c>
      <c r="F99" s="14">
        <f>D99-E99</f>
        <v/>
      </c>
      <c r="G99" s="15">
        <f>IF(D99=0,"",F99/D99)</f>
        <v/>
      </c>
    </row>
    <row r="100">
      <c r="A100" s="19" t="inlineStr">
        <is>
          <t>Call-outs and repairs</t>
        </is>
      </c>
      <c r="B100" s="19" t="inlineStr">
        <is>
          <t>Aug 26</t>
        </is>
      </c>
      <c r="C100" s="19" t="inlineStr">
        <is>
          <t>Locked</t>
        </is>
      </c>
      <c r="D100" s="14" t="n">
        <v>31373</v>
      </c>
      <c r="E100" s="14" t="n">
        <v>16266</v>
      </c>
      <c r="F100" s="14">
        <f>D100-E100</f>
        <v/>
      </c>
      <c r="G100" s="15">
        <f>IF(D100=0,"",F100/D100)</f>
        <v/>
      </c>
    </row>
    <row r="101">
      <c r="A101" s="19" t="inlineStr">
        <is>
          <t>Call-outs and repairs</t>
        </is>
      </c>
      <c r="B101" s="19" t="inlineStr">
        <is>
          <t>Sep 26</t>
        </is>
      </c>
      <c r="C101" s="19" t="inlineStr">
        <is>
          <t>Locked</t>
        </is>
      </c>
      <c r="D101" s="14" t="n">
        <v>33810</v>
      </c>
      <c r="E101" s="14" t="n">
        <v>17478</v>
      </c>
      <c r="F101" s="14">
        <f>D101-E101</f>
        <v/>
      </c>
      <c r="G101" s="15">
        <f>IF(D101=0,"",F101/D101)</f>
        <v/>
      </c>
    </row>
  </sheetData>
  <printOptions horizontalCentered="1"/>
  <pageMargins left="0.5" right="0.5" top="0.75" bottom="0.75" header="0.5" footer="0.5"/>
  <pageSetup orientation="landscape" paperSize="9" fitToHeight="0" fitToWidth="1"/>
  <headerFooter>
    <oddHeader>&amp;L&amp;"Roboto,Regular"&amp;8 Sample Electrical &amp;&amp; Air Pty Ltd&amp;R&amp;"Roboto,Regular"&amp;8 &amp;A</oddHeader>
    <oddFooter>&amp;L&amp;"Roboto,Regular"&amp;8 job-margins.xlsx&amp;C&amp;"Roboto,Regular"&amp;8 Data retrieved 2pm, Tue 6 Oct 2026 · Generated 22 Oct 2026, 4:57pm&amp;R&amp;"Roboto,Regular"&amp;8 Page &amp;P of &amp;N</oddFooter>
    <evenHeader/>
    <evenFooter/>
    <firstHeader/>
    <firstFooter/>
  </headerFooter>
  <rowBreaks count="3" manualBreakCount="3">
    <brk id="29" min="0" max="16383" man="1"/>
    <brk id="53" min="0" max="16383" man="1"/>
    <brk id="77" min="0" max="16383" man="1"/>
  </rowBreaks>
  <drawing xmlns:r="http://schemas.openxmlformats.org/officeDocument/2006/relationships" r:id="rId1"/>
  <tableParts count="1">
    <tablePart xmlns:r="http://schemas.openxmlformats.org/officeDocument/2006/relationships" r:id="rId2"/>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2026-10-22T06:58:18Z</dcterms:created>
  <dcterms:modified xmlns:dcterms="http://purl.org/dc/terms/" xmlns:xsi="http://www.w3.org/2001/XMLSchema-instance" xsi:type="dcterms:W3CDTF">2026-10-22T06:58:18Z</dcterms:modified>
</cp:coreProperties>
</file>