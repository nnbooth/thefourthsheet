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September">'Report'!$B$9</definedName>
    <definedName name="Median_wait_September">'Report'!$B$10</definedName>
    <definedName name="Enquiries_September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September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29" headerRowCount="1">
  <autoFilter ref="A5:G29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 ht="32" customHeight="1">
      <c r="A5" s="3" t="inlineStr">
        <is>
          <t>In short: 48.7% called back within 2 working hours in September (target 80.0%); median wait 122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September</t>
        </is>
      </c>
      <c r="B9" s="7">
        <f>Workings!B10</f>
        <v/>
      </c>
      <c r="C9" s="8" t="inlineStr">
        <is>
          <t>target 80.0% · August 57.1%</t>
        </is>
      </c>
    </row>
    <row r="10">
      <c r="A10" t="inlineStr">
        <is>
          <t>Median wait, September</t>
        </is>
      </c>
      <c r="B10" s="9">
        <f>Workings!B16</f>
        <v/>
      </c>
      <c r="C10" s="8" t="inlineStr">
        <is>
          <t>August 113 min (working minutes)</t>
        </is>
      </c>
    </row>
    <row r="11">
      <c r="A11" t="inlineStr">
        <is>
          <t>Enquiries, September</t>
        </is>
      </c>
      <c r="B11" s="9">
        <f>Workings!B25</f>
        <v/>
      </c>
      <c r="C11" s="8" t="inlineStr">
        <is>
          <t>August 112</t>
        </is>
      </c>
    </row>
    <row r="12"/>
    <row r="13">
      <c r="A13" s="10" t="inlineStr">
        <is>
          <t>Called back within 2 working hours, by channel, September 2026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48.7% of the 119 enquiries called back in September heard back within 2 working hours (target 80.0%), down from 57.1% in August. The median wait was 122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37 more enquiries would have needed a faster callback to reach the 80.0% target. Web form enquiries are the slowest: 41.9%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13" t="inlineStr">
        <is>
          <t>Callbacks within 2 working hours, September and August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Sep 26</t>
        </is>
      </c>
      <c r="C7" s="6" t="inlineStr">
        <is>
          <t>Aug 26</t>
        </is>
      </c>
    </row>
    <row r="8">
      <c r="A8" t="inlineStr">
        <is>
          <t>Called back</t>
        </is>
      </c>
      <c r="B8" s="14" t="n">
        <v>119</v>
      </c>
      <c r="C8" s="14" t="n">
        <v>112</v>
      </c>
    </row>
    <row r="9">
      <c r="A9" t="inlineStr">
        <is>
          <t>Within 2 working hours</t>
        </is>
      </c>
      <c r="B9" s="14" t="n">
        <v>58</v>
      </c>
      <c r="C9" s="14" t="n">
        <v>64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September and August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Sep 26</t>
        </is>
      </c>
      <c r="C15" s="6" t="inlineStr">
        <is>
          <t>Aug 26</t>
        </is>
      </c>
    </row>
    <row r="16">
      <c r="A16" t="inlineStr">
        <is>
          <t>Median wait (working minutes)</t>
        </is>
      </c>
      <c r="B16" s="14" t="n">
        <v>122</v>
      </c>
      <c r="C16" s="14" t="n">
        <v>113</v>
      </c>
    </row>
    <row r="17">
      <c r="A17" s="15" t="inlineStr">
        <is>
          <t>Enquiries called back</t>
        </is>
      </c>
      <c r="B17" s="17" t="n">
        <v>119</v>
      </c>
      <c r="C17" s="17" t="n">
        <v>112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Sep 26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Sep 26</t>
        </is>
      </c>
    </row>
    <row r="24">
      <c r="A24" t="inlineStr">
        <is>
          <t>Enquiries</t>
        </is>
      </c>
      <c r="B24" s="14" t="n">
        <v>119</v>
      </c>
    </row>
    <row r="25">
      <c r="A25" t="inlineStr">
        <is>
          <t>Called back</t>
        </is>
      </c>
      <c r="B25" s="14" t="n">
        <v>119</v>
      </c>
    </row>
    <row r="26">
      <c r="A26" t="inlineStr">
        <is>
          <t>Called back within 2 working hours</t>
        </is>
      </c>
      <c r="B26" s="14" t="n">
        <v>58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122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September 2026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Sep 2026</t>
        </is>
      </c>
    </row>
    <row r="35">
      <c r="A35" t="inlineStr">
        <is>
          <t>Called back</t>
        </is>
      </c>
      <c r="B35" s="14" t="n">
        <v>69</v>
      </c>
    </row>
    <row r="36">
      <c r="A36" t="inlineStr">
        <is>
          <t>Within 2 working hours</t>
        </is>
      </c>
      <c r="B36" s="14" t="n">
        <v>34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September 2026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Sep 2026</t>
        </is>
      </c>
    </row>
    <row r="43">
      <c r="A43" t="inlineStr">
        <is>
          <t>Called back</t>
        </is>
      </c>
      <c r="B43" s="14" t="n">
        <v>31</v>
      </c>
    </row>
    <row r="44">
      <c r="A44" t="inlineStr">
        <is>
          <t>Within 2 working hours</t>
        </is>
      </c>
      <c r="B44" s="14" t="n">
        <v>13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September 2026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Sep 2026</t>
        </is>
      </c>
    </row>
    <row r="51">
      <c r="A51" t="inlineStr">
        <is>
          <t>Called back</t>
        </is>
      </c>
      <c r="B51" s="14" t="n">
        <v>19</v>
      </c>
    </row>
    <row r="52">
      <c r="A52" t="inlineStr">
        <is>
          <t>Within 2 working hours</t>
        </is>
      </c>
      <c r="B52" s="14" t="n">
        <v>11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September 2026: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  <row r="19">
      <c r="A19" s="19" t="inlineStr">
        <is>
          <t>Nov 25</t>
        </is>
      </c>
      <c r="B19" s="19" t="inlineStr">
        <is>
          <t>Locked</t>
        </is>
      </c>
      <c r="C19" s="14" t="n">
        <v>84</v>
      </c>
      <c r="D19" s="14" t="n">
        <v>84</v>
      </c>
      <c r="E19" s="14" t="n">
        <v>56</v>
      </c>
      <c r="F19" s="18">
        <f>IF(D19=0,"",E19/D19)</f>
        <v/>
      </c>
      <c r="G19" s="14" t="n">
        <v>79</v>
      </c>
    </row>
    <row r="20">
      <c r="A20" s="19" t="inlineStr">
        <is>
          <t>Dec 25</t>
        </is>
      </c>
      <c r="B20" s="19" t="inlineStr">
        <is>
          <t>Locked</t>
        </is>
      </c>
      <c r="C20" s="14" t="n">
        <v>119</v>
      </c>
      <c r="D20" s="14" t="n">
        <v>119</v>
      </c>
      <c r="E20" s="14" t="n">
        <v>84</v>
      </c>
      <c r="F20" s="18">
        <f>IF(D20=0,"",E20/D20)</f>
        <v/>
      </c>
      <c r="G20" s="14" t="n">
        <v>69</v>
      </c>
    </row>
    <row r="21">
      <c r="A21" s="19" t="inlineStr">
        <is>
          <t>Jan 26</t>
        </is>
      </c>
      <c r="B21" s="19" t="inlineStr">
        <is>
          <t>Locked</t>
        </is>
      </c>
      <c r="C21" s="14" t="n">
        <v>109</v>
      </c>
      <c r="D21" s="14" t="n">
        <v>109</v>
      </c>
      <c r="E21" s="14" t="n">
        <v>73</v>
      </c>
      <c r="F21" s="18">
        <f>IF(D21=0,"",E21/D21)</f>
        <v/>
      </c>
      <c r="G21" s="14" t="n">
        <v>72</v>
      </c>
    </row>
    <row r="22">
      <c r="A22" s="19" t="inlineStr">
        <is>
          <t>Feb 26</t>
        </is>
      </c>
      <c r="B22" s="19" t="inlineStr">
        <is>
          <t>Locked</t>
        </is>
      </c>
      <c r="C22" s="14" t="n">
        <v>112</v>
      </c>
      <c r="D22" s="14" t="n">
        <v>112</v>
      </c>
      <c r="E22" s="14" t="n">
        <v>69</v>
      </c>
      <c r="F22" s="18">
        <f>IF(D22=0,"",E22/D22)</f>
        <v/>
      </c>
      <c r="G22" s="14" t="n">
        <v>72</v>
      </c>
    </row>
    <row r="23">
      <c r="A23" s="19" t="inlineStr">
        <is>
          <t>Mar 26</t>
        </is>
      </c>
      <c r="B23" s="19" t="inlineStr">
        <is>
          <t>Locked</t>
        </is>
      </c>
      <c r="C23" s="14" t="n">
        <v>98</v>
      </c>
      <c r="D23" s="14" t="n">
        <v>98</v>
      </c>
      <c r="E23" s="14" t="n">
        <v>64</v>
      </c>
      <c r="F23" s="18">
        <f>IF(D23=0,"",E23/D23)</f>
        <v/>
      </c>
      <c r="G23" s="14" t="n">
        <v>68</v>
      </c>
    </row>
    <row r="24">
      <c r="A24" s="19" t="inlineStr">
        <is>
          <t>Apr 26</t>
        </is>
      </c>
      <c r="B24" s="19" t="inlineStr">
        <is>
          <t>Locked</t>
        </is>
      </c>
      <c r="C24" s="14" t="n">
        <v>95</v>
      </c>
      <c r="D24" s="14" t="n">
        <v>95</v>
      </c>
      <c r="E24" s="14" t="n">
        <v>56</v>
      </c>
      <c r="F24" s="18">
        <f>IF(D24=0,"",E24/D24)</f>
        <v/>
      </c>
      <c r="G24" s="14" t="n">
        <v>90</v>
      </c>
    </row>
    <row r="25">
      <c r="A25" s="19" t="inlineStr">
        <is>
          <t>May 26</t>
        </is>
      </c>
      <c r="B25" s="19" t="inlineStr">
        <is>
          <t>Locked</t>
        </is>
      </c>
      <c r="C25" s="14" t="n">
        <v>110</v>
      </c>
      <c r="D25" s="14" t="n">
        <v>110</v>
      </c>
      <c r="E25" s="14" t="n">
        <v>64</v>
      </c>
      <c r="F25" s="18">
        <f>IF(D25=0,"",E25/D25)</f>
        <v/>
      </c>
      <c r="G25" s="14" t="n">
        <v>91</v>
      </c>
    </row>
    <row r="26">
      <c r="A26" s="19" t="inlineStr">
        <is>
          <t>Jun 26</t>
        </is>
      </c>
      <c r="B26" s="19" t="inlineStr">
        <is>
          <t>Locked</t>
        </is>
      </c>
      <c r="C26" s="14" t="n">
        <v>114</v>
      </c>
      <c r="D26" s="14" t="n">
        <v>114</v>
      </c>
      <c r="E26" s="14" t="n">
        <v>64</v>
      </c>
      <c r="F26" s="18">
        <f>IF(D26=0,"",E26/D26)</f>
        <v/>
      </c>
      <c r="G26" s="14" t="n">
        <v>99</v>
      </c>
    </row>
    <row r="27">
      <c r="A27" s="19" t="inlineStr">
        <is>
          <t>Jul 26</t>
        </is>
      </c>
      <c r="B27" s="19" t="inlineStr">
        <is>
          <t>Locked</t>
        </is>
      </c>
      <c r="C27" s="14" t="n">
        <v>122</v>
      </c>
      <c r="D27" s="14" t="n">
        <v>122</v>
      </c>
      <c r="E27" s="14" t="n">
        <v>70</v>
      </c>
      <c r="F27" s="18">
        <f>IF(D27=0,"",E27/D27)</f>
        <v/>
      </c>
      <c r="G27" s="14" t="n">
        <v>92</v>
      </c>
    </row>
    <row r="28">
      <c r="A28" s="19" t="inlineStr">
        <is>
          <t>Aug 26</t>
        </is>
      </c>
      <c r="B28" s="19" t="inlineStr">
        <is>
          <t>Locked</t>
        </is>
      </c>
      <c r="C28" s="14" t="n">
        <v>112</v>
      </c>
      <c r="D28" s="14" t="n">
        <v>112</v>
      </c>
      <c r="E28" s="14" t="n">
        <v>64</v>
      </c>
      <c r="F28" s="18">
        <f>IF(D28=0,"",E28/D28)</f>
        <v/>
      </c>
      <c r="G28" s="14" t="n">
        <v>113</v>
      </c>
    </row>
    <row r="29">
      <c r="A29" s="19" t="inlineStr">
        <is>
          <t>Sep 26</t>
        </is>
      </c>
      <c r="B29" s="19" t="inlineStr">
        <is>
          <t>Locked</t>
        </is>
      </c>
      <c r="C29" s="14" t="n">
        <v>119</v>
      </c>
      <c r="D29" s="14" t="n">
        <v>119</v>
      </c>
      <c r="E29" s="14" t="n">
        <v>58</v>
      </c>
      <c r="F29" s="18">
        <f>IF(D29=0,"",E29/D29)</f>
        <v/>
      </c>
      <c r="G29" s="14" t="n">
        <v>122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2026-10-22T06:58:25Z</dcterms:created>
  <dcterms:modified xmlns:dcterms="http://purl.org/dc/terms/" xmlns:xsi="http://www.w3.org/2001/XMLSchema-instance" xsi:type="dcterms:W3CDTF">2026-10-22T06:58:25Z</dcterms:modified>
</cp:coreProperties>
</file>