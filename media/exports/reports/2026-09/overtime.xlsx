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September">'Report'!$B$9</definedName>
    <definedName name="Overtime_hours_September">'Report'!$B$10</definedName>
    <definedName name="September_last_year">'Report'!$B$11</definedName>
    <definedName name="_xlnm.Print_Area" localSheetId="0">'Report'!$A$1:$D$50</definedName>
    <definedName name="_xlnm.Print_Area" localSheetId="1">'Workings'!$A$1:$C$101</definedName>
    <definedName name="_xlnm.Print_Titles" localSheetId="2">'Data'!$5:$5</definedName>
    <definedName name="_xlnm.Print_Area" localSheetId="2">'Data'!$A$1:$E$29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September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'Report'!$A$15:$A$18</f>
            </numRef>
          </cat>
          <val>
            <numRef>
              <f>'Report'!$B$15:$B$18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September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'Report'!$A$29:$A$35</f>
            </numRef>
          </cat>
          <val>
            <numRef>
              <f>'Report'!$B$29:$B$35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5400000" cy="26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29" headerRowCount="1">
  <autoFilter ref="A5:E29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 ht="32" customHeight="1">
      <c r="A5" s="3" t="inlineStr">
        <is>
          <t>In short: Overtime was 5.8% of ordinary hours in September (target under 5.0%), up from 3.7% a year earlier.</t>
        </is>
      </c>
    </row>
    <row r="6" ht="32" customHeight="1">
      <c r="A6" s="4" t="inlineStr">
        <is>
          <t>Each technician's paid hours, day by day: ordinary hours and overtime, with the main reason for the overtime.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Overtime, September</t>
        </is>
      </c>
      <c r="B9" s="7">
        <f>Workings!B10</f>
        <v/>
      </c>
      <c r="C9" s="8" t="inlineStr">
        <is>
          <t>of ordinary hours · target under 5.0%</t>
        </is>
      </c>
    </row>
    <row r="10">
      <c r="A10" t="inlineStr">
        <is>
          <t>Overtime hours, September</t>
        </is>
      </c>
      <c r="B10" s="9">
        <f>Workings!B16</f>
        <v/>
      </c>
      <c r="C10" s="8" t="inlineStr">
        <is>
          <t>August 58.5 h</t>
        </is>
      </c>
    </row>
    <row r="11">
      <c r="A11" t="inlineStr">
        <is>
          <t>September last year</t>
        </is>
      </c>
      <c r="B11" s="7">
        <f>Workings!B26</f>
        <v/>
      </c>
      <c r="C11" s="8" t="inlineStr">
        <is>
          <t>35.5 h of overtime</t>
        </is>
      </c>
    </row>
    <row r="12"/>
    <row r="13">
      <c r="A13" s="10" t="inlineStr">
        <is>
          <t>Why the overtime, September 2026</t>
        </is>
      </c>
    </row>
    <row r="14">
      <c r="A14" s="5" t="inlineStr"/>
      <c r="B14" s="6" t="inlineStr">
        <is>
          <t>Why the overtime</t>
        </is>
      </c>
    </row>
    <row r="15">
      <c r="A15" t="inlineStr">
        <is>
          <t>After-hours call-out</t>
        </is>
      </c>
      <c r="B15" s="9">
        <f>Workings!B33</f>
        <v/>
      </c>
    </row>
    <row r="16">
      <c r="A16" t="inlineStr">
        <is>
          <t>Installation ran over</t>
        </is>
      </c>
      <c r="B16" s="9">
        <f>Workings!B41</f>
        <v/>
      </c>
    </row>
    <row r="17">
      <c r="A17" t="inlineStr">
        <is>
          <t>Short-staffed</t>
        </is>
      </c>
      <c r="B17" s="9">
        <f>Workings!B49</f>
        <v/>
      </c>
    </row>
    <row r="18">
      <c r="A18" t="inlineStr">
        <is>
          <t>Paperwork and quotes</t>
        </is>
      </c>
      <c r="B18" s="9">
        <f>Workings!B57</f>
        <v/>
      </c>
    </row>
    <row r="19"/>
    <row r="20"/>
    <row r="21"/>
    <row r="22"/>
    <row r="23"/>
    <row r="24"/>
    <row r="25"/>
    <row r="26"/>
    <row r="27">
      <c r="A27" s="10" t="inlineStr">
        <is>
          <t>Overtime by technician, September 2026</t>
        </is>
      </c>
    </row>
    <row r="28">
      <c r="A28" s="5" t="inlineStr"/>
      <c r="B28" s="6" t="inlineStr">
        <is>
          <t>Overtime by technician</t>
        </is>
      </c>
    </row>
    <row r="29">
      <c r="A29" t="inlineStr">
        <is>
          <t>Technician T4</t>
        </is>
      </c>
      <c r="B29" s="9">
        <f>Workings!B65</f>
        <v/>
      </c>
    </row>
    <row r="30">
      <c r="A30" t="inlineStr">
        <is>
          <t>Technician T5</t>
        </is>
      </c>
      <c r="B30" s="9">
        <f>Workings!B71</f>
        <v/>
      </c>
    </row>
    <row r="31">
      <c r="A31" t="inlineStr">
        <is>
          <t>Technician T3</t>
        </is>
      </c>
      <c r="B31" s="9">
        <f>Workings!B77</f>
        <v/>
      </c>
    </row>
    <row r="32">
      <c r="A32" t="inlineStr">
        <is>
          <t>Technician T6</t>
        </is>
      </c>
      <c r="B32" s="9">
        <f>Workings!B83</f>
        <v/>
      </c>
    </row>
    <row r="33">
      <c r="A33" t="inlineStr">
        <is>
          <t>Technician T7</t>
        </is>
      </c>
      <c r="B33" s="9">
        <f>Workings!B89</f>
        <v/>
      </c>
    </row>
    <row r="34">
      <c r="A34" t="inlineStr">
        <is>
          <t>Technician T2</t>
        </is>
      </c>
      <c r="B34" s="9">
        <f>Workings!B95</f>
        <v/>
      </c>
    </row>
    <row r="35">
      <c r="A35" t="inlineStr">
        <is>
          <t>Technician T1</t>
        </is>
      </c>
      <c r="B35" s="9">
        <f>Workings!B101</f>
        <v/>
      </c>
    </row>
    <row r="36"/>
    <row r="37"/>
    <row r="38"/>
    <row r="39"/>
    <row r="40"/>
    <row r="41"/>
    <row r="42"/>
    <row r="43"/>
    <row r="44">
      <c r="A44" s="11" t="inlineStr">
        <is>
          <t>Overtime by month: every month is on the Data sheet.</t>
        </is>
      </c>
    </row>
    <row r="45"/>
    <row r="46">
      <c r="A46" s="12" t="inlineStr">
        <is>
          <t>What it shows</t>
        </is>
      </c>
    </row>
    <row r="47" ht="30" customHeight="1">
      <c r="A47" s="4" t="inlineStr">
        <is>
          <t>Technicians worked 64.5 h of overtime in September, 5.8% of ordinary hours (target under 5.0%), against 5.6% in August. Over the last year it has gone from 3.7% to 5.8%.</t>
        </is>
      </c>
    </row>
    <row r="48"/>
    <row r="49">
      <c r="A49" s="12" t="inlineStr">
        <is>
          <t>What you'd do about it</t>
        </is>
      </c>
    </row>
    <row r="50" ht="30" customHeight="1">
      <c r="A50" s="4" t="inlineStr">
        <is>
          <t>After-hours call-out is the main reason: 33.0 h, 51.2% of the overtime. Technician T4 carried the most (17.0 h). Above target by 9.0 h.</t>
        </is>
      </c>
    </row>
    <row r="51"/>
    <row r="52"/>
  </sheetData>
  <mergeCells count="4">
    <mergeCell ref="A5:D5"/>
    <mergeCell ref="A50:D50"/>
    <mergeCell ref="A47:D47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>
      <c r="A5" s="13" t="inlineStr">
        <is>
          <t>Overtime, September and August</t>
        </is>
      </c>
    </row>
    <row r="6">
      <c r="A6" s="11" t="inlineStr">
        <is>
          <t>Overtime hours ÷ ordinary hours</t>
        </is>
      </c>
    </row>
    <row r="7">
      <c r="A7" s="5" t="inlineStr"/>
      <c r="B7" s="6" t="inlineStr">
        <is>
          <t>Sep 26</t>
        </is>
      </c>
      <c r="C7" s="6" t="inlineStr">
        <is>
          <t>Aug 26</t>
        </is>
      </c>
    </row>
    <row r="8">
      <c r="A8" t="inlineStr">
        <is>
          <t>Overtime hours</t>
        </is>
      </c>
      <c r="B8" s="14" t="n">
        <v>64.5</v>
      </c>
      <c r="C8" s="14" t="n">
        <v>58.5</v>
      </c>
    </row>
    <row r="9">
      <c r="A9" t="inlineStr">
        <is>
          <t>Ordinary hours</t>
        </is>
      </c>
      <c r="B9" s="14" t="n">
        <v>1109.600000000001</v>
      </c>
      <c r="C9" s="14" t="n">
        <v>1041.200000000002</v>
      </c>
    </row>
    <row r="10">
      <c r="A10" s="15" t="inlineStr">
        <is>
          <t>Share</t>
        </is>
      </c>
      <c r="B10" s="16">
        <f>B8/B9</f>
        <v/>
      </c>
      <c r="C10" s="16">
        <f>C8/C9</f>
        <v/>
      </c>
    </row>
    <row r="11"/>
    <row r="12"/>
    <row r="13">
      <c r="A13" s="13" t="inlineStr">
        <is>
          <t>Overtime, September and August</t>
        </is>
      </c>
    </row>
    <row r="14">
      <c r="A14" s="11" t="inlineStr">
        <is>
          <t>Overtime hours ÷ ordinary hours</t>
        </is>
      </c>
    </row>
    <row r="15">
      <c r="A15" s="5" t="inlineStr"/>
      <c r="B15" s="6" t="inlineStr">
        <is>
          <t>Sep 26</t>
        </is>
      </c>
      <c r="C15" s="6" t="inlineStr">
        <is>
          <t>Aug 26</t>
        </is>
      </c>
    </row>
    <row r="16">
      <c r="A16" t="inlineStr">
        <is>
          <t>Overtime hours</t>
        </is>
      </c>
      <c r="B16" s="14" t="n">
        <v>64.5</v>
      </c>
      <c r="C16" s="14" t="n">
        <v>58.5</v>
      </c>
    </row>
    <row r="17">
      <c r="A17" t="inlineStr">
        <is>
          <t>Ordinary hours</t>
        </is>
      </c>
      <c r="B17" s="14" t="n">
        <v>1109.600000000001</v>
      </c>
      <c r="C17" s="14" t="n">
        <v>1041.200000000002</v>
      </c>
    </row>
    <row r="18">
      <c r="A18" s="15" t="inlineStr">
        <is>
          <t>Share</t>
        </is>
      </c>
      <c r="B18" s="16">
        <f>B16/B17</f>
        <v/>
      </c>
      <c r="C18" s="16">
        <f>C16/C17</f>
        <v/>
      </c>
    </row>
    <row r="19"/>
    <row r="20"/>
    <row r="21">
      <c r="A21" s="13" t="inlineStr">
        <is>
          <t>Overtime, Sep 25</t>
        </is>
      </c>
    </row>
    <row r="22">
      <c r="A22" s="11" t="inlineStr">
        <is>
          <t>Overtime hours ÷ ordinary hours</t>
        </is>
      </c>
    </row>
    <row r="23">
      <c r="A23" s="5" t="inlineStr"/>
      <c r="B23" s="6" t="inlineStr">
        <is>
          <t>Sep 25</t>
        </is>
      </c>
    </row>
    <row r="24">
      <c r="A24" t="inlineStr">
        <is>
          <t>Overtime hours</t>
        </is>
      </c>
      <c r="B24" s="14" t="n">
        <v>35.5</v>
      </c>
    </row>
    <row r="25">
      <c r="A25" t="inlineStr">
        <is>
          <t>Ordinary hours</t>
        </is>
      </c>
      <c r="B25" s="14" t="n">
        <v>957.600000000002</v>
      </c>
    </row>
    <row r="26">
      <c r="A26" s="15" t="inlineStr">
        <is>
          <t>Overtime as a share of ordinary hours</t>
        </is>
      </c>
      <c r="B26" s="16">
        <f>B24/B25</f>
        <v/>
      </c>
    </row>
    <row r="27">
      <c r="A27" s="2" t="inlineStr">
        <is>
          <t>From each technician's shifts (fact_shift_daily).</t>
        </is>
      </c>
    </row>
    <row r="28"/>
    <row r="29"/>
    <row r="30">
      <c r="A30" s="13" t="inlineStr">
        <is>
          <t>After-hours call-out: overtime, September 2026</t>
        </is>
      </c>
    </row>
    <row r="31">
      <c r="A31" s="11" t="inlineStr">
        <is>
          <t>Overtime hours with this as the main reason</t>
        </is>
      </c>
    </row>
    <row r="32">
      <c r="A32" s="5" t="inlineStr"/>
      <c r="B32" s="6" t="inlineStr">
        <is>
          <t>Sep 2026</t>
        </is>
      </c>
    </row>
    <row r="33">
      <c r="A33" t="inlineStr">
        <is>
          <t>Overtime hours</t>
        </is>
      </c>
      <c r="B33" s="14" t="n">
        <v>33</v>
      </c>
    </row>
    <row r="34">
      <c r="A34" t="inlineStr">
        <is>
          <t>All overtime hours</t>
        </is>
      </c>
      <c r="B34" s="14" t="n">
        <v>64.5</v>
      </c>
    </row>
    <row r="35">
      <c r="A35" s="15" t="inlineStr">
        <is>
          <t>Share</t>
        </is>
      </c>
      <c r="B35" s="16">
        <f>B33/B34</f>
        <v/>
      </c>
    </row>
    <row r="36"/>
    <row r="37"/>
    <row r="38">
      <c r="A38" s="13" t="inlineStr">
        <is>
          <t>Installation ran over: overtime, September 2026</t>
        </is>
      </c>
    </row>
    <row r="39">
      <c r="A39" s="11" t="inlineStr">
        <is>
          <t>Overtime hours with this as the main reason</t>
        </is>
      </c>
    </row>
    <row r="40">
      <c r="A40" s="5" t="inlineStr"/>
      <c r="B40" s="6" t="inlineStr">
        <is>
          <t>Sep 2026</t>
        </is>
      </c>
    </row>
    <row r="41">
      <c r="A41" t="inlineStr">
        <is>
          <t>Overtime hours</t>
        </is>
      </c>
      <c r="B41" s="14" t="n">
        <v>22</v>
      </c>
    </row>
    <row r="42">
      <c r="A42" t="inlineStr">
        <is>
          <t>All overtime hours</t>
        </is>
      </c>
      <c r="B42" s="14" t="n">
        <v>64.5</v>
      </c>
    </row>
    <row r="43">
      <c r="A43" s="15" t="inlineStr">
        <is>
          <t>Share</t>
        </is>
      </c>
      <c r="B43" s="16">
        <f>B41/B42</f>
        <v/>
      </c>
    </row>
    <row r="44"/>
    <row r="45"/>
    <row r="46">
      <c r="A46" s="13" t="inlineStr">
        <is>
          <t>Short-staffed: overtime, September 2026</t>
        </is>
      </c>
    </row>
    <row r="47">
      <c r="A47" s="11" t="inlineStr">
        <is>
          <t>Overtime hours with this as the main reason</t>
        </is>
      </c>
    </row>
    <row r="48">
      <c r="A48" s="5" t="inlineStr"/>
      <c r="B48" s="6" t="inlineStr">
        <is>
          <t>Sep 2026</t>
        </is>
      </c>
    </row>
    <row r="49">
      <c r="A49" t="inlineStr">
        <is>
          <t>Overtime hours</t>
        </is>
      </c>
      <c r="B49" s="14" t="n">
        <v>7</v>
      </c>
    </row>
    <row r="50">
      <c r="A50" t="inlineStr">
        <is>
          <t>All overtime hours</t>
        </is>
      </c>
      <c r="B50" s="14" t="n">
        <v>64.5</v>
      </c>
    </row>
    <row r="51">
      <c r="A51" s="15" t="inlineStr">
        <is>
          <t>Share</t>
        </is>
      </c>
      <c r="B51" s="16">
        <f>B49/B50</f>
        <v/>
      </c>
    </row>
    <row r="52"/>
    <row r="53"/>
    <row r="54">
      <c r="A54" s="13" t="inlineStr">
        <is>
          <t>Paperwork and quotes: overtime, September 2026</t>
        </is>
      </c>
    </row>
    <row r="55">
      <c r="A55" s="11" t="inlineStr">
        <is>
          <t>Overtime hours with this as the main reason</t>
        </is>
      </c>
    </row>
    <row r="56">
      <c r="A56" s="5" t="inlineStr"/>
      <c r="B56" s="6" t="inlineStr">
        <is>
          <t>Sep 2026</t>
        </is>
      </c>
    </row>
    <row r="57">
      <c r="A57" t="inlineStr">
        <is>
          <t>Overtime hours</t>
        </is>
      </c>
      <c r="B57" s="14" t="n">
        <v>2.5</v>
      </c>
    </row>
    <row r="58">
      <c r="A58" t="inlineStr">
        <is>
          <t>All overtime hours</t>
        </is>
      </c>
      <c r="B58" s="14" t="n">
        <v>64.5</v>
      </c>
    </row>
    <row r="59">
      <c r="A59" s="15" t="inlineStr">
        <is>
          <t>Share</t>
        </is>
      </c>
      <c r="B59" s="16">
        <f>B57/B58</f>
        <v/>
      </c>
    </row>
    <row r="60"/>
    <row r="61"/>
    <row r="62">
      <c r="A62" s="13" t="inlineStr">
        <is>
          <t>Technician T4: overtime, September 2026</t>
        </is>
      </c>
    </row>
    <row r="63">
      <c r="A63" s="11" t="inlineStr">
        <is>
          <t>Overtime hours on this technician's shifts</t>
        </is>
      </c>
    </row>
    <row r="64">
      <c r="A64" s="5" t="inlineStr"/>
      <c r="B64" s="6" t="inlineStr">
        <is>
          <t>Sep 2026</t>
        </is>
      </c>
    </row>
    <row r="65">
      <c r="A65" s="15" t="inlineStr">
        <is>
          <t>Overtime hours</t>
        </is>
      </c>
      <c r="B65" s="17" t="n">
        <v>17</v>
      </c>
    </row>
    <row r="66"/>
    <row r="67"/>
    <row r="68">
      <c r="A68" s="13" t="inlineStr">
        <is>
          <t>Technician T5: overtime, September 2026</t>
        </is>
      </c>
    </row>
    <row r="69">
      <c r="A69" s="11" t="inlineStr">
        <is>
          <t>Overtime hours on this technician's shifts</t>
        </is>
      </c>
    </row>
    <row r="70">
      <c r="A70" s="5" t="inlineStr"/>
      <c r="B70" s="6" t="inlineStr">
        <is>
          <t>Sep 2026</t>
        </is>
      </c>
    </row>
    <row r="71">
      <c r="A71" s="15" t="inlineStr">
        <is>
          <t>Overtime hours</t>
        </is>
      </c>
      <c r="B71" s="17" t="n">
        <v>14.5</v>
      </c>
    </row>
    <row r="72"/>
    <row r="73"/>
    <row r="74">
      <c r="A74" s="13" t="inlineStr">
        <is>
          <t>Technician T3: overtime, September 2026</t>
        </is>
      </c>
    </row>
    <row r="75">
      <c r="A75" s="11" t="inlineStr">
        <is>
          <t>Overtime hours on this technician's shifts</t>
        </is>
      </c>
    </row>
    <row r="76">
      <c r="A76" s="5" t="inlineStr"/>
      <c r="B76" s="6" t="inlineStr">
        <is>
          <t>Sep 2026</t>
        </is>
      </c>
    </row>
    <row r="77">
      <c r="A77" s="15" t="inlineStr">
        <is>
          <t>Overtime hours</t>
        </is>
      </c>
      <c r="B77" s="17" t="n">
        <v>11.5</v>
      </c>
    </row>
    <row r="78"/>
    <row r="79"/>
    <row r="80">
      <c r="A80" s="13" t="inlineStr">
        <is>
          <t>Technician T6: overtime, September 2026</t>
        </is>
      </c>
    </row>
    <row r="81">
      <c r="A81" s="11" t="inlineStr">
        <is>
          <t>Overtime hours on this technician's shifts</t>
        </is>
      </c>
    </row>
    <row r="82">
      <c r="A82" s="5" t="inlineStr"/>
      <c r="B82" s="6" t="inlineStr">
        <is>
          <t>Sep 2026</t>
        </is>
      </c>
    </row>
    <row r="83">
      <c r="A83" s="15" t="inlineStr">
        <is>
          <t>Overtime hours</t>
        </is>
      </c>
      <c r="B83" s="17" t="n">
        <v>7.5</v>
      </c>
    </row>
    <row r="84"/>
    <row r="85"/>
    <row r="86">
      <c r="A86" s="13" t="inlineStr">
        <is>
          <t>Technician T7: overtime, September 2026</t>
        </is>
      </c>
    </row>
    <row r="87">
      <c r="A87" s="11" t="inlineStr">
        <is>
          <t>Overtime hours on this technician's shifts</t>
        </is>
      </c>
    </row>
    <row r="88">
      <c r="A88" s="5" t="inlineStr"/>
      <c r="B88" s="6" t="inlineStr">
        <is>
          <t>Sep 2026</t>
        </is>
      </c>
    </row>
    <row r="89">
      <c r="A89" s="15" t="inlineStr">
        <is>
          <t>Overtime hours</t>
        </is>
      </c>
      <c r="B89" s="17" t="n">
        <v>6.5</v>
      </c>
    </row>
    <row r="90"/>
    <row r="91"/>
    <row r="92">
      <c r="A92" s="13" t="inlineStr">
        <is>
          <t>Technician T2: overtime, September 2026</t>
        </is>
      </c>
    </row>
    <row r="93">
      <c r="A93" s="11" t="inlineStr">
        <is>
          <t>Overtime hours on this technician's shifts</t>
        </is>
      </c>
    </row>
    <row r="94">
      <c r="A94" s="5" t="inlineStr"/>
      <c r="B94" s="6" t="inlineStr">
        <is>
          <t>Sep 2026</t>
        </is>
      </c>
    </row>
    <row r="95">
      <c r="A95" s="15" t="inlineStr">
        <is>
          <t>Overtime hours</t>
        </is>
      </c>
      <c r="B95" s="17" t="n">
        <v>4</v>
      </c>
    </row>
    <row r="96"/>
    <row r="97"/>
    <row r="98">
      <c r="A98" s="13" t="inlineStr">
        <is>
          <t>Technician T1: overtime, September 2026</t>
        </is>
      </c>
    </row>
    <row r="99">
      <c r="A99" s="11" t="inlineStr">
        <is>
          <t>Overtime hours on this technician's shifts</t>
        </is>
      </c>
    </row>
    <row r="100">
      <c r="A100" s="5" t="inlineStr"/>
      <c r="B100" s="6" t="inlineStr">
        <is>
          <t>Sep 2026</t>
        </is>
      </c>
    </row>
    <row r="101">
      <c r="A101" s="15" t="inlineStr">
        <is>
          <t>Overtime hours</t>
        </is>
      </c>
      <c r="B101" s="17" t="n">
        <v>3.5</v>
      </c>
    </row>
    <row r="102"/>
    <row r="103"/>
    <row r="10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Ordinary hours</t>
        </is>
      </c>
      <c r="D5" s="6" t="inlineStr">
        <is>
          <t>Overtime hours</t>
        </is>
      </c>
      <c r="E5" s="6" t="inlineStr">
        <is>
          <t>Overtime share</t>
        </is>
      </c>
    </row>
    <row r="6">
      <c r="A6" s="18" t="inlineStr">
        <is>
          <t>Oct 24</t>
        </is>
      </c>
      <c r="B6" s="18" t="inlineStr">
        <is>
          <t>Locked</t>
        </is>
      </c>
      <c r="C6" s="14" t="n">
        <v>957.600000000002</v>
      </c>
      <c r="D6" s="14" t="n">
        <v>15.5</v>
      </c>
      <c r="E6" s="19">
        <f>IF(C6=0,"",D6/C6)</f>
        <v/>
      </c>
    </row>
    <row r="7">
      <c r="A7" s="18" t="inlineStr">
        <is>
          <t>Nov 24</t>
        </is>
      </c>
      <c r="B7" s="18" t="inlineStr">
        <is>
          <t>Locked</t>
        </is>
      </c>
      <c r="C7" s="14" t="n">
        <v>866.4000000000017</v>
      </c>
      <c r="D7" s="14" t="n">
        <v>23.5</v>
      </c>
      <c r="E7" s="19">
        <f>IF(C7=0,"",D7/C7)</f>
        <v/>
      </c>
    </row>
    <row r="8">
      <c r="A8" s="18" t="inlineStr">
        <is>
          <t>Dec 24</t>
        </is>
      </c>
      <c r="B8" s="18" t="inlineStr">
        <is>
          <t>Locked</t>
        </is>
      </c>
      <c r="C8" s="14" t="n">
        <v>896.8000000000018</v>
      </c>
      <c r="D8" s="14" t="n">
        <v>19.5</v>
      </c>
      <c r="E8" s="19">
        <f>IF(C8=0,"",D8/C8)</f>
        <v/>
      </c>
    </row>
    <row r="9">
      <c r="A9" s="18" t="inlineStr">
        <is>
          <t>Jan 25</t>
        </is>
      </c>
      <c r="B9" s="18" t="inlineStr">
        <is>
          <t>Locked</t>
        </is>
      </c>
      <c r="C9" s="14" t="n">
        <v>904.4000000000018</v>
      </c>
      <c r="D9" s="14" t="n">
        <v>27.5</v>
      </c>
      <c r="E9" s="19">
        <f>IF(C9=0,"",D9/C9)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4" t="n">
        <v>896.8000000000018</v>
      </c>
      <c r="D10" s="14" t="n">
        <v>41.5</v>
      </c>
      <c r="E10" s="19">
        <f>IF(C10=0,"",D10/C10)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4" t="n">
        <v>912.0000000000018</v>
      </c>
      <c r="D11" s="14" t="n">
        <v>40.5</v>
      </c>
      <c r="E11" s="19">
        <f>IF(C11=0,"",D11/C11)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4" t="n">
        <v>836.0000000000016</v>
      </c>
      <c r="D12" s="14" t="n">
        <v>30.5</v>
      </c>
      <c r="E12" s="19">
        <f>IF(C12=0,"",D12/C12)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4" t="n">
        <v>896.8000000000018</v>
      </c>
      <c r="D13" s="14" t="n">
        <v>33</v>
      </c>
      <c r="E13" s="19">
        <f>IF(C13=0,"",D13/C13)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4" t="n">
        <v>942.4000000000019</v>
      </c>
      <c r="D14" s="14" t="n">
        <v>26.5</v>
      </c>
      <c r="E14" s="19">
        <f>IF(C14=0,"",D14/C14)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4" t="n">
        <v>1033.600000000002</v>
      </c>
      <c r="D15" s="14" t="n">
        <v>34.5</v>
      </c>
      <c r="E15" s="19">
        <f>IF(C15=0,"",D15/C15)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4" t="n">
        <v>874.0000000000017</v>
      </c>
      <c r="D16" s="14" t="n">
        <v>28.5</v>
      </c>
      <c r="E16" s="19">
        <f>IF(C16=0,"",D16/C16)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4" t="n">
        <v>957.600000000002</v>
      </c>
      <c r="D17" s="14" t="n">
        <v>35.5</v>
      </c>
      <c r="E17" s="19">
        <f>IF(C17=0,"",D17/C17)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4" t="n">
        <v>980.400000000002</v>
      </c>
      <c r="D18" s="14" t="n">
        <v>38</v>
      </c>
      <c r="E18" s="19">
        <f>IF(C18=0,"",D18/C18)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4" t="n">
        <v>851.2000000000016</v>
      </c>
      <c r="D19" s="14" t="n">
        <v>32</v>
      </c>
      <c r="E19" s="19">
        <f>IF(C19=0,"",D19/C19)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4" t="n">
        <v>919.6000000000018</v>
      </c>
      <c r="D20" s="14" t="n">
        <v>70.5</v>
      </c>
      <c r="E20" s="19">
        <f>IF(C20=0,"",D20/C20)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4" t="n">
        <v>1003.200000000002</v>
      </c>
      <c r="D21" s="14" t="n">
        <v>31</v>
      </c>
      <c r="E21" s="19">
        <f>IF(C21=0,"",D21/C21)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4" t="n">
        <v>1026.000000000002</v>
      </c>
      <c r="D22" s="14" t="n">
        <v>43.5</v>
      </c>
      <c r="E22" s="19">
        <f>IF(C22=0,"",D22/C22)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4" t="n">
        <v>1147.600000000001</v>
      </c>
      <c r="D23" s="14" t="n">
        <v>48.5</v>
      </c>
      <c r="E23" s="19">
        <f>IF(C23=0,"",D23/C23)</f>
        <v/>
      </c>
    </row>
    <row r="24">
      <c r="A24" s="18" t="inlineStr">
        <is>
          <t>Apr 26</t>
        </is>
      </c>
      <c r="B24" s="18" t="inlineStr">
        <is>
          <t>Locked</t>
        </is>
      </c>
      <c r="C24" s="14" t="n">
        <v>1033.600000000002</v>
      </c>
      <c r="D24" s="14" t="n">
        <v>60.5</v>
      </c>
      <c r="E24" s="19">
        <f>IF(C24=0,"",D24/C24)</f>
        <v/>
      </c>
    </row>
    <row r="25">
      <c r="A25" s="18" t="inlineStr">
        <is>
          <t>May 26</t>
        </is>
      </c>
      <c r="B25" s="18" t="inlineStr">
        <is>
          <t>Locked</t>
        </is>
      </c>
      <c r="C25" s="14" t="n">
        <v>1018.400000000002</v>
      </c>
      <c r="D25" s="14" t="n">
        <v>68</v>
      </c>
      <c r="E25" s="19">
        <f>IF(C25=0,"",D25/C25)</f>
        <v/>
      </c>
    </row>
    <row r="26">
      <c r="A26" s="18" t="inlineStr">
        <is>
          <t>Jun 26</t>
        </is>
      </c>
      <c r="B26" s="18" t="inlineStr">
        <is>
          <t>Locked</t>
        </is>
      </c>
      <c r="C26" s="14" t="n">
        <v>1124.800000000001</v>
      </c>
      <c r="D26" s="14" t="n">
        <v>81</v>
      </c>
      <c r="E26" s="19">
        <f>IF(C26=0,"",D26/C26)</f>
        <v/>
      </c>
    </row>
    <row r="27">
      <c r="A27" s="18" t="inlineStr">
        <is>
          <t>Jul 26</t>
        </is>
      </c>
      <c r="B27" s="18" t="inlineStr">
        <is>
          <t>Locked</t>
        </is>
      </c>
      <c r="C27" s="14" t="n">
        <v>1170.4</v>
      </c>
      <c r="D27" s="14" t="n">
        <v>57.5</v>
      </c>
      <c r="E27" s="19">
        <f>IF(C27=0,"",D27/C27)</f>
        <v/>
      </c>
    </row>
    <row r="28">
      <c r="A28" s="18" t="inlineStr">
        <is>
          <t>Aug 26</t>
        </is>
      </c>
      <c r="B28" s="18" t="inlineStr">
        <is>
          <t>Locked</t>
        </is>
      </c>
      <c r="C28" s="14" t="n">
        <v>1041.200000000002</v>
      </c>
      <c r="D28" s="14" t="n">
        <v>58.5</v>
      </c>
      <c r="E28" s="19">
        <f>IF(C28=0,"",D28/C28)</f>
        <v/>
      </c>
    </row>
    <row r="29">
      <c r="A29" s="18" t="inlineStr">
        <is>
          <t>Sep 26</t>
        </is>
      </c>
      <c r="B29" s="18" t="inlineStr">
        <is>
          <t>Locked</t>
        </is>
      </c>
      <c r="C29" s="14" t="n">
        <v>1109.600000000001</v>
      </c>
      <c r="D29" s="14" t="n">
        <v>64.5</v>
      </c>
      <c r="E29" s="19">
        <f>IF(C29=0,"",D29/C29)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2026-10-22T06:58:26Z</dcterms:created>
  <dcterms:modified xmlns:dcterms="http://purl.org/dc/terms/" xmlns:xsi="http://www.w3.org/2001/XMLSchema-instance" xsi:type="dcterms:W3CDTF">2026-10-22T06:58:26Z</dcterms:modified>
</cp:coreProperties>
</file>