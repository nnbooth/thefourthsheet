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uly_All_jobs">'Report'!$B$16</definedName>
    <definedName name="Job_gross_margin_June_All_jobs">'Report'!$B$17</definedName>
    <definedName name="Gross_margin_jobs_need_to_break_even">'Report'!$B$18</definedName>
    <definedName name="Job_gross_margin_July_Maintenance_contracts">'Report'!$B$42</definedName>
    <definedName name="Job_gross_margin_June_Maintenance_contracts">'Report'!$B$43</definedName>
    <definedName name="Gross_margin_jobs_need_to_break_even_2">'Report'!$B$44</definedName>
    <definedName name="Job_gross_margin_July_Installations">'Report'!$B$81</definedName>
    <definedName name="Job_gross_margin_June_Installations">'Report'!$B$82</definedName>
    <definedName name="Gross_margin_jobs_need_to_break_even_3">'Report'!$B$83</definedName>
    <definedName name="Job_gross_margin_July_Call_outs_and_repairs">'Report'!$B$107</definedName>
    <definedName name="Job_gross_margin_June_Call_outs_and_repairs">'Report'!$B$108</definedName>
    <definedName name="Gross_margin_jobs_need_to_break_even_4">'Report'!$B$109</definedName>
    <definedName name="Technician_time_charged_July">'Report'!$B$110</definedName>
    <definedName name="Materials_charged_July">'Report'!$B$111</definedName>
    <definedName name="_xlnm.Print_Area" localSheetId="0">'Report'!$A$1:$D$136</definedName>
    <definedName name="_xlnm.Print_Area" localSheetId="1">'Workings'!$A$1:$C$522</definedName>
    <definedName name="_xlnm.Print_Titles" localSheetId="3">'Data'!$5:$5</definedName>
    <definedName name="_xlnm.Print_Area" localSheetId="3">'Data'!$A$1:$G$93</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'Report'!$A$87:$A$90</f>
            </numRef>
          </cat>
          <val>
            <numRef>
              <f>'Report'!$B$87:$B$90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4576999999999999"/>
          <min val="0"/>
        </scaling>
        <delete val="1"/>
        <axPos val="l"/>
        <numFmt formatCode="0.0%" sourceLinked="0"/>
        <majorTickMark val="none"/>
        <minorTickMark val="none"/>
        <crossAx val="10"/>
      </valAx>
      <valAx>
        <axId val="500"/>
        <scaling>
          <orientation val="minMax"/>
          <max val="0.457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July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'Report'!$A$115:$A$120</f>
            </numRef>
          </cat>
          <val>
            <numRef>
              <f>'Report'!$B$115:$B$120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39.8%</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772999999999999"/>
          <min val="0"/>
        </scaling>
        <delete val="1"/>
        <axPos val="l"/>
        <numFmt formatCode="0.0%" sourceLinked="0"/>
        <majorTickMark val="none"/>
        <minorTickMark val="none"/>
        <crossAx val="10"/>
      </valAx>
      <valAx>
        <axId val="500"/>
        <scaling>
          <orientation val="minMax"/>
          <max val="0.5772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'Data'!$B$6:$B$27</f>
            </numRef>
          </cat>
          <val>
            <numRef>
              <f>'Data'!$D$6:$D$27</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'Data'!$B$6:$B$27</f>
            </numRef>
          </cat>
          <val>
            <numRef>
              <f>'Data'!$D$28:$D$49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'Data'!$B$6:$B$27</f>
            </numRef>
          </cat>
          <val>
            <numRef>
              <f>'Data'!$D$50:$D$71</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'Data'!$B$6:$B$27</f>
            </numRef>
          </cat>
          <val>
            <numRef>
              <f>'Data'!$D$72:$D$93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113</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93" headerRowCount="1">
  <autoFilter ref="A5:G9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8"/>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ht="32" customHeight="1">
      <c r="A5" s="3" t="inlineStr">
        <is>
          <t>In short: Jobs made a 43.4% gross margin in July: maintenance contracts the most (63.9%), installations the least (36.0%).</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July's jobs made $93,486 gross margin (43.4%). Technician time not charged to jobs took $26,391 and overheads $59,440, leaving $7,655 profit before tax (3.6% of revenue). To cover overheads, jobs need a 39.8%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July · All jobs</t>
        </is>
      </c>
      <c r="B16" s="9">
        <f>Workings!B28</f>
        <v/>
      </c>
      <c r="C16" s="10" t="inlineStr">
        <is>
          <t>target 35.0%</t>
        </is>
      </c>
    </row>
    <row r="17">
      <c r="A17" t="inlineStr">
        <is>
          <t>Job gross margin, June · All jobs</t>
        </is>
      </c>
      <c r="B17" s="9">
        <f>Workings!C37</f>
        <v/>
      </c>
      <c r="C17" s="10" t="inlineStr">
        <is>
          <t>target 35.0%</t>
        </is>
      </c>
    </row>
    <row r="18">
      <c r="A18" t="inlineStr">
        <is>
          <t>Gross margin jobs need to break even</t>
        </is>
      </c>
      <c r="B18" s="9">
        <f>Workings!B53</f>
        <v/>
      </c>
      <c r="C18" s="10" t="inlineStr">
        <is>
          <t>covers overheads and time not charged (July)</t>
        </is>
      </c>
    </row>
    <row r="19"/>
    <row r="20">
      <c r="A20" s="11" t="inlineStr">
        <is>
          <t>Job gross margin by type of job, July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July maintenance contracts made a 63.9% job gross margin, installations made a 36.0% job gross margin, call-outs and repairs made a 47.8% job gross margin (technician time at $68 an hour, wages and all on-costs). Jobs need 39.8% just to cover overheads.</t>
        </is>
      </c>
    </row>
    <row r="36"/>
    <row r="37">
      <c r="A37" s="5" t="inlineStr">
        <is>
          <t>What you'd do about it</t>
        </is>
      </c>
    </row>
    <row r="38" ht="45" customHeight="1">
      <c r="A38" s="4" t="inlineStr">
        <is>
          <t>Installations: 36.0% gross margin, 1.0 points over the 35.0% target ($1,430 ahead on $143,000 in July). Maintenance contracts: 63.9% gross margin, 28.9 points over the 35.0% target ($13,094 ahead on $45,350 in July).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July · Maintenance contracts</t>
        </is>
      </c>
      <c r="B42" s="9">
        <f>Workings!B90</f>
        <v/>
      </c>
      <c r="C42" s="10" t="inlineStr">
        <is>
          <t>target 35.0%</t>
        </is>
      </c>
    </row>
    <row r="43">
      <c r="A43" t="inlineStr">
        <is>
          <t>Job gross margin, June · Maintenance contracts</t>
        </is>
      </c>
      <c r="B43" s="9">
        <f>Workings!B99</f>
        <v/>
      </c>
      <c r="C43" s="10" t="inlineStr">
        <is>
          <t>target 35.0%</t>
        </is>
      </c>
    </row>
    <row r="44">
      <c r="A44" t="inlineStr">
        <is>
          <t>Gross margin jobs need to break even</t>
        </is>
      </c>
      <c r="B44" s="9">
        <f>Workings!B115</f>
        <v/>
      </c>
      <c r="C44" s="10" t="inlineStr">
        <is>
          <t>covers overheads and time not charged (July)</t>
        </is>
      </c>
    </row>
    <row r="45"/>
    <row r="46">
      <c r="A46" s="11" t="inlineStr">
        <is>
          <t>Job gross margin on each maintenance contract, July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July). All maintenance contracts: 63.9% gross margin, 28.9 points over the 35.0% target ($13,094 ahead on $45,350 in July).</t>
        </is>
      </c>
    </row>
    <row r="78"/>
    <row r="79">
      <c r="A79" s="6" t="inlineStr">
        <is>
          <t>Type of job: Installations</t>
        </is>
      </c>
    </row>
    <row r="80">
      <c r="A80" s="7" t="inlineStr">
        <is>
          <t>Headline number</t>
        </is>
      </c>
      <c r="B80" s="8" t="inlineStr">
        <is>
          <t>Value</t>
        </is>
      </c>
      <c r="C80" s="8" t="inlineStr">
        <is>
          <t>Compared with</t>
        </is>
      </c>
    </row>
    <row r="81">
      <c r="A81" t="inlineStr">
        <is>
          <t>Job gross margin, July · Installations</t>
        </is>
      </c>
      <c r="B81" s="9">
        <f>Workings!B307</f>
        <v/>
      </c>
      <c r="C81" s="10" t="inlineStr">
        <is>
          <t>target 35.0%</t>
        </is>
      </c>
    </row>
    <row r="82">
      <c r="A82" t="inlineStr">
        <is>
          <t>Job gross margin, June · Installations</t>
        </is>
      </c>
      <c r="B82" s="9">
        <f>Workings!C316</f>
        <v/>
      </c>
      <c r="C82" s="10" t="inlineStr">
        <is>
          <t>target 35.0%</t>
        </is>
      </c>
    </row>
    <row r="83">
      <c r="A83" t="inlineStr">
        <is>
          <t>Gross margin jobs need to break even</t>
        </is>
      </c>
      <c r="B83" s="9">
        <f>Workings!B332</f>
        <v/>
      </c>
      <c r="C83" s="10" t="inlineStr">
        <is>
          <t>covers overheads and time not charged (July)</t>
        </is>
      </c>
    </row>
    <row r="84"/>
    <row r="85">
      <c r="A85" s="11" t="inlineStr">
        <is>
          <t>Job gross margin on each installation invoiced in July 2026</t>
        </is>
      </c>
    </row>
    <row r="86">
      <c r="A86" s="7" t="inlineStr"/>
      <c r="B86" s="8" t="inlineStr">
        <is>
          <t>Gross margin %</t>
        </is>
      </c>
      <c r="C86" s="8" t="inlineStr">
        <is>
          <t>Gross margin $</t>
        </is>
      </c>
    </row>
    <row r="87">
      <c r="A87" t="inlineStr">
        <is>
          <t>Installation J-2540</t>
        </is>
      </c>
      <c r="B87" s="9">
        <f>Workings!B346</f>
        <v/>
      </c>
      <c r="C87" s="12">
        <f>Workings!B345</f>
        <v/>
      </c>
    </row>
    <row r="88">
      <c r="A88" t="inlineStr">
        <is>
          <t>Installation J-2542</t>
        </is>
      </c>
      <c r="B88" s="9">
        <f>Workings!B359</f>
        <v/>
      </c>
      <c r="C88" s="12">
        <f>Workings!B358</f>
        <v/>
      </c>
    </row>
    <row r="89">
      <c r="A89" t="inlineStr">
        <is>
          <t>Installation J-2541</t>
        </is>
      </c>
      <c r="B89" s="9">
        <f>Workings!B372</f>
        <v/>
      </c>
      <c r="C89" s="12">
        <f>Workings!B371</f>
        <v/>
      </c>
    </row>
    <row r="90">
      <c r="A90" t="inlineStr">
        <is>
          <t>Installation J-2543</t>
        </is>
      </c>
      <c r="B90" s="9">
        <f>Workings!B385</f>
        <v/>
      </c>
      <c r="C90" s="12">
        <f>Workings!B384</f>
        <v/>
      </c>
    </row>
    <row r="91"/>
    <row r="92"/>
    <row r="93"/>
    <row r="94"/>
    <row r="95"/>
    <row r="96"/>
    <row r="97"/>
    <row r="98"/>
    <row r="99">
      <c r="A99" s="5" t="inlineStr">
        <is>
          <t>What it shows</t>
        </is>
      </c>
    </row>
    <row r="100" ht="60" customHeight="1">
      <c r="A100" s="4" t="inlineStr">
        <is>
          <t>0 of the 4 installation jobs invoiced in July made less than the 35.0% job gross margin target. The Installation J-2543 made a 35.9% job gross margin: 128.0 h of technician time ($8,704) and $2,600 of subcontractors on a $37,300 job. Jobs need 39.8% gross margin just to cover overheads.</t>
        </is>
      </c>
    </row>
    <row r="101"/>
    <row r="102">
      <c r="A102" s="5" t="inlineStr">
        <is>
          <t>What you'd do about it</t>
        </is>
      </c>
    </row>
    <row r="103" ht="30" customHeight="1">
      <c r="A103" s="4" t="inlineStr">
        <is>
          <t>Every installation cleared the 35.0% target. Most profitable: Installation J-2540 (36.1%).</t>
        </is>
      </c>
    </row>
    <row r="104"/>
    <row r="105">
      <c r="A105" s="6" t="inlineStr">
        <is>
          <t>Type of job: Call-outs and repairs</t>
        </is>
      </c>
    </row>
    <row r="106">
      <c r="A106" s="7" t="inlineStr">
        <is>
          <t>Headline number</t>
        </is>
      </c>
      <c r="B106" s="8" t="inlineStr">
        <is>
          <t>Value</t>
        </is>
      </c>
      <c r="C106" s="8" t="inlineStr">
        <is>
          <t>Compared with</t>
        </is>
      </c>
    </row>
    <row r="107">
      <c r="A107" t="inlineStr">
        <is>
          <t>Job gross margin, July · Call-outs and repairs</t>
        </is>
      </c>
      <c r="B107" s="9">
        <f>Workings!B394</f>
        <v/>
      </c>
      <c r="C107" s="10" t="inlineStr">
        <is>
          <t>target 35.0%</t>
        </is>
      </c>
    </row>
    <row r="108">
      <c r="A108" t="inlineStr">
        <is>
          <t>Job gross margin, June · Call-outs and repairs</t>
        </is>
      </c>
      <c r="B108" s="9">
        <f>Workings!C403</f>
        <v/>
      </c>
      <c r="C108" s="10" t="inlineStr">
        <is>
          <t>target 35.0%</t>
        </is>
      </c>
    </row>
    <row r="109">
      <c r="A109" t="inlineStr">
        <is>
          <t>Gross margin jobs need to break even</t>
        </is>
      </c>
      <c r="B109" s="9">
        <f>Workings!B419</f>
        <v/>
      </c>
      <c r="C109" s="10" t="inlineStr">
        <is>
          <t>covers overheads and time not charged (July)</t>
        </is>
      </c>
    </row>
    <row r="110">
      <c r="A110" t="inlineStr">
        <is>
          <t>Technician time charged, July</t>
        </is>
      </c>
      <c r="B110" s="12">
        <f>Workings!B426</f>
        <v/>
      </c>
      <c r="C110" s="10" t="inlineStr">
        <is>
          <t>70.3% of call-out revenue</t>
        </is>
      </c>
    </row>
    <row r="111">
      <c r="A111" t="inlineStr">
        <is>
          <t>Materials charged, July</t>
        </is>
      </c>
      <c r="B111" s="12">
        <f>Workings!B442</f>
        <v/>
      </c>
      <c r="C111" s="10" t="inlineStr">
        <is>
          <t>$6,230 at cost, plus 30%</t>
        </is>
      </c>
    </row>
    <row r="112"/>
    <row r="113">
      <c r="A113" s="11" t="inlineStr">
        <is>
          <t>Job gross margin on call-outs by length, July 2026</t>
        </is>
      </c>
    </row>
    <row r="114">
      <c r="A114" s="7" t="inlineStr"/>
      <c r="B114" s="8" t="inlineStr">
        <is>
          <t>Gross margin %</t>
        </is>
      </c>
      <c r="C114" s="8" t="inlineStr">
        <is>
          <t>Gross margin $</t>
        </is>
      </c>
    </row>
    <row r="115">
      <c r="A115" t="inlineStr">
        <is>
          <t>1-hour call-outs (8)</t>
        </is>
      </c>
      <c r="B115" s="9">
        <f>Workings!B457</f>
        <v/>
      </c>
      <c r="C115" s="12">
        <f>Workings!B456</f>
        <v/>
      </c>
    </row>
    <row r="116">
      <c r="A116" t="inlineStr">
        <is>
          <t>1.5-hour call-outs (10)</t>
        </is>
      </c>
      <c r="B116" s="9">
        <f>Workings!B470</f>
        <v/>
      </c>
      <c r="C116" s="12">
        <f>Workings!B469</f>
        <v/>
      </c>
    </row>
    <row r="117">
      <c r="A117" t="inlineStr">
        <is>
          <t>2-hour call-outs (15)</t>
        </is>
      </c>
      <c r="B117" s="9">
        <f>Workings!B483</f>
        <v/>
      </c>
      <c r="C117" s="12">
        <f>Workings!B482</f>
        <v/>
      </c>
    </row>
    <row r="118">
      <c r="A118" t="inlineStr">
        <is>
          <t>2.5-hour call-outs (7)</t>
        </is>
      </c>
      <c r="B118" s="9">
        <f>Workings!B496</f>
        <v/>
      </c>
      <c r="C118" s="12">
        <f>Workings!B495</f>
        <v/>
      </c>
    </row>
    <row r="119">
      <c r="A119" t="inlineStr">
        <is>
          <t>3-hour call-outs (9)</t>
        </is>
      </c>
      <c r="B119" s="9">
        <f>Workings!B509</f>
        <v/>
      </c>
      <c r="C119" s="12">
        <f>Workings!B508</f>
        <v/>
      </c>
    </row>
    <row r="120">
      <c r="A120" t="inlineStr">
        <is>
          <t>4-hour call-outs (5)</t>
        </is>
      </c>
      <c r="B120" s="9">
        <f>Workings!B522</f>
        <v/>
      </c>
      <c r="C120" s="12">
        <f>Workings!B521</f>
        <v/>
      </c>
    </row>
    <row r="121"/>
    <row r="122"/>
    <row r="123"/>
    <row r="124"/>
    <row r="125"/>
    <row r="126"/>
    <row r="127"/>
    <row r="128"/>
    <row r="129">
      <c r="A129" s="5" t="inlineStr">
        <is>
          <t>What it shows</t>
        </is>
      </c>
    </row>
    <row r="130" ht="60" customHeight="1">
      <c r="A130" s="4" t="inlineStr">
        <is>
          <t>54 call-outs in July billed $19,161 of technician time and $8,099 of materials ($6,230 at cost plus 30%), and made a 47.8% job gross margin between them. Gross margins run from 40.4% to 50.2% by length: the hourly rate covers technician time comfortably, so the gross margin mostly moves with how much material goes on the van.</t>
        </is>
      </c>
    </row>
    <row r="131"/>
    <row r="132">
      <c r="A132" s="5" t="inlineStr">
        <is>
          <t>What you'd do about it</t>
        </is>
      </c>
    </row>
    <row r="133" ht="30" customHeight="1">
      <c r="A133" s="4" t="inlineStr">
        <is>
          <t>All call-outs: 47.8% gross margin, 12.8 points over the 35.0% target ($3,499 ahead on $27,260 in July).</t>
        </is>
      </c>
    </row>
    <row r="134"/>
    <row r="135">
      <c r="A135" s="6" t="inlineStr">
        <is>
          <t>Every type of job at once</t>
        </is>
      </c>
    </row>
    <row r="136">
      <c r="A136" s="13" t="inlineStr">
        <is>
          <t>Job gross margin by month: every month is on the Data sheet.</t>
        </is>
      </c>
    </row>
    <row r="137"/>
    <row r="138"/>
  </sheetData>
  <mergeCells count="12">
    <mergeCell ref="A5:D5"/>
    <mergeCell ref="A103:D103"/>
    <mergeCell ref="A9:D9"/>
    <mergeCell ref="A6:D6"/>
    <mergeCell ref="A74:D74"/>
    <mergeCell ref="A77:D77"/>
    <mergeCell ref="A12:D12"/>
    <mergeCell ref="A35:D35"/>
    <mergeCell ref="A100:D100"/>
    <mergeCell ref="A130:D130"/>
    <mergeCell ref="A38:D38"/>
    <mergeCell ref="A133:D133"/>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98" min="0" max="16383" man="1"/>
    <brk id="11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2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c r="A5" s="6" t="inlineStr">
        <is>
          <t>Trades: From gross margin to profit, July 2026</t>
        </is>
      </c>
    </row>
    <row r="6">
      <c r="A6" s="13" t="inlineStr">
        <is>
          <t>Gross margin on the work − time not charged − overheads = profit before tax</t>
        </is>
      </c>
    </row>
    <row r="7">
      <c r="A7" s="7" t="inlineStr"/>
      <c r="B7" s="8" t="inlineStr">
        <is>
          <t>Jul 2026</t>
        </is>
      </c>
    </row>
    <row r="8">
      <c r="A8" t="inlineStr">
        <is>
          <t>Gross margin on jobs</t>
        </is>
      </c>
      <c r="B8" s="14" t="n">
        <v>93486</v>
      </c>
    </row>
    <row r="9">
      <c r="A9" t="inlineStr">
        <is>
          <t>Technician wages and on-costs</t>
        </is>
      </c>
      <c r="B9" s="14" t="n">
        <v>83205</v>
      </c>
    </row>
    <row r="10">
      <c r="A10" t="inlineStr">
        <is>
          <t>Technician time charged to jobs (at cost)</t>
        </is>
      </c>
      <c r="B10" s="14" t="n">
        <v>56814</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59440</v>
      </c>
    </row>
    <row r="14">
      <c r="A14" t="inlineStr">
        <is>
          <t>Profit before tax (the P&amp;L)</t>
        </is>
      </c>
      <c r="B14" s="14">
        <f>B12-B13</f>
        <v/>
      </c>
    </row>
    <row r="15">
      <c r="A15" t="inlineStr">
        <is>
          <t>Revenue</t>
        </is>
      </c>
      <c r="B15" s="14" t="n">
        <v>215610</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July 2026 P&amp;L (locked). Wages include their on-costs: super (12%) and leave as it's earned. No payroll tax: wages are under Queensland's $1.3 million threshold.</t>
        </is>
      </c>
    </row>
    <row r="20"/>
    <row r="21"/>
    <row r="22">
      <c r="A22" s="6" t="inlineStr">
        <is>
          <t>Trades, all lines: gross margin, July and June</t>
        </is>
      </c>
    </row>
    <row r="23">
      <c r="A23" s="13" t="inlineStr">
        <is>
          <t>Revenue less direct cost, over revenue. Before overheads.</t>
        </is>
      </c>
    </row>
    <row r="24">
      <c r="A24" s="7" t="inlineStr"/>
      <c r="B24" s="8" t="inlineStr">
        <is>
          <t>Jul 26</t>
        </is>
      </c>
      <c r="C24" s="8" t="inlineStr">
        <is>
          <t>Jun 26</t>
        </is>
      </c>
    </row>
    <row r="25">
      <c r="A25" t="inlineStr">
        <is>
          <t>Revenue</t>
        </is>
      </c>
      <c r="B25" s="14" t="n">
        <v>215610</v>
      </c>
      <c r="C25" s="14" t="n">
        <v>193032</v>
      </c>
    </row>
    <row r="26">
      <c r="A26" t="inlineStr">
        <is>
          <t>Direct cost</t>
        </is>
      </c>
      <c r="B26" s="14" t="n">
        <v>122124</v>
      </c>
      <c r="C26" s="14" t="n">
        <v>106500</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July and June</t>
        </is>
      </c>
    </row>
    <row r="32">
      <c r="A32" s="13" t="inlineStr">
        <is>
          <t>Revenue less direct cost, over revenue. Before overheads.</t>
        </is>
      </c>
    </row>
    <row r="33">
      <c r="A33" s="7" t="inlineStr"/>
      <c r="B33" s="8" t="inlineStr">
        <is>
          <t>Jul 26</t>
        </is>
      </c>
      <c r="C33" s="8" t="inlineStr">
        <is>
          <t>Jun 26</t>
        </is>
      </c>
    </row>
    <row r="34">
      <c r="A34" t="inlineStr">
        <is>
          <t>Revenue</t>
        </is>
      </c>
      <c r="B34" s="14" t="n">
        <v>215610</v>
      </c>
      <c r="C34" s="14" t="n">
        <v>193032</v>
      </c>
    </row>
    <row r="35">
      <c r="A35" t="inlineStr">
        <is>
          <t>Direct cost</t>
        </is>
      </c>
      <c r="B35" s="14" t="n">
        <v>122124</v>
      </c>
      <c r="C35" s="14" t="n">
        <v>106500</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July 2026</t>
        </is>
      </c>
    </row>
    <row r="41">
      <c r="A41" s="13" t="inlineStr">
        <is>
          <t>Gross margin on the work − time not charged − overheads = profit before tax</t>
        </is>
      </c>
    </row>
    <row r="42">
      <c r="A42" s="7" t="inlineStr"/>
      <c r="B42" s="8" t="inlineStr">
        <is>
          <t>Jul 2026</t>
        </is>
      </c>
    </row>
    <row r="43">
      <c r="A43" t="inlineStr">
        <is>
          <t>Gross margin on jobs</t>
        </is>
      </c>
      <c r="B43" s="14" t="n">
        <v>93486</v>
      </c>
    </row>
    <row r="44">
      <c r="A44" t="inlineStr">
        <is>
          <t>Technician wages and on-costs</t>
        </is>
      </c>
      <c r="B44" s="14" t="n">
        <v>83205</v>
      </c>
    </row>
    <row r="45">
      <c r="A45" t="inlineStr">
        <is>
          <t>Technician time charged to jobs (at cost)</t>
        </is>
      </c>
      <c r="B45" s="14" t="n">
        <v>56814</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59440</v>
      </c>
    </row>
    <row r="49">
      <c r="A49" t="inlineStr">
        <is>
          <t>Profit before tax (the P&amp;L)</t>
        </is>
      </c>
      <c r="B49" s="14">
        <f>B47-B48</f>
        <v/>
      </c>
    </row>
    <row r="50">
      <c r="A50" t="inlineStr">
        <is>
          <t>Revenue</t>
        </is>
      </c>
      <c r="B50" s="14" t="n">
        <v>215610</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July 2026 P&amp;L (locked). Wages include their on-costs: super (12%) and leave as it's earned. No payroll tax: wages are under Queensland's $1.3 million threshold.</t>
        </is>
      </c>
    </row>
    <row r="55"/>
    <row r="56"/>
    <row r="57">
      <c r="A57" s="6" t="inlineStr">
        <is>
          <t>Maintenance contracts, July</t>
        </is>
      </c>
    </row>
    <row r="58">
      <c r="A58" s="13" t="inlineStr">
        <is>
          <t>Revenue less direct cost (materials, subcontractors, technician time at cost)</t>
        </is>
      </c>
    </row>
    <row r="59">
      <c r="A59" s="7" t="inlineStr"/>
      <c r="B59" s="8" t="inlineStr">
        <is>
          <t>Jul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July</t>
        </is>
      </c>
    </row>
    <row r="67">
      <c r="A67" s="13" t="inlineStr">
        <is>
          <t>Revenue less direct cost (materials, subcontractors, technician time at cost)</t>
        </is>
      </c>
    </row>
    <row r="68">
      <c r="A68" s="7" t="inlineStr"/>
      <c r="B68" s="8" t="inlineStr">
        <is>
          <t>Jul 2026</t>
        </is>
      </c>
    </row>
    <row r="69">
      <c r="A69" t="inlineStr">
        <is>
          <t>Revenue</t>
        </is>
      </c>
      <c r="B69" s="14" t="n">
        <v>143000</v>
      </c>
    </row>
    <row r="70">
      <c r="A70" t="inlineStr">
        <is>
          <t>Direct cost</t>
        </is>
      </c>
      <c r="B70" s="14" t="n">
        <v>91520</v>
      </c>
    </row>
    <row r="71">
      <c r="A71" t="inlineStr">
        <is>
          <t>Gross margin</t>
        </is>
      </c>
      <c r="B71" s="14">
        <f>B69-B70</f>
        <v/>
      </c>
    </row>
    <row r="72">
      <c r="A72" s="16" t="inlineStr">
        <is>
          <t>Gross margin %</t>
        </is>
      </c>
      <c r="B72" s="17">
        <f>B71/B69</f>
        <v/>
      </c>
    </row>
    <row r="73"/>
    <row r="74"/>
    <row r="75">
      <c r="A75" s="6" t="inlineStr">
        <is>
          <t>Call-outs and repairs, July</t>
        </is>
      </c>
    </row>
    <row r="76">
      <c r="A76" s="13" t="inlineStr">
        <is>
          <t>Revenue less direct cost (materials, subcontractors, technician time at cost)</t>
        </is>
      </c>
    </row>
    <row r="77">
      <c r="A77" s="7" t="inlineStr"/>
      <c r="B77" s="8" t="inlineStr">
        <is>
          <t>Jul 2026</t>
        </is>
      </c>
    </row>
    <row r="78">
      <c r="A78" t="inlineStr">
        <is>
          <t>Revenue</t>
        </is>
      </c>
      <c r="B78" s="14" t="n">
        <v>27260</v>
      </c>
    </row>
    <row r="79">
      <c r="A79" t="inlineStr">
        <is>
          <t>Direct cost</t>
        </is>
      </c>
      <c r="B79" s="14" t="n">
        <v>14220</v>
      </c>
    </row>
    <row r="80">
      <c r="A80" t="inlineStr">
        <is>
          <t>Gross margin</t>
        </is>
      </c>
      <c r="B80" s="14">
        <f>B78-B79</f>
        <v/>
      </c>
    </row>
    <row r="81">
      <c r="A81" s="16" t="inlineStr">
        <is>
          <t>Gross margin %</t>
        </is>
      </c>
      <c r="B81" s="17">
        <f>B80/B78</f>
        <v/>
      </c>
    </row>
    <row r="82"/>
    <row r="83"/>
    <row r="84">
      <c r="A84" s="6" t="inlineStr">
        <is>
          <t>Trades, Maintenance contracts: gross margin, July and June</t>
        </is>
      </c>
    </row>
    <row r="85">
      <c r="A85" s="13" t="inlineStr">
        <is>
          <t>Revenue less direct cost, over revenue. Before overheads.</t>
        </is>
      </c>
    </row>
    <row r="86">
      <c r="A86" s="7" t="inlineStr"/>
      <c r="B86" s="8" t="inlineStr">
        <is>
          <t>Jul 26</t>
        </is>
      </c>
      <c r="C86" s="8" t="inlineStr">
        <is>
          <t>Jun 26</t>
        </is>
      </c>
    </row>
    <row r="87">
      <c r="A87" t="inlineStr">
        <is>
          <t>Revenue</t>
        </is>
      </c>
      <c r="B87" s="14" t="n">
        <v>45350</v>
      </c>
      <c r="C87" s="14" t="n">
        <v>45350</v>
      </c>
    </row>
    <row r="88">
      <c r="A88" t="inlineStr">
        <is>
          <t>Direct cost</t>
        </is>
      </c>
      <c r="B88" s="14" t="n">
        <v>16384</v>
      </c>
      <c r="C88" s="14" t="n">
        <v>16384</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July and June</t>
        </is>
      </c>
    </row>
    <row r="94">
      <c r="A94" s="13" t="inlineStr">
        <is>
          <t>Revenue less direct cost, over revenue. Before overheads.</t>
        </is>
      </c>
    </row>
    <row r="95">
      <c r="A95" s="7" t="inlineStr"/>
      <c r="B95" s="8" t="inlineStr">
        <is>
          <t>Jul 26</t>
        </is>
      </c>
      <c r="C95" s="8" t="inlineStr">
        <is>
          <t>Jun 26</t>
        </is>
      </c>
    </row>
    <row r="96">
      <c r="A96" t="inlineStr">
        <is>
          <t>Revenue</t>
        </is>
      </c>
      <c r="B96" s="14" t="n">
        <v>45350</v>
      </c>
      <c r="C96" s="14" t="n">
        <v>45350</v>
      </c>
    </row>
    <row r="97">
      <c r="A97" t="inlineStr">
        <is>
          <t>Direct cost</t>
        </is>
      </c>
      <c r="B97" s="14" t="n">
        <v>16384</v>
      </c>
      <c r="C97" s="14" t="n">
        <v>16384</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July 2026</t>
        </is>
      </c>
    </row>
    <row r="103">
      <c r="A103" s="13" t="inlineStr">
        <is>
          <t>Gross margin on the work − time not charged − overheads = profit before tax</t>
        </is>
      </c>
    </row>
    <row r="104">
      <c r="A104" s="7" t="inlineStr"/>
      <c r="B104" s="8" t="inlineStr">
        <is>
          <t>Jul 2026</t>
        </is>
      </c>
    </row>
    <row r="105">
      <c r="A105" t="inlineStr">
        <is>
          <t>Gross margin on jobs</t>
        </is>
      </c>
      <c r="B105" s="14" t="n">
        <v>93486</v>
      </c>
    </row>
    <row r="106">
      <c r="A106" t="inlineStr">
        <is>
          <t>Technician wages and on-costs</t>
        </is>
      </c>
      <c r="B106" s="14" t="n">
        <v>83205</v>
      </c>
    </row>
    <row r="107">
      <c r="A107" t="inlineStr">
        <is>
          <t>Technician time charged to jobs (at cost)</t>
        </is>
      </c>
      <c r="B107" s="14" t="n">
        <v>56814</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59440</v>
      </c>
    </row>
    <row r="111">
      <c r="A111" t="inlineStr">
        <is>
          <t>Profit before tax (the P&amp;L)</t>
        </is>
      </c>
      <c r="B111" s="14">
        <f>B109-B110</f>
        <v/>
      </c>
    </row>
    <row r="112">
      <c r="A112" t="inlineStr">
        <is>
          <t>Revenue</t>
        </is>
      </c>
      <c r="B112" s="14" t="n">
        <v>215610</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July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July and June</t>
        </is>
      </c>
    </row>
    <row r="302">
      <c r="A302" s="13" t="inlineStr">
        <is>
          <t>Revenue less direct cost, over revenue. Before overheads.</t>
        </is>
      </c>
    </row>
    <row r="303">
      <c r="A303" s="7" t="inlineStr"/>
      <c r="B303" s="8" t="inlineStr">
        <is>
          <t>Jul 26</t>
        </is>
      </c>
      <c r="C303" s="8" t="inlineStr">
        <is>
          <t>Jun 26</t>
        </is>
      </c>
    </row>
    <row r="304">
      <c r="A304" t="inlineStr">
        <is>
          <t>Revenue</t>
        </is>
      </c>
      <c r="B304" s="14" t="n">
        <v>143000</v>
      </c>
      <c r="C304" s="14" t="n">
        <v>115600</v>
      </c>
    </row>
    <row r="305">
      <c r="A305" t="inlineStr">
        <is>
          <t>Direct cost</t>
        </is>
      </c>
      <c r="B305" s="14" t="n">
        <v>91520</v>
      </c>
      <c r="C305" s="14" t="n">
        <v>73792</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July and June</t>
        </is>
      </c>
    </row>
    <row r="311">
      <c r="A311" s="13" t="inlineStr">
        <is>
          <t>Revenue less direct cost, over revenue. Before overheads.</t>
        </is>
      </c>
    </row>
    <row r="312">
      <c r="A312" s="7" t="inlineStr"/>
      <c r="B312" s="8" t="inlineStr">
        <is>
          <t>Jul 26</t>
        </is>
      </c>
      <c r="C312" s="8" t="inlineStr">
        <is>
          <t>Jun 26</t>
        </is>
      </c>
    </row>
    <row r="313">
      <c r="A313" t="inlineStr">
        <is>
          <t>Revenue</t>
        </is>
      </c>
      <c r="B313" s="14" t="n">
        <v>143000</v>
      </c>
      <c r="C313" s="14" t="n">
        <v>115600</v>
      </c>
    </row>
    <row r="314">
      <c r="A314" t="inlineStr">
        <is>
          <t>Direct cost</t>
        </is>
      </c>
      <c r="B314" s="14" t="n">
        <v>91520</v>
      </c>
      <c r="C314" s="14" t="n">
        <v>73792</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July 2026</t>
        </is>
      </c>
    </row>
    <row r="320">
      <c r="A320" s="13" t="inlineStr">
        <is>
          <t>Gross margin on the work − time not charged − overheads = profit before tax</t>
        </is>
      </c>
    </row>
    <row r="321">
      <c r="A321" s="7" t="inlineStr"/>
      <c r="B321" s="8" t="inlineStr">
        <is>
          <t>Jul 2026</t>
        </is>
      </c>
    </row>
    <row r="322">
      <c r="A322" t="inlineStr">
        <is>
          <t>Gross margin on jobs</t>
        </is>
      </c>
      <c r="B322" s="14" t="n">
        <v>93486</v>
      </c>
    </row>
    <row r="323">
      <c r="A323" t="inlineStr">
        <is>
          <t>Technician wages and on-costs</t>
        </is>
      </c>
      <c r="B323" s="14" t="n">
        <v>83205</v>
      </c>
    </row>
    <row r="324">
      <c r="A324" t="inlineStr">
        <is>
          <t>Technician time charged to jobs (at cost)</t>
        </is>
      </c>
      <c r="B324" s="14" t="n">
        <v>56814</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59440</v>
      </c>
    </row>
    <row r="328">
      <c r="A328" t="inlineStr">
        <is>
          <t>Profit before tax (the P&amp;L)</t>
        </is>
      </c>
      <c r="B328" s="14">
        <f>B326-B327</f>
        <v/>
      </c>
    </row>
    <row r="329">
      <c r="A329" t="inlineStr">
        <is>
          <t>Revenue</t>
        </is>
      </c>
      <c r="B329" s="14" t="n">
        <v>215610</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July 2026 P&amp;L (locked). Wages include their on-costs: super (12%) and leave as it's earned. No payroll tax: wages are under Queensland's $1.3 million threshold.</t>
        </is>
      </c>
    </row>
    <row r="334"/>
    <row r="335"/>
    <row r="336">
      <c r="A336" s="6" t="inlineStr">
        <is>
          <t>Installation J-2540</t>
        </is>
      </c>
    </row>
    <row r="337">
      <c r="A337" s="13" t="inlineStr">
        <is>
          <t>Job gross margin ÷ revenue for this job (before overheads)</t>
        </is>
      </c>
    </row>
    <row r="338">
      <c r="A338" s="7" t="inlineStr"/>
      <c r="B338" s="8" t="inlineStr">
        <is>
          <t>This job</t>
        </is>
      </c>
    </row>
    <row r="339">
      <c r="A339" t="inlineStr">
        <is>
          <t>Revenue</t>
        </is>
      </c>
      <c r="B339" s="14" t="n">
        <v>34200</v>
      </c>
    </row>
    <row r="340">
      <c r="A340" t="inlineStr">
        <is>
          <t>Materials</t>
        </is>
      </c>
      <c r="B340" s="14" t="n">
        <v>-11500</v>
      </c>
    </row>
    <row r="341">
      <c r="A341" t="inlineStr">
        <is>
          <t>Subcontractors</t>
        </is>
      </c>
      <c r="B341" s="14" t="n">
        <v>-2400</v>
      </c>
    </row>
    <row r="342">
      <c r="A342" t="inlineStr">
        <is>
          <t>Technician hours</t>
        </is>
      </c>
      <c r="B342" s="18" t="n">
        <v>117</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Installation J-2542</t>
        </is>
      </c>
    </row>
    <row r="350">
      <c r="A350" s="13" t="inlineStr">
        <is>
          <t>Job gross margin ÷ revenue for this job (before overheads)</t>
        </is>
      </c>
    </row>
    <row r="351">
      <c r="A351" s="7" t="inlineStr"/>
      <c r="B351" s="8" t="inlineStr">
        <is>
          <t>This job</t>
        </is>
      </c>
    </row>
    <row r="352">
      <c r="A352" t="inlineStr">
        <is>
          <t>Revenue</t>
        </is>
      </c>
      <c r="B352" s="14" t="n">
        <v>32700</v>
      </c>
    </row>
    <row r="353">
      <c r="A353" t="inlineStr">
        <is>
          <t>Materials</t>
        </is>
      </c>
      <c r="B353" s="14" t="n">
        <v>-11000</v>
      </c>
    </row>
    <row r="354">
      <c r="A354" t="inlineStr">
        <is>
          <t>Subcontractors</t>
        </is>
      </c>
      <c r="B354" s="14" t="n">
        <v>-2300</v>
      </c>
    </row>
    <row r="355">
      <c r="A355" t="inlineStr">
        <is>
          <t>Technician hours</t>
        </is>
      </c>
      <c r="B355" s="18" t="n">
        <v>112</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Installation J-2541</t>
        </is>
      </c>
    </row>
    <row r="363">
      <c r="A363" s="13" t="inlineStr">
        <is>
          <t>Job gross margin ÷ revenue for this job (before overheads)</t>
        </is>
      </c>
    </row>
    <row r="364">
      <c r="A364" s="7" t="inlineStr"/>
      <c r="B364" s="8" t="inlineStr">
        <is>
          <t>This job</t>
        </is>
      </c>
    </row>
    <row r="365">
      <c r="A365" t="inlineStr">
        <is>
          <t>Revenue</t>
        </is>
      </c>
      <c r="B365" s="14" t="n">
        <v>38800</v>
      </c>
    </row>
    <row r="366">
      <c r="A366" t="inlineStr">
        <is>
          <t>Materials</t>
        </is>
      </c>
      <c r="B366" s="14" t="n">
        <v>-13100</v>
      </c>
    </row>
    <row r="367">
      <c r="A367" t="inlineStr">
        <is>
          <t>Subcontractors</t>
        </is>
      </c>
      <c r="B367" s="14" t="n">
        <v>-2700</v>
      </c>
    </row>
    <row r="368">
      <c r="A368" t="inlineStr">
        <is>
          <t>Technician hours</t>
        </is>
      </c>
      <c r="B368" s="18" t="n">
        <v>133</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Installation J-2543</t>
        </is>
      </c>
    </row>
    <row r="376">
      <c r="A376" s="13" t="inlineStr">
        <is>
          <t>Job gross margin ÷ revenue for this job (before overheads)</t>
        </is>
      </c>
    </row>
    <row r="377">
      <c r="A377" s="7" t="inlineStr"/>
      <c r="B377" s="8" t="inlineStr">
        <is>
          <t>This job</t>
        </is>
      </c>
    </row>
    <row r="378">
      <c r="A378" t="inlineStr">
        <is>
          <t>Revenue</t>
        </is>
      </c>
      <c r="B378" s="14" t="n">
        <v>37300</v>
      </c>
    </row>
    <row r="379">
      <c r="A379" t="inlineStr">
        <is>
          <t>Materials</t>
        </is>
      </c>
      <c r="B379" s="14" t="n">
        <v>-12600</v>
      </c>
    </row>
    <row r="380">
      <c r="A380" t="inlineStr">
        <is>
          <t>Subcontractors</t>
        </is>
      </c>
      <c r="B380" s="14" t="n">
        <v>-2600</v>
      </c>
    </row>
    <row r="381">
      <c r="A381" t="inlineStr">
        <is>
          <t>Technician hours</t>
        </is>
      </c>
      <c r="B381" s="18" t="n">
        <v>128</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Trades, Call-outs and repairs: gross margin, July and June</t>
        </is>
      </c>
    </row>
    <row r="389">
      <c r="A389" s="13" t="inlineStr">
        <is>
          <t>Revenue less direct cost, over revenue. Before overheads.</t>
        </is>
      </c>
    </row>
    <row r="390">
      <c r="A390" s="7" t="inlineStr"/>
      <c r="B390" s="8" t="inlineStr">
        <is>
          <t>Jul 26</t>
        </is>
      </c>
      <c r="C390" s="8" t="inlineStr">
        <is>
          <t>Jun 26</t>
        </is>
      </c>
    </row>
    <row r="391">
      <c r="A391" t="inlineStr">
        <is>
          <t>Revenue</t>
        </is>
      </c>
      <c r="B391" s="14" t="n">
        <v>27260</v>
      </c>
      <c r="C391" s="14" t="n">
        <v>32082</v>
      </c>
    </row>
    <row r="392">
      <c r="A392" t="inlineStr">
        <is>
          <t>Direct cost</t>
        </is>
      </c>
      <c r="B392" s="14" t="n">
        <v>14220</v>
      </c>
      <c r="C392" s="14" t="n">
        <v>16324</v>
      </c>
    </row>
    <row r="393">
      <c r="A393" t="inlineStr">
        <is>
          <t>Gross margin</t>
        </is>
      </c>
      <c r="B393" s="14">
        <f>B391-B392</f>
        <v/>
      </c>
      <c r="C393" s="14">
        <f>C391-C392</f>
        <v/>
      </c>
    </row>
    <row r="394">
      <c r="A394" s="16" t="inlineStr">
        <is>
          <t>Gross margin %</t>
        </is>
      </c>
      <c r="B394" s="17">
        <f>B393/B391</f>
        <v/>
      </c>
      <c r="C394" s="17">
        <f>C393/C391</f>
        <v/>
      </c>
    </row>
    <row r="395"/>
    <row r="396"/>
    <row r="397">
      <c r="A397" s="6" t="inlineStr">
        <is>
          <t>Trades, Call-outs and repairs: gross margin, July and June</t>
        </is>
      </c>
    </row>
    <row r="398">
      <c r="A398" s="13" t="inlineStr">
        <is>
          <t>Revenue less direct cost, over revenue. Before overheads.</t>
        </is>
      </c>
    </row>
    <row r="399">
      <c r="A399" s="7" t="inlineStr"/>
      <c r="B399" s="8" t="inlineStr">
        <is>
          <t>Jul 26</t>
        </is>
      </c>
      <c r="C399" s="8" t="inlineStr">
        <is>
          <t>Jun 26</t>
        </is>
      </c>
    </row>
    <row r="400">
      <c r="A400" t="inlineStr">
        <is>
          <t>Revenue</t>
        </is>
      </c>
      <c r="B400" s="14" t="n">
        <v>27260</v>
      </c>
      <c r="C400" s="14" t="n">
        <v>32082</v>
      </c>
    </row>
    <row r="401">
      <c r="A401" t="inlineStr">
        <is>
          <t>Direct cost</t>
        </is>
      </c>
      <c r="B401" s="14" t="n">
        <v>14220</v>
      </c>
      <c r="C401" s="14" t="n">
        <v>16324</v>
      </c>
    </row>
    <row r="402">
      <c r="A402" t="inlineStr">
        <is>
          <t>Gross margin</t>
        </is>
      </c>
      <c r="B402" s="14">
        <f>B400-B401</f>
        <v/>
      </c>
      <c r="C402" s="14">
        <f>C400-C401</f>
        <v/>
      </c>
    </row>
    <row r="403">
      <c r="A403" s="16" t="inlineStr">
        <is>
          <t>Gross margin %</t>
        </is>
      </c>
      <c r="B403" s="17">
        <f>B402/B400</f>
        <v/>
      </c>
      <c r="C403" s="17">
        <f>C402/C400</f>
        <v/>
      </c>
    </row>
    <row r="404"/>
    <row r="405"/>
    <row r="406">
      <c r="A406" s="6" t="inlineStr">
        <is>
          <t>Trades: From gross margin to profit, July 2026</t>
        </is>
      </c>
    </row>
    <row r="407">
      <c r="A407" s="13" t="inlineStr">
        <is>
          <t>Gross margin on the work − time not charged − overheads = profit before tax</t>
        </is>
      </c>
    </row>
    <row r="408">
      <c r="A408" s="7" t="inlineStr"/>
      <c r="B408" s="8" t="inlineStr">
        <is>
          <t>Jul 2026</t>
        </is>
      </c>
    </row>
    <row r="409">
      <c r="A409" t="inlineStr">
        <is>
          <t>Gross margin on jobs</t>
        </is>
      </c>
      <c r="B409" s="14" t="n">
        <v>93486</v>
      </c>
    </row>
    <row r="410">
      <c r="A410" t="inlineStr">
        <is>
          <t>Technician wages and on-costs</t>
        </is>
      </c>
      <c r="B410" s="14" t="n">
        <v>83205</v>
      </c>
    </row>
    <row r="411">
      <c r="A411" t="inlineStr">
        <is>
          <t>Technician time charged to jobs (at cost)</t>
        </is>
      </c>
      <c r="B411" s="14" t="n">
        <v>56814</v>
      </c>
    </row>
    <row r="412">
      <c r="A412" t="inlineStr">
        <is>
          <t>Technician time not charged to jobs</t>
        </is>
      </c>
      <c r="B412" s="14">
        <f>B410-B411</f>
        <v/>
      </c>
    </row>
    <row r="413">
      <c r="A413" t="inlineStr">
        <is>
          <t>Gross profit (the P&amp;L)</t>
        </is>
      </c>
      <c r="B413" s="14">
        <f>B409-B412</f>
        <v/>
      </c>
    </row>
    <row r="414">
      <c r="A414" t="inlineStr">
        <is>
          <t>Overheads (operating expenses, depreciation, interest)</t>
        </is>
      </c>
      <c r="B414" s="14" t="n">
        <v>59440</v>
      </c>
    </row>
    <row r="415">
      <c r="A415" t="inlineStr">
        <is>
          <t>Profit before tax (the P&amp;L)</t>
        </is>
      </c>
      <c r="B415" s="14">
        <f>B413-B414</f>
        <v/>
      </c>
    </row>
    <row r="416">
      <c r="A416" t="inlineStr">
        <is>
          <t>Revenue</t>
        </is>
      </c>
      <c r="B416" s="14" t="n">
        <v>215610</v>
      </c>
    </row>
    <row r="417">
      <c r="A417" t="inlineStr">
        <is>
          <t>Gross margin on jobs, %</t>
        </is>
      </c>
      <c r="B417" s="15">
        <f>B409/B416</f>
        <v/>
      </c>
    </row>
    <row r="418">
      <c r="A418" t="inlineStr">
        <is>
          <t>Profit before tax, % of revenue</t>
        </is>
      </c>
      <c r="B418" s="15">
        <f>B415/B416</f>
        <v/>
      </c>
    </row>
    <row r="419">
      <c r="A419" s="16" t="inlineStr">
        <is>
          <t>Gross margin jobs need just to cover overheads and time not charged</t>
        </is>
      </c>
      <c r="B419" s="17">
        <f>(B412+B414)/B416</f>
        <v/>
      </c>
    </row>
    <row r="420">
      <c r="A420" s="2" t="inlineStr">
        <is>
          <t>Ties to the July 2026 P&amp;L (locked). Wages include their on-costs: super (12%) and leave as it's earned. No payroll tax: wages are under Queensland's $1.3 million threshold.</t>
        </is>
      </c>
    </row>
    <row r="421"/>
    <row r="422"/>
    <row r="423">
      <c r="A423" s="6" t="inlineStr">
        <is>
          <t>Call-out revenue, July</t>
        </is>
      </c>
    </row>
    <row r="424">
      <c r="A424" s="13" t="inlineStr">
        <is>
          <t>Technician time charged at $163/hour + materials charged at cost × 1.3</t>
        </is>
      </c>
    </row>
    <row r="425">
      <c r="A425" s="7" t="inlineStr"/>
      <c r="B425" s="8" t="inlineStr">
        <is>
          <t>Jul 2026</t>
        </is>
      </c>
    </row>
    <row r="426">
      <c r="A426" t="inlineStr">
        <is>
          <t>Technician time charged ($163/hour)</t>
        </is>
      </c>
      <c r="B426" s="14" t="n">
        <v>19161</v>
      </c>
    </row>
    <row r="427">
      <c r="A427" t="inlineStr">
        <is>
          <t>Materials at cost</t>
        </is>
      </c>
      <c r="B427" s="14" t="n">
        <v>6230</v>
      </c>
    </row>
    <row r="428">
      <c r="A428" t="inlineStr">
        <is>
          <t>Mark-up on materials</t>
        </is>
      </c>
      <c r="B428" s="15" t="n">
        <v>0.3</v>
      </c>
    </row>
    <row r="429">
      <c r="A429" t="inlineStr">
        <is>
          <t>Materials charged (cost × 1.3)</t>
        </is>
      </c>
      <c r="B429" s="14">
        <f>B427*(1+B428)</f>
        <v/>
      </c>
    </row>
    <row r="430">
      <c r="A430" t="inlineStr">
        <is>
          <t>Materials charged (as invoiced, rounded per call-out)</t>
        </is>
      </c>
      <c r="B430" s="14" t="n">
        <v>8099</v>
      </c>
    </row>
    <row r="431">
      <c r="A431" t="inlineStr">
        <is>
          <t>Call-out revenue</t>
        </is>
      </c>
      <c r="B431" s="14">
        <f>B426+B430</f>
        <v/>
      </c>
    </row>
    <row r="432">
      <c r="A432" s="16" t="inlineStr">
        <is>
          <t>Technician time, % of call-out revenue</t>
        </is>
      </c>
      <c r="B432" s="17">
        <f>B426/B431</f>
        <v/>
      </c>
    </row>
    <row r="433"/>
    <row r="434"/>
    <row r="435">
      <c r="A435" s="6" t="inlineStr">
        <is>
          <t>Call-out revenue, July</t>
        </is>
      </c>
    </row>
    <row r="436">
      <c r="A436" s="13" t="inlineStr">
        <is>
          <t>Technician time charged at $163/hour + materials charged at cost × 1.3</t>
        </is>
      </c>
    </row>
    <row r="437">
      <c r="A437" s="7" t="inlineStr"/>
      <c r="B437" s="8" t="inlineStr">
        <is>
          <t>Jul 2026</t>
        </is>
      </c>
    </row>
    <row r="438">
      <c r="A438" t="inlineStr">
        <is>
          <t>Technician time charged ($163/hour)</t>
        </is>
      </c>
      <c r="B438" s="14" t="n">
        <v>19161</v>
      </c>
    </row>
    <row r="439">
      <c r="A439" t="inlineStr">
        <is>
          <t>Materials at cost</t>
        </is>
      </c>
      <c r="B439" s="14" t="n">
        <v>6230</v>
      </c>
    </row>
    <row r="440">
      <c r="A440" t="inlineStr">
        <is>
          <t>Mark-up on materials</t>
        </is>
      </c>
      <c r="B440" s="15" t="n">
        <v>0.3</v>
      </c>
    </row>
    <row r="441">
      <c r="A441" t="inlineStr">
        <is>
          <t>Materials charged (cost × 1.3)</t>
        </is>
      </c>
      <c r="B441" s="14">
        <f>B439*(1+B440)</f>
        <v/>
      </c>
    </row>
    <row r="442">
      <c r="A442" t="inlineStr">
        <is>
          <t>Materials charged (as invoiced, rounded per call-out)</t>
        </is>
      </c>
      <c r="B442" s="14" t="n">
        <v>8099</v>
      </c>
    </row>
    <row r="443">
      <c r="A443" t="inlineStr">
        <is>
          <t>Call-out revenue</t>
        </is>
      </c>
      <c r="B443" s="14">
        <f>B438+B442</f>
        <v/>
      </c>
    </row>
    <row r="444">
      <c r="A444" s="16" t="inlineStr">
        <is>
          <t>Technician time, % of call-out revenue</t>
        </is>
      </c>
      <c r="B444" s="17">
        <f>B438/B443</f>
        <v/>
      </c>
    </row>
    <row r="445"/>
    <row r="446"/>
    <row r="447">
      <c r="A447" s="6" t="inlineStr">
        <is>
          <t>1-hour call-outs (8)</t>
        </is>
      </c>
    </row>
    <row r="448">
      <c r="A448" s="13" t="inlineStr">
        <is>
          <t>Call-outs of this length in July, added together</t>
        </is>
      </c>
    </row>
    <row r="449">
      <c r="A449" s="7" t="inlineStr"/>
      <c r="B449" s="8" t="inlineStr">
        <is>
          <t>Jul 2026</t>
        </is>
      </c>
    </row>
    <row r="450">
      <c r="A450" t="inlineStr">
        <is>
          <t>Call-outs</t>
        </is>
      </c>
      <c r="B450" s="14" t="n">
        <v>8</v>
      </c>
    </row>
    <row r="451">
      <c r="A451" t="inlineStr">
        <is>
          <t>Technician time charged ($163/hour)</t>
        </is>
      </c>
      <c r="B451" s="14" t="n">
        <v>1304</v>
      </c>
    </row>
    <row r="452">
      <c r="A452" t="inlineStr">
        <is>
          <t>Materials charged (cost × 1.3)</t>
        </is>
      </c>
      <c r="B452" s="14" t="n">
        <v>1339</v>
      </c>
    </row>
    <row r="453">
      <c r="A453" t="inlineStr">
        <is>
          <t>Revenue</t>
        </is>
      </c>
      <c r="B453" s="14">
        <f>B451+B452</f>
        <v/>
      </c>
    </row>
    <row r="454">
      <c r="A454" t="inlineStr">
        <is>
          <t>Materials at cost</t>
        </is>
      </c>
      <c r="B454" s="14" t="n">
        <v>-1030</v>
      </c>
    </row>
    <row r="455">
      <c r="A455" t="inlineStr">
        <is>
          <t>Technician time at cost</t>
        </is>
      </c>
      <c r="B455" s="14" t="n">
        <v>-544</v>
      </c>
    </row>
    <row r="456">
      <c r="A456" t="inlineStr">
        <is>
          <t>Job gross margin</t>
        </is>
      </c>
      <c r="B456" s="14">
        <f>B453+B454+B455</f>
        <v/>
      </c>
    </row>
    <row r="457">
      <c r="A457" s="16" t="inlineStr">
        <is>
          <t>Job gross margin %</t>
        </is>
      </c>
      <c r="B457" s="17">
        <f>B456/B453</f>
        <v/>
      </c>
    </row>
    <row r="458"/>
    <row r="459"/>
    <row r="460">
      <c r="A460" s="6" t="inlineStr">
        <is>
          <t>1.5-hour call-outs (10)</t>
        </is>
      </c>
    </row>
    <row r="461">
      <c r="A461" s="13" t="inlineStr">
        <is>
          <t>Call-outs of this length in July, added together</t>
        </is>
      </c>
    </row>
    <row r="462">
      <c r="A462" s="7" t="inlineStr"/>
      <c r="B462" s="8" t="inlineStr">
        <is>
          <t>Jul 2026</t>
        </is>
      </c>
    </row>
    <row r="463">
      <c r="A463" t="inlineStr">
        <is>
          <t>Call-outs</t>
        </is>
      </c>
      <c r="B463" s="14" t="n">
        <v>10</v>
      </c>
    </row>
    <row r="464">
      <c r="A464" t="inlineStr">
        <is>
          <t>Technician time charged ($163/hour)</t>
        </is>
      </c>
      <c r="B464" s="14" t="n">
        <v>2450</v>
      </c>
    </row>
    <row r="465">
      <c r="A465" t="inlineStr">
        <is>
          <t>Materials charged (cost × 1.3)</t>
        </is>
      </c>
      <c r="B465" s="14" t="n">
        <v>1495</v>
      </c>
    </row>
    <row r="466">
      <c r="A466" t="inlineStr">
        <is>
          <t>Revenue</t>
        </is>
      </c>
      <c r="B466" s="14">
        <f>B464+B465</f>
        <v/>
      </c>
    </row>
    <row r="467">
      <c r="A467" t="inlineStr">
        <is>
          <t>Materials at cost</t>
        </is>
      </c>
      <c r="B467" s="14" t="n">
        <v>-1150</v>
      </c>
    </row>
    <row r="468">
      <c r="A468" t="inlineStr">
        <is>
          <t>Technician time at cost</t>
        </is>
      </c>
      <c r="B468" s="14" t="n">
        <v>-1020</v>
      </c>
    </row>
    <row r="469">
      <c r="A469" t="inlineStr">
        <is>
          <t>Job gross margin</t>
        </is>
      </c>
      <c r="B469" s="14">
        <f>B466+B467+B468</f>
        <v/>
      </c>
    </row>
    <row r="470">
      <c r="A470" s="16" t="inlineStr">
        <is>
          <t>Job gross margin %</t>
        </is>
      </c>
      <c r="B470" s="17">
        <f>B469/B466</f>
        <v/>
      </c>
    </row>
    <row r="471"/>
    <row r="472"/>
    <row r="473">
      <c r="A473" s="6" t="inlineStr">
        <is>
          <t>2-hour call-outs (15)</t>
        </is>
      </c>
    </row>
    <row r="474">
      <c r="A474" s="13" t="inlineStr">
        <is>
          <t>Call-outs of this length in July, added together</t>
        </is>
      </c>
    </row>
    <row r="475">
      <c r="A475" s="7" t="inlineStr"/>
      <c r="B475" s="8" t="inlineStr">
        <is>
          <t>Jul 2026</t>
        </is>
      </c>
    </row>
    <row r="476">
      <c r="A476" t="inlineStr">
        <is>
          <t>Call-outs</t>
        </is>
      </c>
      <c r="B476" s="14" t="n">
        <v>15</v>
      </c>
    </row>
    <row r="477">
      <c r="A477" t="inlineStr">
        <is>
          <t>Technician time charged ($163/hour)</t>
        </is>
      </c>
      <c r="B477" s="14" t="n">
        <v>4890</v>
      </c>
    </row>
    <row r="478">
      <c r="A478" t="inlineStr">
        <is>
          <t>Materials charged (cost × 1.3)</t>
        </is>
      </c>
      <c r="B478" s="14" t="n">
        <v>1807</v>
      </c>
    </row>
    <row r="479">
      <c r="A479" t="inlineStr">
        <is>
          <t>Revenue</t>
        </is>
      </c>
      <c r="B479" s="14">
        <f>B477+B478</f>
        <v/>
      </c>
    </row>
    <row r="480">
      <c r="A480" t="inlineStr">
        <is>
          <t>Materials at cost</t>
        </is>
      </c>
      <c r="B480" s="14" t="n">
        <v>-1390</v>
      </c>
    </row>
    <row r="481">
      <c r="A481" t="inlineStr">
        <is>
          <t>Technician time at cost</t>
        </is>
      </c>
      <c r="B481" s="14" t="n">
        <v>-2040</v>
      </c>
    </row>
    <row r="482">
      <c r="A482" t="inlineStr">
        <is>
          <t>Job gross margin</t>
        </is>
      </c>
      <c r="B482" s="14">
        <f>B479+B480+B481</f>
        <v/>
      </c>
    </row>
    <row r="483">
      <c r="A483" s="16" t="inlineStr">
        <is>
          <t>Job gross margin %</t>
        </is>
      </c>
      <c r="B483" s="17">
        <f>B482/B479</f>
        <v/>
      </c>
    </row>
    <row r="484"/>
    <row r="485"/>
    <row r="486">
      <c r="A486" s="6" t="inlineStr">
        <is>
          <t>2.5-hour call-outs (7)</t>
        </is>
      </c>
    </row>
    <row r="487">
      <c r="A487" s="13" t="inlineStr">
        <is>
          <t>Call-outs of this length in July, added together</t>
        </is>
      </c>
    </row>
    <row r="488">
      <c r="A488" s="7" t="inlineStr"/>
      <c r="B488" s="8" t="inlineStr">
        <is>
          <t>Jul 2026</t>
        </is>
      </c>
    </row>
    <row r="489">
      <c r="A489" t="inlineStr">
        <is>
          <t>Call-outs</t>
        </is>
      </c>
      <c r="B489" s="14" t="n">
        <v>7</v>
      </c>
    </row>
    <row r="490">
      <c r="A490" t="inlineStr">
        <is>
          <t>Technician time charged ($163/hour)</t>
        </is>
      </c>
      <c r="B490" s="14" t="n">
        <v>2856</v>
      </c>
    </row>
    <row r="491">
      <c r="A491" t="inlineStr">
        <is>
          <t>Materials charged (cost × 1.3)</t>
        </is>
      </c>
      <c r="B491" s="14" t="n">
        <v>988</v>
      </c>
    </row>
    <row r="492">
      <c r="A492" t="inlineStr">
        <is>
          <t>Revenue</t>
        </is>
      </c>
      <c r="B492" s="14">
        <f>B490+B491</f>
        <v/>
      </c>
    </row>
    <row r="493">
      <c r="A493" t="inlineStr">
        <is>
          <t>Materials at cost</t>
        </is>
      </c>
      <c r="B493" s="14" t="n">
        <v>-760</v>
      </c>
    </row>
    <row r="494">
      <c r="A494" t="inlineStr">
        <is>
          <t>Technician time at cost</t>
        </is>
      </c>
      <c r="B494" s="14" t="n">
        <v>-1190</v>
      </c>
    </row>
    <row r="495">
      <c r="A495" t="inlineStr">
        <is>
          <t>Job gross margin</t>
        </is>
      </c>
      <c r="B495" s="14">
        <f>B492+B493+B494</f>
        <v/>
      </c>
    </row>
    <row r="496">
      <c r="A496" s="16" t="inlineStr">
        <is>
          <t>Job gross margin %</t>
        </is>
      </c>
      <c r="B496" s="17">
        <f>B495/B492</f>
        <v/>
      </c>
    </row>
    <row r="497"/>
    <row r="498"/>
    <row r="499">
      <c r="A499" s="6" t="inlineStr">
        <is>
          <t>3-hour call-outs (9)</t>
        </is>
      </c>
    </row>
    <row r="500">
      <c r="A500" s="13" t="inlineStr">
        <is>
          <t>Call-outs of this length in July, added together</t>
        </is>
      </c>
    </row>
    <row r="501">
      <c r="A501" s="7" t="inlineStr"/>
      <c r="B501" s="8" t="inlineStr">
        <is>
          <t>Jul 2026</t>
        </is>
      </c>
    </row>
    <row r="502">
      <c r="A502" t="inlineStr">
        <is>
          <t>Call-outs</t>
        </is>
      </c>
      <c r="B502" s="14" t="n">
        <v>9</v>
      </c>
    </row>
    <row r="503">
      <c r="A503" t="inlineStr">
        <is>
          <t>Technician time charged ($163/hour)</t>
        </is>
      </c>
      <c r="B503" s="14" t="n">
        <v>4401</v>
      </c>
    </row>
    <row r="504">
      <c r="A504" t="inlineStr">
        <is>
          <t>Materials charged (cost × 1.3)</t>
        </is>
      </c>
      <c r="B504" s="14" t="n">
        <v>1495</v>
      </c>
    </row>
    <row r="505">
      <c r="A505" t="inlineStr">
        <is>
          <t>Revenue</t>
        </is>
      </c>
      <c r="B505" s="14">
        <f>B503+B504</f>
        <v/>
      </c>
    </row>
    <row r="506">
      <c r="A506" t="inlineStr">
        <is>
          <t>Materials at cost</t>
        </is>
      </c>
      <c r="B506" s="14" t="n">
        <v>-1150</v>
      </c>
    </row>
    <row r="507">
      <c r="A507" t="inlineStr">
        <is>
          <t>Technician time at cost</t>
        </is>
      </c>
      <c r="B507" s="14" t="n">
        <v>-1836</v>
      </c>
    </row>
    <row r="508">
      <c r="A508" t="inlineStr">
        <is>
          <t>Job gross margin</t>
        </is>
      </c>
      <c r="B508" s="14">
        <f>B505+B506+B507</f>
        <v/>
      </c>
    </row>
    <row r="509">
      <c r="A509" s="16" t="inlineStr">
        <is>
          <t>Job gross margin %</t>
        </is>
      </c>
      <c r="B509" s="17">
        <f>B508/B505</f>
        <v/>
      </c>
    </row>
    <row r="510"/>
    <row r="511"/>
    <row r="512">
      <c r="A512" s="6" t="inlineStr">
        <is>
          <t>4-hour call-outs (5)</t>
        </is>
      </c>
    </row>
    <row r="513">
      <c r="A513" s="13" t="inlineStr">
        <is>
          <t>Call-outs of this length in July, added together</t>
        </is>
      </c>
    </row>
    <row r="514">
      <c r="A514" s="7" t="inlineStr"/>
      <c r="B514" s="8" t="inlineStr">
        <is>
          <t>Jul 2026</t>
        </is>
      </c>
    </row>
    <row r="515">
      <c r="A515" t="inlineStr">
        <is>
          <t>Call-outs</t>
        </is>
      </c>
      <c r="B515" s="14" t="n">
        <v>5</v>
      </c>
    </row>
    <row r="516">
      <c r="A516" t="inlineStr">
        <is>
          <t>Technician time charged ($163/hour)</t>
        </is>
      </c>
      <c r="B516" s="14" t="n">
        <v>3260</v>
      </c>
    </row>
    <row r="517">
      <c r="A517" t="inlineStr">
        <is>
          <t>Materials charged (cost × 1.3)</t>
        </is>
      </c>
      <c r="B517" s="14" t="n">
        <v>975</v>
      </c>
    </row>
    <row r="518">
      <c r="A518" t="inlineStr">
        <is>
          <t>Revenue</t>
        </is>
      </c>
      <c r="B518" s="14">
        <f>B516+B517</f>
        <v/>
      </c>
    </row>
    <row r="519">
      <c r="A519" t="inlineStr">
        <is>
          <t>Materials at cost</t>
        </is>
      </c>
      <c r="B519" s="14" t="n">
        <v>-750</v>
      </c>
    </row>
    <row r="520">
      <c r="A520" t="inlineStr">
        <is>
          <t>Technician time at cost</t>
        </is>
      </c>
      <c r="B520" s="14" t="n">
        <v>-1360</v>
      </c>
    </row>
    <row r="521">
      <c r="A521" t="inlineStr">
        <is>
          <t>Job gross margin</t>
        </is>
      </c>
      <c r="B521" s="14">
        <f>B518+B519+B520</f>
        <v/>
      </c>
    </row>
    <row r="522">
      <c r="A522" s="16" t="inlineStr">
        <is>
          <t>Job gross margin %</t>
        </is>
      </c>
      <c r="B522" s="17">
        <f>B521/B518</f>
        <v/>
      </c>
    </row>
    <row r="523"/>
    <row r="524"/>
    <row r="52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5" min="0" max="16383" man="1"/>
    <brk id="434" min="0" max="16383" man="1"/>
    <brk id="459" min="0" max="16383" man="1"/>
    <brk id="485" min="0" max="16383" man="1"/>
    <brk id="511"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July 2026: Target 35.0%</t>
        </is>
      </c>
    </row>
    <row r="4">
      <c r="B4" t="n">
        <v>0.35</v>
      </c>
      <c r="C4" t="n">
        <v>0</v>
      </c>
    </row>
    <row r="5">
      <c r="B5" t="n">
        <v>0.35</v>
      </c>
      <c r="C5" t="n">
        <v>1</v>
      </c>
    </row>
    <row r="6"/>
    <row r="7">
      <c r="A7" t="inlineStr">
        <is>
          <t>Report: Job gross margin by type of job, July 2026: Break-even 39.8%</t>
        </is>
      </c>
    </row>
    <row r="8">
      <c r="B8" t="n">
        <v>0.398</v>
      </c>
      <c r="C8" t="n">
        <v>0</v>
      </c>
    </row>
    <row r="9">
      <c r="B9" t="n">
        <v>0.398</v>
      </c>
      <c r="C9" t="n">
        <v>1</v>
      </c>
    </row>
    <row r="10"/>
    <row r="11">
      <c r="A11" t="inlineStr">
        <is>
          <t>Report: Job gross margin on each maintenance contract, July 2026: Target 35.0%</t>
        </is>
      </c>
    </row>
    <row r="12">
      <c r="B12" t="n">
        <v>0.35</v>
      </c>
      <c r="C12" t="n">
        <v>0</v>
      </c>
    </row>
    <row r="13">
      <c r="B13" t="n">
        <v>0.35</v>
      </c>
      <c r="C13" t="n">
        <v>1</v>
      </c>
    </row>
    <row r="14"/>
    <row r="15">
      <c r="A15" t="inlineStr">
        <is>
          <t>Report: Job gross margin on each maintenance contract, July 2026: Break-even 39.8%</t>
        </is>
      </c>
    </row>
    <row r="16">
      <c r="B16" t="n">
        <v>0.398</v>
      </c>
      <c r="C16" t="n">
        <v>0</v>
      </c>
    </row>
    <row r="17">
      <c r="B17" t="n">
        <v>0.398</v>
      </c>
      <c r="C17" t="n">
        <v>1</v>
      </c>
    </row>
    <row r="18"/>
    <row r="19">
      <c r="A19" t="inlineStr">
        <is>
          <t>Report: Job gross margin on each installation invoiced in July 2026: Target 35.0%</t>
        </is>
      </c>
    </row>
    <row r="20">
      <c r="B20" t="n">
        <v>0.35</v>
      </c>
      <c r="C20" t="n">
        <v>0</v>
      </c>
    </row>
    <row r="21">
      <c r="B21" t="n">
        <v>0.35</v>
      </c>
      <c r="C21" t="n">
        <v>1</v>
      </c>
    </row>
    <row r="22"/>
    <row r="23">
      <c r="A23" t="inlineStr">
        <is>
          <t>Report: Job gross margin on each installation invoiced in July 2026: Break-even 39.8%</t>
        </is>
      </c>
    </row>
    <row r="24">
      <c r="B24" t="n">
        <v>0.398</v>
      </c>
      <c r="C24" t="n">
        <v>0</v>
      </c>
    </row>
    <row r="25">
      <c r="B25" t="n">
        <v>0.398</v>
      </c>
      <c r="C25" t="n">
        <v>1</v>
      </c>
    </row>
    <row r="26"/>
    <row r="27">
      <c r="A27" t="inlineStr">
        <is>
          <t>Report: Job gross margin on call-outs by length, July 2026: Target 35.0%</t>
        </is>
      </c>
    </row>
    <row r="28">
      <c r="B28" t="n">
        <v>0.35</v>
      </c>
      <c r="C28" t="n">
        <v>0</v>
      </c>
    </row>
    <row r="29">
      <c r="B29" t="n">
        <v>0.35</v>
      </c>
      <c r="C29" t="n">
        <v>1</v>
      </c>
    </row>
    <row r="30"/>
    <row r="31">
      <c r="A31" t="inlineStr">
        <is>
          <t>Report: Job gross margin on call-outs by length, July 2026: Break-even 39.8%</t>
        </is>
      </c>
    </row>
    <row r="32">
      <c r="B32" t="n">
        <v>0.398</v>
      </c>
      <c r="C32" t="n">
        <v>0</v>
      </c>
    </row>
    <row r="33">
      <c r="B33" t="n">
        <v>0.398</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9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July 2026 · Data status: Jul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All</t>
        </is>
      </c>
      <c r="B26" s="19" t="inlineStr">
        <is>
          <t>Jun 26</t>
        </is>
      </c>
      <c r="C26" s="19" t="inlineStr">
        <is>
          <t>Locked</t>
        </is>
      </c>
      <c r="D26" s="14" t="n">
        <v>193032</v>
      </c>
      <c r="E26" s="14" t="n">
        <v>106500</v>
      </c>
      <c r="F26" s="14">
        <f>D26-E26</f>
        <v/>
      </c>
      <c r="G26" s="15">
        <f>IF(D26=0,"",F26/D26)</f>
        <v/>
      </c>
    </row>
    <row r="27">
      <c r="A27" s="19" t="inlineStr">
        <is>
          <t>All</t>
        </is>
      </c>
      <c r="B27" s="19" t="inlineStr">
        <is>
          <t>Jul 26</t>
        </is>
      </c>
      <c r="C27" s="19" t="inlineStr">
        <is>
          <t>Locked</t>
        </is>
      </c>
      <c r="D27" s="14" t="n">
        <v>215610</v>
      </c>
      <c r="E27" s="14" t="n">
        <v>122124</v>
      </c>
      <c r="F27" s="14">
        <f>D27-E27</f>
        <v/>
      </c>
      <c r="G27" s="15">
        <f>IF(D27=0,"",F27/D27)</f>
        <v/>
      </c>
    </row>
    <row r="28">
      <c r="A28" s="19" t="inlineStr">
        <is>
          <t>Maintenance contracts</t>
        </is>
      </c>
      <c r="B28" s="19" t="inlineStr">
        <is>
          <t>Oct 24</t>
        </is>
      </c>
      <c r="C28" s="19" t="inlineStr">
        <is>
          <t>Locked</t>
        </is>
      </c>
      <c r="D28" s="14" t="n">
        <v>27650</v>
      </c>
      <c r="E28" s="14" t="n">
        <v>10420</v>
      </c>
      <c r="F28" s="14">
        <f>D28-E28</f>
        <v/>
      </c>
      <c r="G28" s="15">
        <f>IF(D28=0,"",F28/D28)</f>
        <v/>
      </c>
    </row>
    <row r="29">
      <c r="A29" s="19" t="inlineStr">
        <is>
          <t>Maintenance contracts</t>
        </is>
      </c>
      <c r="B29" s="19" t="inlineStr">
        <is>
          <t>Nov 24</t>
        </is>
      </c>
      <c r="C29" s="19" t="inlineStr">
        <is>
          <t>Locked</t>
        </is>
      </c>
      <c r="D29" s="14" t="n">
        <v>27650</v>
      </c>
      <c r="E29" s="14" t="n">
        <v>10420</v>
      </c>
      <c r="F29" s="14">
        <f>D29-E29</f>
        <v/>
      </c>
      <c r="G29" s="15">
        <f>IF(D29=0,"",F29/D29)</f>
        <v/>
      </c>
    </row>
    <row r="30">
      <c r="A30" s="19" t="inlineStr">
        <is>
          <t>Maintenance contracts</t>
        </is>
      </c>
      <c r="B30" s="19" t="inlineStr">
        <is>
          <t>Dec 24</t>
        </is>
      </c>
      <c r="C30" s="19" t="inlineStr">
        <is>
          <t>Locked</t>
        </is>
      </c>
      <c r="D30" s="14" t="n">
        <v>27650</v>
      </c>
      <c r="E30" s="14" t="n">
        <v>10420</v>
      </c>
      <c r="F30" s="14">
        <f>D30-E30</f>
        <v/>
      </c>
      <c r="G30" s="15">
        <f>IF(D30=0,"",F30/D30)</f>
        <v/>
      </c>
    </row>
    <row r="31">
      <c r="A31" s="19" t="inlineStr">
        <is>
          <t>Maintenance contracts</t>
        </is>
      </c>
      <c r="B31" s="19" t="inlineStr">
        <is>
          <t>Jan 25</t>
        </is>
      </c>
      <c r="C31" s="19" t="inlineStr">
        <is>
          <t>Locked</t>
        </is>
      </c>
      <c r="D31" s="14" t="n">
        <v>27650</v>
      </c>
      <c r="E31" s="14" t="n">
        <v>10420</v>
      </c>
      <c r="F31" s="14">
        <f>D31-E31</f>
        <v/>
      </c>
      <c r="G31" s="15">
        <f>IF(D31=0,"",F31/D31)</f>
        <v/>
      </c>
    </row>
    <row r="32">
      <c r="A32" s="19" t="inlineStr">
        <is>
          <t>Maintenance contracts</t>
        </is>
      </c>
      <c r="B32" s="19" t="inlineStr">
        <is>
          <t>Feb 25</t>
        </is>
      </c>
      <c r="C32" s="19" t="inlineStr">
        <is>
          <t>Locked</t>
        </is>
      </c>
      <c r="D32" s="14" t="n">
        <v>31300</v>
      </c>
      <c r="E32" s="14" t="n">
        <v>11782</v>
      </c>
      <c r="F32" s="14">
        <f>D32-E32</f>
        <v/>
      </c>
      <c r="G32" s="15">
        <f>IF(D32=0,"",F32/D32)</f>
        <v/>
      </c>
    </row>
    <row r="33">
      <c r="A33" s="19" t="inlineStr">
        <is>
          <t>Maintenance contracts</t>
        </is>
      </c>
      <c r="B33" s="19" t="inlineStr">
        <is>
          <t>Mar 25</t>
        </is>
      </c>
      <c r="C33" s="19" t="inlineStr">
        <is>
          <t>Locked</t>
        </is>
      </c>
      <c r="D33" s="14" t="n">
        <v>31300</v>
      </c>
      <c r="E33" s="14" t="n">
        <v>11782</v>
      </c>
      <c r="F33" s="14">
        <f>D33-E33</f>
        <v/>
      </c>
      <c r="G33" s="15">
        <f>IF(D33=0,"",F33/D33)</f>
        <v/>
      </c>
    </row>
    <row r="34">
      <c r="A34" s="19" t="inlineStr">
        <is>
          <t>Maintenance contracts</t>
        </is>
      </c>
      <c r="B34" s="19" t="inlineStr">
        <is>
          <t>Apr 25</t>
        </is>
      </c>
      <c r="C34" s="19" t="inlineStr">
        <is>
          <t>Locked</t>
        </is>
      </c>
      <c r="D34" s="14" t="n">
        <v>31300</v>
      </c>
      <c r="E34" s="14" t="n">
        <v>11782</v>
      </c>
      <c r="F34" s="14">
        <f>D34-E34</f>
        <v/>
      </c>
      <c r="G34" s="15">
        <f>IF(D34=0,"",F34/D34)</f>
        <v/>
      </c>
    </row>
    <row r="35">
      <c r="A35" s="19" t="inlineStr">
        <is>
          <t>Maintenance contracts</t>
        </is>
      </c>
      <c r="B35" s="19" t="inlineStr">
        <is>
          <t>May 25</t>
        </is>
      </c>
      <c r="C35" s="19" t="inlineStr">
        <is>
          <t>Locked</t>
        </is>
      </c>
      <c r="D35" s="14" t="n">
        <v>31300</v>
      </c>
      <c r="E35" s="14" t="n">
        <v>11782</v>
      </c>
      <c r="F35" s="14">
        <f>D35-E35</f>
        <v/>
      </c>
      <c r="G35" s="15">
        <f>IF(D35=0,"",F35/D35)</f>
        <v/>
      </c>
    </row>
    <row r="36">
      <c r="A36" s="19" t="inlineStr">
        <is>
          <t>Maintenance contracts</t>
        </is>
      </c>
      <c r="B36" s="19" t="inlineStr">
        <is>
          <t>Jun 25</t>
        </is>
      </c>
      <c r="C36" s="19" t="inlineStr">
        <is>
          <t>Locked</t>
        </is>
      </c>
      <c r="D36" s="14" t="n">
        <v>35720</v>
      </c>
      <c r="E36" s="14" t="n">
        <v>13446</v>
      </c>
      <c r="F36" s="14">
        <f>D36-E36</f>
        <v/>
      </c>
      <c r="G36" s="15">
        <f>IF(D36=0,"",F36/D36)</f>
        <v/>
      </c>
    </row>
    <row r="37">
      <c r="A37" s="19" t="inlineStr">
        <is>
          <t>Maintenance contracts</t>
        </is>
      </c>
      <c r="B37" s="19" t="inlineStr">
        <is>
          <t>Jul 25</t>
        </is>
      </c>
      <c r="C37" s="19" t="inlineStr">
        <is>
          <t>Locked</t>
        </is>
      </c>
      <c r="D37" s="14" t="n">
        <v>37200</v>
      </c>
      <c r="E37" s="14" t="n">
        <v>13446</v>
      </c>
      <c r="F37" s="14">
        <f>D37-E37</f>
        <v/>
      </c>
      <c r="G37" s="15">
        <f>IF(D37=0,"",F37/D37)</f>
        <v/>
      </c>
    </row>
    <row r="38">
      <c r="A38" s="19" t="inlineStr">
        <is>
          <t>Maintenance contracts</t>
        </is>
      </c>
      <c r="B38" s="19" t="inlineStr">
        <is>
          <t>Aug 25</t>
        </is>
      </c>
      <c r="C38" s="19" t="inlineStr">
        <is>
          <t>Locked</t>
        </is>
      </c>
      <c r="D38" s="14" t="n">
        <v>37200</v>
      </c>
      <c r="E38" s="14" t="n">
        <v>13446</v>
      </c>
      <c r="F38" s="14">
        <f>D38-E38</f>
        <v/>
      </c>
      <c r="G38" s="15">
        <f>IF(D38=0,"",F38/D38)</f>
        <v/>
      </c>
    </row>
    <row r="39">
      <c r="A39" s="19" t="inlineStr">
        <is>
          <t>Maintenance contracts</t>
        </is>
      </c>
      <c r="B39" s="19" t="inlineStr">
        <is>
          <t>Sep 25</t>
        </is>
      </c>
      <c r="C39" s="19" t="inlineStr">
        <is>
          <t>Locked</t>
        </is>
      </c>
      <c r="D39" s="14" t="n">
        <v>37200</v>
      </c>
      <c r="E39" s="14" t="n">
        <v>13446</v>
      </c>
      <c r="F39" s="14">
        <f>D39-E39</f>
        <v/>
      </c>
      <c r="G39" s="15">
        <f>IF(D39=0,"",F39/D39)</f>
        <v/>
      </c>
    </row>
    <row r="40">
      <c r="A40" s="19" t="inlineStr">
        <is>
          <t>Maintenance contracts</t>
        </is>
      </c>
      <c r="B40" s="19" t="inlineStr">
        <is>
          <t>Oct 25</t>
        </is>
      </c>
      <c r="C40" s="19" t="inlineStr">
        <is>
          <t>Locked</t>
        </is>
      </c>
      <c r="D40" s="14" t="n">
        <v>40100</v>
      </c>
      <c r="E40" s="14" t="n">
        <v>14516</v>
      </c>
      <c r="F40" s="14">
        <f>D40-E40</f>
        <v/>
      </c>
      <c r="G40" s="15">
        <f>IF(D40=0,"",F40/D40)</f>
        <v/>
      </c>
    </row>
    <row r="41">
      <c r="A41" s="19" t="inlineStr">
        <is>
          <t>Maintenance contracts</t>
        </is>
      </c>
      <c r="B41" s="19" t="inlineStr">
        <is>
          <t>Nov 25</t>
        </is>
      </c>
      <c r="C41" s="19" t="inlineStr">
        <is>
          <t>Locked</t>
        </is>
      </c>
      <c r="D41" s="14" t="n">
        <v>40100</v>
      </c>
      <c r="E41" s="14" t="n">
        <v>14516</v>
      </c>
      <c r="F41" s="14">
        <f>D41-E41</f>
        <v/>
      </c>
      <c r="G41" s="15">
        <f>IF(D41=0,"",F41/D41)</f>
        <v/>
      </c>
    </row>
    <row r="42">
      <c r="A42" s="19" t="inlineStr">
        <is>
          <t>Maintenance contracts</t>
        </is>
      </c>
      <c r="B42" s="19" t="inlineStr">
        <is>
          <t>Dec 25</t>
        </is>
      </c>
      <c r="C42" s="19" t="inlineStr">
        <is>
          <t>Locked</t>
        </is>
      </c>
      <c r="D42" s="14" t="n">
        <v>40100</v>
      </c>
      <c r="E42" s="14" t="n">
        <v>14516</v>
      </c>
      <c r="F42" s="14">
        <f>D42-E42</f>
        <v/>
      </c>
      <c r="G42" s="15">
        <f>IF(D42=0,"",F42/D42)</f>
        <v/>
      </c>
    </row>
    <row r="43">
      <c r="A43" s="19" t="inlineStr">
        <is>
          <t>Maintenance contracts</t>
        </is>
      </c>
      <c r="B43" s="19" t="inlineStr">
        <is>
          <t>Jan 26</t>
        </is>
      </c>
      <c r="C43" s="19" t="inlineStr">
        <is>
          <t>Locked</t>
        </is>
      </c>
      <c r="D43" s="14" t="n">
        <v>40100</v>
      </c>
      <c r="E43" s="14" t="n">
        <v>14516</v>
      </c>
      <c r="F43" s="14">
        <f>D43-E43</f>
        <v/>
      </c>
      <c r="G43" s="15">
        <f>IF(D43=0,"",F43/D43)</f>
        <v/>
      </c>
    </row>
    <row r="44">
      <c r="A44" s="19" t="inlineStr">
        <is>
          <t>Maintenance contracts</t>
        </is>
      </c>
      <c r="B44" s="19" t="inlineStr">
        <is>
          <t>Feb 26</t>
        </is>
      </c>
      <c r="C44" s="19" t="inlineStr">
        <is>
          <t>Locked</t>
        </is>
      </c>
      <c r="D44" s="14" t="n">
        <v>42000</v>
      </c>
      <c r="E44" s="14" t="n">
        <v>15158</v>
      </c>
      <c r="F44" s="14">
        <f>D44-E44</f>
        <v/>
      </c>
      <c r="G44" s="15">
        <f>IF(D44=0,"",F44/D44)</f>
        <v/>
      </c>
    </row>
    <row r="45">
      <c r="A45" s="19" t="inlineStr">
        <is>
          <t>Maintenance contracts</t>
        </is>
      </c>
      <c r="B45" s="19" t="inlineStr">
        <is>
          <t>Mar 26</t>
        </is>
      </c>
      <c r="C45" s="19" t="inlineStr">
        <is>
          <t>Locked</t>
        </is>
      </c>
      <c r="D45" s="14" t="n">
        <v>42000</v>
      </c>
      <c r="E45" s="14" t="n">
        <v>15158</v>
      </c>
      <c r="F45" s="14">
        <f>D45-E45</f>
        <v/>
      </c>
      <c r="G45" s="15">
        <f>IF(D45=0,"",F45/D45)</f>
        <v/>
      </c>
    </row>
    <row r="46">
      <c r="A46" s="19" t="inlineStr">
        <is>
          <t>Maintenance contracts</t>
        </is>
      </c>
      <c r="B46" s="19" t="inlineStr">
        <is>
          <t>Apr 26</t>
        </is>
      </c>
      <c r="C46" s="19" t="inlineStr">
        <is>
          <t>Locked</t>
        </is>
      </c>
      <c r="D46" s="14" t="n">
        <v>42000</v>
      </c>
      <c r="E46" s="14" t="n">
        <v>15158</v>
      </c>
      <c r="F46" s="14">
        <f>D46-E46</f>
        <v/>
      </c>
      <c r="G46" s="15">
        <f>IF(D46=0,"",F46/D46)</f>
        <v/>
      </c>
    </row>
    <row r="47">
      <c r="A47" s="19" t="inlineStr">
        <is>
          <t>Maintenance contracts</t>
        </is>
      </c>
      <c r="B47" s="19" t="inlineStr">
        <is>
          <t>May 26</t>
        </is>
      </c>
      <c r="C47" s="19" t="inlineStr">
        <is>
          <t>Locked</t>
        </is>
      </c>
      <c r="D47" s="14" t="n">
        <v>45350</v>
      </c>
      <c r="E47" s="14" t="n">
        <v>16384</v>
      </c>
      <c r="F47" s="14">
        <f>D47-E47</f>
        <v/>
      </c>
      <c r="G47" s="15">
        <f>IF(D47=0,"",F47/D47)</f>
        <v/>
      </c>
    </row>
    <row r="48">
      <c r="A48" s="19" t="inlineStr">
        <is>
          <t>Maintenance contracts</t>
        </is>
      </c>
      <c r="B48" s="19" t="inlineStr">
        <is>
          <t>Jun 26</t>
        </is>
      </c>
      <c r="C48" s="19" t="inlineStr">
        <is>
          <t>Locked</t>
        </is>
      </c>
      <c r="D48" s="14" t="n">
        <v>45350</v>
      </c>
      <c r="E48" s="14" t="n">
        <v>16384</v>
      </c>
      <c r="F48" s="14">
        <f>D48-E48</f>
        <v/>
      </c>
      <c r="G48" s="15">
        <f>IF(D48=0,"",F48/D48)</f>
        <v/>
      </c>
    </row>
    <row r="49">
      <c r="A49" s="19" t="inlineStr">
        <is>
          <t>Maintenance contracts</t>
        </is>
      </c>
      <c r="B49" s="19" t="inlineStr">
        <is>
          <t>Jul 26</t>
        </is>
      </c>
      <c r="C49" s="19" t="inlineStr">
        <is>
          <t>Locked</t>
        </is>
      </c>
      <c r="D49" s="14" t="n">
        <v>45350</v>
      </c>
      <c r="E49" s="14" t="n">
        <v>16384</v>
      </c>
      <c r="F49" s="14">
        <f>D49-E49</f>
        <v/>
      </c>
      <c r="G49" s="15">
        <f>IF(D49=0,"",F49/D49)</f>
        <v/>
      </c>
    </row>
    <row r="50">
      <c r="A50" s="19" t="inlineStr">
        <is>
          <t>Installations</t>
        </is>
      </c>
      <c r="B50" s="19" t="inlineStr">
        <is>
          <t>Oct 24</t>
        </is>
      </c>
      <c r="C50" s="19" t="inlineStr">
        <is>
          <t>Locked</t>
        </is>
      </c>
      <c r="D50" s="14" t="n">
        <v>141600</v>
      </c>
      <c r="E50" s="14" t="n">
        <v>92430</v>
      </c>
      <c r="F50" s="14">
        <f>D50-E50</f>
        <v/>
      </c>
      <c r="G50" s="15">
        <f>IF(D50=0,"",F50/D50)</f>
        <v/>
      </c>
    </row>
    <row r="51">
      <c r="A51" s="19" t="inlineStr">
        <is>
          <t>Installations</t>
        </is>
      </c>
      <c r="B51" s="19" t="inlineStr">
        <is>
          <t>Nov 24</t>
        </is>
      </c>
      <c r="C51" s="19" t="inlineStr">
        <is>
          <t>Locked</t>
        </is>
      </c>
      <c r="D51" s="14" t="n">
        <v>147100</v>
      </c>
      <c r="E51" s="14" t="n">
        <v>89070</v>
      </c>
      <c r="F51" s="14">
        <f>D51-E51</f>
        <v/>
      </c>
      <c r="G51" s="15">
        <f>IF(D51=0,"",F51/D51)</f>
        <v/>
      </c>
    </row>
    <row r="52">
      <c r="A52" s="19" t="inlineStr">
        <is>
          <t>Installations</t>
        </is>
      </c>
      <c r="B52" s="19" t="inlineStr">
        <is>
          <t>Dec 24</t>
        </is>
      </c>
      <c r="C52" s="19" t="inlineStr">
        <is>
          <t>Locked</t>
        </is>
      </c>
      <c r="D52" s="14" t="n">
        <v>103700</v>
      </c>
      <c r="E52" s="14" t="n">
        <v>59908</v>
      </c>
      <c r="F52" s="14">
        <f>D52-E52</f>
        <v/>
      </c>
      <c r="G52" s="15">
        <f>IF(D52=0,"",F52/D52)</f>
        <v/>
      </c>
    </row>
    <row r="53">
      <c r="A53" s="19" t="inlineStr">
        <is>
          <t>Installations</t>
        </is>
      </c>
      <c r="B53" s="19" t="inlineStr">
        <is>
          <t>Jan 25</t>
        </is>
      </c>
      <c r="C53" s="19" t="inlineStr">
        <is>
          <t>Locked</t>
        </is>
      </c>
      <c r="D53" s="14" t="n">
        <v>100100</v>
      </c>
      <c r="E53" s="14" t="n">
        <v>54678</v>
      </c>
      <c r="F53" s="14">
        <f>D53-E53</f>
        <v/>
      </c>
      <c r="G53" s="15">
        <f>IF(D53=0,"",F53/D53)</f>
        <v/>
      </c>
    </row>
    <row r="54">
      <c r="A54" s="19" t="inlineStr">
        <is>
          <t>Installations</t>
        </is>
      </c>
      <c r="B54" s="19" t="inlineStr">
        <is>
          <t>Feb 25</t>
        </is>
      </c>
      <c r="C54" s="19" t="inlineStr">
        <is>
          <t>Locked</t>
        </is>
      </c>
      <c r="D54" s="14" t="n">
        <v>118600</v>
      </c>
      <c r="E54" s="14" t="n">
        <v>74966</v>
      </c>
      <c r="F54" s="14">
        <f>D54-E54</f>
        <v/>
      </c>
      <c r="G54" s="15">
        <f>IF(D54=0,"",F54/D54)</f>
        <v/>
      </c>
    </row>
    <row r="55">
      <c r="A55" s="19" t="inlineStr">
        <is>
          <t>Installations</t>
        </is>
      </c>
      <c r="B55" s="19" t="inlineStr">
        <is>
          <t>Mar 25</t>
        </is>
      </c>
      <c r="C55" s="19" t="inlineStr">
        <is>
          <t>Locked</t>
        </is>
      </c>
      <c r="D55" s="14" t="n">
        <v>96400</v>
      </c>
      <c r="E55" s="14" t="n">
        <v>61664</v>
      </c>
      <c r="F55" s="14">
        <f>D55-E55</f>
        <v/>
      </c>
      <c r="G55" s="15">
        <f>IF(D55=0,"",F55/D55)</f>
        <v/>
      </c>
    </row>
    <row r="56">
      <c r="A56" s="19" t="inlineStr">
        <is>
          <t>Installations</t>
        </is>
      </c>
      <c r="B56" s="19" t="inlineStr">
        <is>
          <t>Apr 25</t>
        </is>
      </c>
      <c r="C56" s="19" t="inlineStr">
        <is>
          <t>Locked</t>
        </is>
      </c>
      <c r="D56" s="14" t="n">
        <v>83900</v>
      </c>
      <c r="E56" s="14" t="n">
        <v>52264</v>
      </c>
      <c r="F56" s="14">
        <f>D56-E56</f>
        <v/>
      </c>
      <c r="G56" s="15">
        <f>IF(D56=0,"",F56/D56)</f>
        <v/>
      </c>
    </row>
    <row r="57">
      <c r="A57" s="19" t="inlineStr">
        <is>
          <t>Installations</t>
        </is>
      </c>
      <c r="B57" s="19" t="inlineStr">
        <is>
          <t>May 25</t>
        </is>
      </c>
      <c r="C57" s="19" t="inlineStr">
        <is>
          <t>Locked</t>
        </is>
      </c>
      <c r="D57" s="14" t="n">
        <v>89900</v>
      </c>
      <c r="E57" s="14" t="n">
        <v>59534</v>
      </c>
      <c r="F57" s="14">
        <f>D57-E57</f>
        <v/>
      </c>
      <c r="G57" s="15">
        <f>IF(D57=0,"",F57/D57)</f>
        <v/>
      </c>
    </row>
    <row r="58">
      <c r="A58" s="19" t="inlineStr">
        <is>
          <t>Installations</t>
        </is>
      </c>
      <c r="B58" s="19" t="inlineStr">
        <is>
          <t>Jun 25</t>
        </is>
      </c>
      <c r="C58" s="19" t="inlineStr">
        <is>
          <t>Locked</t>
        </is>
      </c>
      <c r="D58" s="14" t="n">
        <v>126300</v>
      </c>
      <c r="E58" s="14" t="n">
        <v>72976</v>
      </c>
      <c r="F58" s="14">
        <f>D58-E58</f>
        <v/>
      </c>
      <c r="G58" s="15">
        <f>IF(D58=0,"",F58/D58)</f>
        <v/>
      </c>
    </row>
    <row r="59">
      <c r="A59" s="19" t="inlineStr">
        <is>
          <t>Installations</t>
        </is>
      </c>
      <c r="B59" s="19" t="inlineStr">
        <is>
          <t>Jul 25</t>
        </is>
      </c>
      <c r="C59" s="19" t="inlineStr">
        <is>
          <t>Locked</t>
        </is>
      </c>
      <c r="D59" s="14" t="n">
        <v>152100</v>
      </c>
      <c r="E59" s="14" t="n">
        <v>96920</v>
      </c>
      <c r="F59" s="14">
        <f>D59-E59</f>
        <v/>
      </c>
      <c r="G59" s="15">
        <f>IF(D59=0,"",F59/D59)</f>
        <v/>
      </c>
    </row>
    <row r="60">
      <c r="A60" s="19" t="inlineStr">
        <is>
          <t>Installations</t>
        </is>
      </c>
      <c r="B60" s="19" t="inlineStr">
        <is>
          <t>Aug 25</t>
        </is>
      </c>
      <c r="C60" s="19" t="inlineStr">
        <is>
          <t>Locked</t>
        </is>
      </c>
      <c r="D60" s="14" t="n">
        <v>96500</v>
      </c>
      <c r="E60" s="14" t="n">
        <v>53590</v>
      </c>
      <c r="F60" s="14">
        <f>D60-E60</f>
        <v/>
      </c>
      <c r="G60" s="15">
        <f>IF(D60=0,"",F60/D60)</f>
        <v/>
      </c>
    </row>
    <row r="61">
      <c r="A61" s="19" t="inlineStr">
        <is>
          <t>Installations</t>
        </is>
      </c>
      <c r="B61" s="19" t="inlineStr">
        <is>
          <t>Sep 25</t>
        </is>
      </c>
      <c r="C61" s="19" t="inlineStr">
        <is>
          <t>Locked</t>
        </is>
      </c>
      <c r="D61" s="14" t="n">
        <v>84200</v>
      </c>
      <c r="E61" s="14" t="n">
        <v>55440</v>
      </c>
      <c r="F61" s="14">
        <f>D61-E61</f>
        <v/>
      </c>
      <c r="G61" s="15">
        <f>IF(D61=0,"",F61/D61)</f>
        <v/>
      </c>
    </row>
    <row r="62">
      <c r="A62" s="19" t="inlineStr">
        <is>
          <t>Installations</t>
        </is>
      </c>
      <c r="B62" s="19" t="inlineStr">
        <is>
          <t>Oct 25</t>
        </is>
      </c>
      <c r="C62" s="19" t="inlineStr">
        <is>
          <t>Locked</t>
        </is>
      </c>
      <c r="D62" s="14" t="n">
        <v>79300</v>
      </c>
      <c r="E62" s="14" t="n">
        <v>52288</v>
      </c>
      <c r="F62" s="14">
        <f>D62-E62</f>
        <v/>
      </c>
      <c r="G62" s="15">
        <f>IF(D62=0,"",F62/D62)</f>
        <v/>
      </c>
    </row>
    <row r="63">
      <c r="A63" s="19" t="inlineStr">
        <is>
          <t>Installations</t>
        </is>
      </c>
      <c r="B63" s="19" t="inlineStr">
        <is>
          <t>Nov 25</t>
        </is>
      </c>
      <c r="C63" s="19" t="inlineStr">
        <is>
          <t>Locked</t>
        </is>
      </c>
      <c r="D63" s="14" t="n">
        <v>126900</v>
      </c>
      <c r="E63" s="14" t="n">
        <v>87174</v>
      </c>
      <c r="F63" s="14">
        <f>D63-E63</f>
        <v/>
      </c>
      <c r="G63" s="15">
        <f>IF(D63=0,"",F63/D63)</f>
        <v/>
      </c>
    </row>
    <row r="64">
      <c r="A64" s="19" t="inlineStr">
        <is>
          <t>Installations</t>
        </is>
      </c>
      <c r="B64" s="19" t="inlineStr">
        <is>
          <t>Dec 25</t>
        </is>
      </c>
      <c r="C64" s="19" t="inlineStr">
        <is>
          <t>Locked</t>
        </is>
      </c>
      <c r="D64" s="14" t="n">
        <v>78100</v>
      </c>
      <c r="E64" s="14" t="n">
        <v>53408</v>
      </c>
      <c r="F64" s="14">
        <f>D64-E64</f>
        <v/>
      </c>
      <c r="G64" s="15">
        <f>IF(D64=0,"",F64/D64)</f>
        <v/>
      </c>
    </row>
    <row r="65">
      <c r="A65" s="19" t="inlineStr">
        <is>
          <t>Installations</t>
        </is>
      </c>
      <c r="B65" s="19" t="inlineStr">
        <is>
          <t>Jan 26</t>
        </is>
      </c>
      <c r="C65" s="19" t="inlineStr">
        <is>
          <t>Locked</t>
        </is>
      </c>
      <c r="D65" s="14" t="n">
        <v>109100</v>
      </c>
      <c r="E65" s="14" t="n">
        <v>74216</v>
      </c>
      <c r="F65" s="14">
        <f>D65-E65</f>
        <v/>
      </c>
      <c r="G65" s="15">
        <f>IF(D65=0,"",F65/D65)</f>
        <v/>
      </c>
    </row>
    <row r="66">
      <c r="A66" s="19" t="inlineStr">
        <is>
          <t>Installations</t>
        </is>
      </c>
      <c r="B66" s="19" t="inlineStr">
        <is>
          <t>Feb 26</t>
        </is>
      </c>
      <c r="C66" s="19" t="inlineStr">
        <is>
          <t>Locked</t>
        </is>
      </c>
      <c r="D66" s="14" t="n">
        <v>144800</v>
      </c>
      <c r="E66" s="14" t="n">
        <v>88896</v>
      </c>
      <c r="F66" s="14">
        <f>D66-E66</f>
        <v/>
      </c>
      <c r="G66" s="15">
        <f>IF(D66=0,"",F66/D66)</f>
        <v/>
      </c>
    </row>
    <row r="67">
      <c r="A67" s="19" t="inlineStr">
        <is>
          <t>Installations</t>
        </is>
      </c>
      <c r="B67" s="19" t="inlineStr">
        <is>
          <t>Mar 26</t>
        </is>
      </c>
      <c r="C67" s="19" t="inlineStr">
        <is>
          <t>Locked</t>
        </is>
      </c>
      <c r="D67" s="14" t="n">
        <v>144900</v>
      </c>
      <c r="E67" s="14" t="n">
        <v>94290</v>
      </c>
      <c r="F67" s="14">
        <f>D67-E67</f>
        <v/>
      </c>
      <c r="G67" s="15">
        <f>IF(D67=0,"",F67/D67)</f>
        <v/>
      </c>
    </row>
    <row r="68">
      <c r="A68" s="19" t="inlineStr">
        <is>
          <t>Installations</t>
        </is>
      </c>
      <c r="B68" s="19" t="inlineStr">
        <is>
          <t>Apr 26</t>
        </is>
      </c>
      <c r="C68" s="19" t="inlineStr">
        <is>
          <t>Locked</t>
        </is>
      </c>
      <c r="D68" s="14" t="n">
        <v>116900</v>
      </c>
      <c r="E68" s="14" t="n">
        <v>68016</v>
      </c>
      <c r="F68" s="14">
        <f>D68-E68</f>
        <v/>
      </c>
      <c r="G68" s="15">
        <f>IF(D68=0,"",F68/D68)</f>
        <v/>
      </c>
    </row>
    <row r="69">
      <c r="A69" s="19" t="inlineStr">
        <is>
          <t>Installations</t>
        </is>
      </c>
      <c r="B69" s="19" t="inlineStr">
        <is>
          <t>May 26</t>
        </is>
      </c>
      <c r="C69" s="19" t="inlineStr">
        <is>
          <t>Locked</t>
        </is>
      </c>
      <c r="D69" s="14" t="n">
        <v>103400</v>
      </c>
      <c r="E69" s="14" t="n">
        <v>66240</v>
      </c>
      <c r="F69" s="14">
        <f>D69-E69</f>
        <v/>
      </c>
      <c r="G69" s="15">
        <f>IF(D69=0,"",F69/D69)</f>
        <v/>
      </c>
    </row>
    <row r="70">
      <c r="A70" s="19" t="inlineStr">
        <is>
          <t>Installations</t>
        </is>
      </c>
      <c r="B70" s="19" t="inlineStr">
        <is>
          <t>Jun 26</t>
        </is>
      </c>
      <c r="C70" s="19" t="inlineStr">
        <is>
          <t>Locked</t>
        </is>
      </c>
      <c r="D70" s="14" t="n">
        <v>115600</v>
      </c>
      <c r="E70" s="14" t="n">
        <v>73792</v>
      </c>
      <c r="F70" s="14">
        <f>D70-E70</f>
        <v/>
      </c>
      <c r="G70" s="15">
        <f>IF(D70=0,"",F70/D70)</f>
        <v/>
      </c>
    </row>
    <row r="71">
      <c r="A71" s="19" t="inlineStr">
        <is>
          <t>Installations</t>
        </is>
      </c>
      <c r="B71" s="19" t="inlineStr">
        <is>
          <t>Jul 26</t>
        </is>
      </c>
      <c r="C71" s="19" t="inlineStr">
        <is>
          <t>Locked</t>
        </is>
      </c>
      <c r="D71" s="14" t="n">
        <v>143000</v>
      </c>
      <c r="E71" s="14" t="n">
        <v>91520</v>
      </c>
      <c r="F71" s="14">
        <f>D71-E71</f>
        <v/>
      </c>
      <c r="G71" s="15">
        <f>IF(D71=0,"",F71/D71)</f>
        <v/>
      </c>
    </row>
    <row r="72">
      <c r="A72" s="19" t="inlineStr">
        <is>
          <t>Call-outs and repairs</t>
        </is>
      </c>
      <c r="B72" s="19" t="inlineStr">
        <is>
          <t>Oct 24</t>
        </is>
      </c>
      <c r="C72" s="19" t="inlineStr">
        <is>
          <t>Locked</t>
        </is>
      </c>
      <c r="D72" s="14" t="n">
        <v>21764</v>
      </c>
      <c r="E72" s="14" t="n">
        <v>11484</v>
      </c>
      <c r="F72" s="14">
        <f>D72-E72</f>
        <v/>
      </c>
      <c r="G72" s="15">
        <f>IF(D72=0,"",F72/D72)</f>
        <v/>
      </c>
    </row>
    <row r="73">
      <c r="A73" s="19" t="inlineStr">
        <is>
          <t>Call-outs and repairs</t>
        </is>
      </c>
      <c r="B73" s="19" t="inlineStr">
        <is>
          <t>Nov 24</t>
        </is>
      </c>
      <c r="C73" s="19" t="inlineStr">
        <is>
          <t>Locked</t>
        </is>
      </c>
      <c r="D73" s="14" t="n">
        <v>25374</v>
      </c>
      <c r="E73" s="14" t="n">
        <v>13526</v>
      </c>
      <c r="F73" s="14">
        <f>D73-E73</f>
        <v/>
      </c>
      <c r="G73" s="15">
        <f>IF(D73=0,"",F73/D73)</f>
        <v/>
      </c>
    </row>
    <row r="74">
      <c r="A74" s="19" t="inlineStr">
        <is>
          <t>Call-outs and repairs</t>
        </is>
      </c>
      <c r="B74" s="19" t="inlineStr">
        <is>
          <t>Dec 24</t>
        </is>
      </c>
      <c r="C74" s="19" t="inlineStr">
        <is>
          <t>Locked</t>
        </is>
      </c>
      <c r="D74" s="14" t="n">
        <v>28056</v>
      </c>
      <c r="E74" s="14" t="n">
        <v>14988</v>
      </c>
      <c r="F74" s="14">
        <f>D74-E74</f>
        <v/>
      </c>
      <c r="G74" s="15">
        <f>IF(D74=0,"",F74/D74)</f>
        <v/>
      </c>
    </row>
    <row r="75">
      <c r="A75" s="19" t="inlineStr">
        <is>
          <t>Call-outs and repairs</t>
        </is>
      </c>
      <c r="B75" s="19" t="inlineStr">
        <is>
          <t>Jan 25</t>
        </is>
      </c>
      <c r="C75" s="19" t="inlineStr">
        <is>
          <t>Locked</t>
        </is>
      </c>
      <c r="D75" s="14" t="n">
        <v>29044</v>
      </c>
      <c r="E75" s="14" t="n">
        <v>15644</v>
      </c>
      <c r="F75" s="14">
        <f>D75-E75</f>
        <v/>
      </c>
      <c r="G75" s="15">
        <f>IF(D75=0,"",F75/D75)</f>
        <v/>
      </c>
    </row>
    <row r="76">
      <c r="A76" s="19" t="inlineStr">
        <is>
          <t>Call-outs and repairs</t>
        </is>
      </c>
      <c r="B76" s="19" t="inlineStr">
        <is>
          <t>Feb 25</t>
        </is>
      </c>
      <c r="C76" s="19" t="inlineStr">
        <is>
          <t>Locked</t>
        </is>
      </c>
      <c r="D76" s="14" t="n">
        <v>29290</v>
      </c>
      <c r="E76" s="14" t="n">
        <v>15600</v>
      </c>
      <c r="F76" s="14">
        <f>D76-E76</f>
        <v/>
      </c>
      <c r="G76" s="15">
        <f>IF(D76=0,"",F76/D76)</f>
        <v/>
      </c>
    </row>
    <row r="77">
      <c r="A77" s="19" t="inlineStr">
        <is>
          <t>Call-outs and repairs</t>
        </is>
      </c>
      <c r="B77" s="19" t="inlineStr">
        <is>
          <t>Mar 25</t>
        </is>
      </c>
      <c r="C77" s="19" t="inlineStr">
        <is>
          <t>Locked</t>
        </is>
      </c>
      <c r="D77" s="14" t="n">
        <v>22765</v>
      </c>
      <c r="E77" s="14" t="n">
        <v>12306</v>
      </c>
      <c r="F77" s="14">
        <f>D77-E77</f>
        <v/>
      </c>
      <c r="G77" s="15">
        <f>IF(D77=0,"",F77/D77)</f>
        <v/>
      </c>
    </row>
    <row r="78">
      <c r="A78" s="19" t="inlineStr">
        <is>
          <t>Call-outs and repairs</t>
        </is>
      </c>
      <c r="B78" s="19" t="inlineStr">
        <is>
          <t>Apr 25</t>
        </is>
      </c>
      <c r="C78" s="19" t="inlineStr">
        <is>
          <t>Locked</t>
        </is>
      </c>
      <c r="D78" s="14" t="n">
        <v>23665</v>
      </c>
      <c r="E78" s="14" t="n">
        <v>12762</v>
      </c>
      <c r="F78" s="14">
        <f>D78-E78</f>
        <v/>
      </c>
      <c r="G78" s="15">
        <f>IF(D78=0,"",F78/D78)</f>
        <v/>
      </c>
    </row>
    <row r="79">
      <c r="A79" s="19" t="inlineStr">
        <is>
          <t>Call-outs and repairs</t>
        </is>
      </c>
      <c r="B79" s="19" t="inlineStr">
        <is>
          <t>May 25</t>
        </is>
      </c>
      <c r="C79" s="19" t="inlineStr">
        <is>
          <t>Locked</t>
        </is>
      </c>
      <c r="D79" s="14" t="n">
        <v>23449</v>
      </c>
      <c r="E79" s="14" t="n">
        <v>12384</v>
      </c>
      <c r="F79" s="14">
        <f>D79-E79</f>
        <v/>
      </c>
      <c r="G79" s="15">
        <f>IF(D79=0,"",F79/D79)</f>
        <v/>
      </c>
    </row>
    <row r="80">
      <c r="A80" s="19" t="inlineStr">
        <is>
          <t>Call-outs and repairs</t>
        </is>
      </c>
      <c r="B80" s="19" t="inlineStr">
        <is>
          <t>Jun 25</t>
        </is>
      </c>
      <c r="C80" s="19" t="inlineStr">
        <is>
          <t>Locked</t>
        </is>
      </c>
      <c r="D80" s="14" t="n">
        <v>21245</v>
      </c>
      <c r="E80" s="14" t="n">
        <v>11162</v>
      </c>
      <c r="F80" s="14">
        <f>D80-E80</f>
        <v/>
      </c>
      <c r="G80" s="15">
        <f>IF(D80=0,"",F80/D80)</f>
        <v/>
      </c>
    </row>
    <row r="81">
      <c r="A81" s="19" t="inlineStr">
        <is>
          <t>Call-outs and repairs</t>
        </is>
      </c>
      <c r="B81" s="19" t="inlineStr">
        <is>
          <t>Jul 25</t>
        </is>
      </c>
      <c r="C81" s="19" t="inlineStr">
        <is>
          <t>Locked</t>
        </is>
      </c>
      <c r="D81" s="14" t="n">
        <v>19288</v>
      </c>
      <c r="E81" s="14" t="n">
        <v>9960</v>
      </c>
      <c r="F81" s="14">
        <f>D81-E81</f>
        <v/>
      </c>
      <c r="G81" s="15">
        <f>IF(D81=0,"",F81/D81)</f>
        <v/>
      </c>
    </row>
    <row r="82">
      <c r="A82" s="19" t="inlineStr">
        <is>
          <t>Call-outs and repairs</t>
        </is>
      </c>
      <c r="B82" s="19" t="inlineStr">
        <is>
          <t>Aug 25</t>
        </is>
      </c>
      <c r="C82" s="19" t="inlineStr">
        <is>
          <t>Locked</t>
        </is>
      </c>
      <c r="D82" s="14" t="n">
        <v>21418</v>
      </c>
      <c r="E82" s="14" t="n">
        <v>11222</v>
      </c>
      <c r="F82" s="14">
        <f>D82-E82</f>
        <v/>
      </c>
      <c r="G82" s="15">
        <f>IF(D82=0,"",F82/D82)</f>
        <v/>
      </c>
    </row>
    <row r="83">
      <c r="A83" s="19" t="inlineStr">
        <is>
          <t>Call-outs and repairs</t>
        </is>
      </c>
      <c r="B83" s="19" t="inlineStr">
        <is>
          <t>Sep 25</t>
        </is>
      </c>
      <c r="C83" s="19" t="inlineStr">
        <is>
          <t>Locked</t>
        </is>
      </c>
      <c r="D83" s="14" t="n">
        <v>21677</v>
      </c>
      <c r="E83" s="14" t="n">
        <v>11168</v>
      </c>
      <c r="F83" s="14">
        <f>D83-E83</f>
        <v/>
      </c>
      <c r="G83" s="15">
        <f>IF(D83=0,"",F83/D83)</f>
        <v/>
      </c>
    </row>
    <row r="84">
      <c r="A84" s="19" t="inlineStr">
        <is>
          <t>Call-outs and repairs</t>
        </is>
      </c>
      <c r="B84" s="19" t="inlineStr">
        <is>
          <t>Oct 25</t>
        </is>
      </c>
      <c r="C84" s="19" t="inlineStr">
        <is>
          <t>Locked</t>
        </is>
      </c>
      <c r="D84" s="14" t="n">
        <v>24166</v>
      </c>
      <c r="E84" s="14" t="n">
        <v>12648</v>
      </c>
      <c r="F84" s="14">
        <f>D84-E84</f>
        <v/>
      </c>
      <c r="G84" s="15">
        <f>IF(D84=0,"",F84/D84)</f>
        <v/>
      </c>
    </row>
    <row r="85">
      <c r="A85" s="19" t="inlineStr">
        <is>
          <t>Call-outs and repairs</t>
        </is>
      </c>
      <c r="B85" s="19" t="inlineStr">
        <is>
          <t>Nov 25</t>
        </is>
      </c>
      <c r="C85" s="19" t="inlineStr">
        <is>
          <t>Locked</t>
        </is>
      </c>
      <c r="D85" s="14" t="n">
        <v>27966</v>
      </c>
      <c r="E85" s="14" t="n">
        <v>14252</v>
      </c>
      <c r="F85" s="14">
        <f>D85-E85</f>
        <v/>
      </c>
      <c r="G85" s="15">
        <f>IF(D85=0,"",F85/D85)</f>
        <v/>
      </c>
    </row>
    <row r="86">
      <c r="A86" s="19" t="inlineStr">
        <is>
          <t>Call-outs and repairs</t>
        </is>
      </c>
      <c r="B86" s="19" t="inlineStr">
        <is>
          <t>Dec 25</t>
        </is>
      </c>
      <c r="C86" s="19" t="inlineStr">
        <is>
          <t>Locked</t>
        </is>
      </c>
      <c r="D86" s="14" t="n">
        <v>32083</v>
      </c>
      <c r="E86" s="14" t="n">
        <v>16702</v>
      </c>
      <c r="F86" s="14">
        <f>D86-E86</f>
        <v/>
      </c>
      <c r="G86" s="15">
        <f>IF(D86=0,"",F86/D86)</f>
        <v/>
      </c>
    </row>
    <row r="87">
      <c r="A87" s="19" t="inlineStr">
        <is>
          <t>Call-outs and repairs</t>
        </is>
      </c>
      <c r="B87" s="19" t="inlineStr">
        <is>
          <t>Jan 26</t>
        </is>
      </c>
      <c r="C87" s="19" t="inlineStr">
        <is>
          <t>Locked</t>
        </is>
      </c>
      <c r="D87" s="14" t="n">
        <v>34106</v>
      </c>
      <c r="E87" s="14" t="n">
        <v>17858</v>
      </c>
      <c r="F87" s="14">
        <f>D87-E87</f>
        <v/>
      </c>
      <c r="G87" s="15">
        <f>IF(D87=0,"",F87/D87)</f>
        <v/>
      </c>
    </row>
    <row r="88">
      <c r="A88" s="19" t="inlineStr">
        <is>
          <t>Call-outs and repairs</t>
        </is>
      </c>
      <c r="B88" s="19" t="inlineStr">
        <is>
          <t>Feb 26</t>
        </is>
      </c>
      <c r="C88" s="19" t="inlineStr">
        <is>
          <t>Locked</t>
        </is>
      </c>
      <c r="D88" s="14" t="n">
        <v>32108</v>
      </c>
      <c r="E88" s="14" t="n">
        <v>16608</v>
      </c>
      <c r="F88" s="14">
        <f>D88-E88</f>
        <v/>
      </c>
      <c r="G88" s="15">
        <f>IF(D88=0,"",F88/D88)</f>
        <v/>
      </c>
    </row>
    <row r="89">
      <c r="A89" s="19" t="inlineStr">
        <is>
          <t>Call-outs and repairs</t>
        </is>
      </c>
      <c r="B89" s="19" t="inlineStr">
        <is>
          <t>Mar 26</t>
        </is>
      </c>
      <c r="C89" s="19" t="inlineStr">
        <is>
          <t>Locked</t>
        </is>
      </c>
      <c r="D89" s="14" t="n">
        <v>26678</v>
      </c>
      <c r="E89" s="14" t="n">
        <v>13894</v>
      </c>
      <c r="F89" s="14">
        <f>D89-E89</f>
        <v/>
      </c>
      <c r="G89" s="15">
        <f>IF(D89=0,"",F89/D89)</f>
        <v/>
      </c>
    </row>
    <row r="90">
      <c r="A90" s="19" t="inlineStr">
        <is>
          <t>Call-outs and repairs</t>
        </is>
      </c>
      <c r="B90" s="19" t="inlineStr">
        <is>
          <t>Apr 26</t>
        </is>
      </c>
      <c r="C90" s="19" t="inlineStr">
        <is>
          <t>Locked</t>
        </is>
      </c>
      <c r="D90" s="14" t="n">
        <v>25067</v>
      </c>
      <c r="E90" s="14" t="n">
        <v>12970</v>
      </c>
      <c r="F90" s="14">
        <f>D90-E90</f>
        <v/>
      </c>
      <c r="G90" s="15">
        <f>IF(D90=0,"",F90/D90)</f>
        <v/>
      </c>
    </row>
    <row r="91">
      <c r="A91" s="19" t="inlineStr">
        <is>
          <t>Call-outs and repairs</t>
        </is>
      </c>
      <c r="B91" s="19" t="inlineStr">
        <is>
          <t>May 26</t>
        </is>
      </c>
      <c r="C91" s="19" t="inlineStr">
        <is>
          <t>Locked</t>
        </is>
      </c>
      <c r="D91" s="14" t="n">
        <v>31592</v>
      </c>
      <c r="E91" s="14" t="n">
        <v>16234</v>
      </c>
      <c r="F91" s="14">
        <f>D91-E91</f>
        <v/>
      </c>
      <c r="G91" s="15">
        <f>IF(D91=0,"",F91/D91)</f>
        <v/>
      </c>
    </row>
    <row r="92">
      <c r="A92" s="19" t="inlineStr">
        <is>
          <t>Call-outs and repairs</t>
        </is>
      </c>
      <c r="B92" s="19" t="inlineStr">
        <is>
          <t>Jun 26</t>
        </is>
      </c>
      <c r="C92" s="19" t="inlineStr">
        <is>
          <t>Locked</t>
        </is>
      </c>
      <c r="D92" s="14" t="n">
        <v>32082</v>
      </c>
      <c r="E92" s="14" t="n">
        <v>16324</v>
      </c>
      <c r="F92" s="14">
        <f>D92-E92</f>
        <v/>
      </c>
      <c r="G92" s="15">
        <f>IF(D92=0,"",F92/D92)</f>
        <v/>
      </c>
    </row>
    <row r="93">
      <c r="A93" s="19" t="inlineStr">
        <is>
          <t>Call-outs and repairs</t>
        </is>
      </c>
      <c r="B93" s="19" t="inlineStr">
        <is>
          <t>Jul 26</t>
        </is>
      </c>
      <c r="C93" s="19" t="inlineStr">
        <is>
          <t>Locked</t>
        </is>
      </c>
      <c r="D93" s="14" t="n">
        <v>27260</v>
      </c>
      <c r="E93" s="14" t="n">
        <v>14220</v>
      </c>
      <c r="F93" s="14">
        <f>D93-E93</f>
        <v/>
      </c>
      <c r="G93" s="15">
        <f>IF(D93=0,"",F93/D93)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7" min="0" max="16383" man="1"/>
    <brk id="49" min="0" max="16383" man="1"/>
    <brk id="7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2026-10-22T06:58:19Z</dcterms:created>
  <dcterms:modified xmlns:dcterms="http://purl.org/dc/terms/" xmlns:xsi="http://www.w3.org/2001/XMLSchema-instance" xsi:type="dcterms:W3CDTF">2026-10-22T06:58:19Z</dcterms:modified>
</cp:coreProperties>
</file>