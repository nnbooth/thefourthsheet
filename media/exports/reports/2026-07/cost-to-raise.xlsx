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July_all_fundraising">'Report'!$B$10</definedName>
    <definedName name="Year_to_date_Jul_2026">'Report'!$B$11</definedName>
    <definedName name="July_Grants">'Report'!$B$35</definedName>
    <definedName name="Year_to_date_Jul_2026_2">'Report'!$B$36</definedName>
    <definedName name="July_Donations">'Report'!$B$46</definedName>
    <definedName name="Year_to_date_Jul_2026_3">'Report'!$B$47</definedName>
    <definedName name="July_Fundraising_events">'Report'!$B$57</definedName>
    <definedName name="Year_to_date_Jul_2026_4">'Report'!$B$58</definedName>
    <definedName name="_xlnm.Print_Area" localSheetId="0">'Report'!$A$1:$D$67</definedName>
    <definedName name="_xlnm.Print_Area" localSheetId="1">'Workings'!$A$1:$C$89</definedName>
    <definedName name="_xlnm.Print_Titles" localSheetId="2">'Data'!$5:$5</definedName>
    <definedName name="_xlnm.Print_Area" localSheetId="2">'Data'!$A$1:$I$27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July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'Data'!$A$6:$A$27</f>
            </numRef>
          </cat>
          <val>
            <numRef>
              <f>'Data'!$C$6:$C$27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7" headerRowCount="1">
  <autoFilter ref="A5:I27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 ht="32" customHeight="1">
      <c r="A5" s="3" t="inlineStr">
        <is>
          <t>In short: Each dollar raised cost 11¢ in July, and 11¢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July · all fundraising</t>
        </is>
      </c>
      <c r="B10" s="8">
        <f>Workings!B10</f>
        <v/>
      </c>
      <c r="C10" s="9" t="inlineStr">
        <is>
          <t>June 11¢</t>
        </is>
      </c>
    </row>
    <row r="11">
      <c r="A11" t="inlineStr">
        <is>
          <t>Year to date (Jul 2026)</t>
        </is>
      </c>
      <c r="B11" s="8">
        <f>Workings!B18</f>
        <v/>
      </c>
      <c r="C11" s="9" t="inlineStr">
        <is>
          <t>same period last year: 13¢</t>
        </is>
      </c>
    </row>
    <row r="12"/>
    <row r="13">
      <c r="A13" s="10" t="inlineStr">
        <is>
          <t>Cost to raise a dollar, by source, July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10</v>
      </c>
    </row>
    <row r="16">
      <c r="A16" t="inlineStr">
        <is>
          <t>Donations</t>
        </is>
      </c>
      <c r="B16" s="8" t="n">
        <v>15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July cost 11¢ to raise each dollar, against 11¢ in June. This financial year to date it has cost 11¢ a dollar, against 13¢ in the same period last year.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July · Grants</t>
        </is>
      </c>
      <c r="B35" s="8">
        <f>Workings!B41</f>
        <v/>
      </c>
      <c r="C35" s="9" t="inlineStr">
        <is>
          <t>June 10¢</t>
        </is>
      </c>
    </row>
    <row r="36">
      <c r="A36" t="inlineStr">
        <is>
          <t>Year to date (Jul 2026)</t>
        </is>
      </c>
      <c r="B36" s="8">
        <f>Workings!B49</f>
        <v/>
      </c>
      <c r="C36" s="9" t="inlineStr">
        <is>
          <t>same period last year: 12¢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10¢ to raise each dollar this financial year to date ($7,100 of grant writing and reporting for $72,618), against 12¢ in the same period last year.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July · Donations</t>
        </is>
      </c>
      <c r="B46" s="8">
        <f>Workings!B60</f>
        <v/>
      </c>
      <c r="C46" s="9" t="inlineStr">
        <is>
          <t>June 14¢</t>
        </is>
      </c>
    </row>
    <row r="47">
      <c r="A47" t="inlineStr">
        <is>
          <t>Year to date (Jul 2026)</t>
        </is>
      </c>
      <c r="B47" s="8">
        <f>Workings!B68</f>
        <v/>
      </c>
      <c r="C47" s="9" t="inlineStr">
        <is>
          <t>same period last year: 16¢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($2,200 of donor campaigns for $14,300), against 16¢ in the same period last year.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July · Fundraising events</t>
        </is>
      </c>
      <c r="B57" t="inlineStr">
        <is>
          <t>–</t>
        </is>
      </c>
      <c r="C57" s="9" t="inlineStr">
        <is>
          <t>June none raised</t>
        </is>
      </c>
    </row>
    <row r="58">
      <c r="A58" t="inlineStr">
        <is>
          <t>Year to date (Jul 2026)</t>
        </is>
      </c>
      <c r="B58" t="inlineStr">
        <is>
          <t>–</t>
        </is>
      </c>
      <c r="C58" s="9" t="inlineStr">
        <is>
          <t>same period last year: –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– to raise each dollar this financial year to date ($0 of event costs for $0).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5" t="inlineStr">
        <is>
          <t>Cost to raise a dollar, all fundraising, July and June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Jul 26</t>
        </is>
      </c>
      <c r="C7" s="7" t="inlineStr">
        <is>
          <t>Jun 26</t>
        </is>
      </c>
    </row>
    <row r="8">
      <c r="A8" t="inlineStr">
        <is>
          <t>Cost of raising it</t>
        </is>
      </c>
      <c r="B8" s="13" t="n">
        <v>9300</v>
      </c>
      <c r="C8" s="13" t="n">
        <v>12600</v>
      </c>
    </row>
    <row r="9">
      <c r="A9" t="inlineStr">
        <is>
          <t>Money raised</t>
        </is>
      </c>
      <c r="B9" s="13" t="n">
        <v>86918</v>
      </c>
      <c r="C9" s="13" t="n">
        <v>110972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 against the same period last year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9300</v>
      </c>
    </row>
    <row r="17">
      <c r="A17" t="inlineStr">
        <is>
          <t>Raised, year to date</t>
        </is>
      </c>
      <c r="B17" s="13" t="n">
        <v>86918</v>
      </c>
    </row>
    <row r="18">
      <c r="A18" t="inlineStr">
        <is>
          <t>Cents, year to date</t>
        </is>
      </c>
      <c r="B18" s="16">
        <f>B16/B17*100</f>
        <v/>
      </c>
    </row>
    <row r="19">
      <c r="A19" t="inlineStr">
        <is>
          <t>Cost, same period last year</t>
        </is>
      </c>
      <c r="B19" s="13" t="n">
        <v>9300</v>
      </c>
    </row>
    <row r="20">
      <c r="A20" t="inlineStr">
        <is>
          <t>Raised, same period last year</t>
        </is>
      </c>
      <c r="B20" s="13" t="n">
        <v>72563</v>
      </c>
    </row>
    <row r="21">
      <c r="A21" s="14" t="inlineStr">
        <is>
          <t>Cents, same period last year</t>
        </is>
      </c>
      <c r="B21" s="15">
        <f>B19/B20*100</f>
        <v/>
      </c>
    </row>
    <row r="22"/>
    <row r="23"/>
    <row r="24">
      <c r="A24" s="5" t="inlineStr">
        <is>
          <t>Cost to raise a dollar, by source, July 2026</t>
        </is>
      </c>
    </row>
    <row r="25">
      <c r="A25" s="12" t="inlineStr">
        <is>
          <t>Fundraising cost ÷ money raised, for each source, in cents</t>
        </is>
      </c>
    </row>
    <row r="26">
      <c r="A26" s="6" t="inlineStr"/>
      <c r="B26" s="7" t="inlineStr">
        <is>
          <t>Jul 2026</t>
        </is>
      </c>
    </row>
    <row r="27">
      <c r="A27" t="inlineStr">
        <is>
          <t>Grants: cost (grant writing and reporting)</t>
        </is>
      </c>
      <c r="B27" s="13" t="n">
        <v>7100</v>
      </c>
    </row>
    <row r="28">
      <c r="A28" t="inlineStr">
        <is>
          <t>Grants: raised</t>
        </is>
      </c>
      <c r="B28" s="13" t="n">
        <v>72618</v>
      </c>
    </row>
    <row r="29">
      <c r="A29" t="inlineStr">
        <is>
          <t>Donations: cost (donor campaigns)</t>
        </is>
      </c>
      <c r="B29" s="13" t="n">
        <v>2200</v>
      </c>
    </row>
    <row r="30">
      <c r="A30" t="inlineStr">
        <is>
          <t>Donations: raised</t>
        </is>
      </c>
      <c r="B30" s="13" t="n">
        <v>14300</v>
      </c>
    </row>
    <row r="31">
      <c r="A31" t="inlineStr">
        <is>
          <t>Grants: cost per dollar raised</t>
        </is>
      </c>
      <c r="B31" s="16">
        <f>B27/B28*100</f>
        <v/>
      </c>
    </row>
    <row r="32">
      <c r="A32" s="14" t="inlineStr">
        <is>
          <t>Donations: cost per dollar raised</t>
        </is>
      </c>
      <c r="B32" s="15">
        <f>B29/B30*100</f>
        <v/>
      </c>
    </row>
    <row r="33">
      <c r="A33" s="2" t="inlineStr">
        <is>
          <t xml:space="preserve">Nothing raised from fundraising events in July. </t>
        </is>
      </c>
    </row>
    <row r="34"/>
    <row r="35"/>
    <row r="36">
      <c r="A36" s="5" t="inlineStr">
        <is>
          <t>Cost to raise a dollar, grants, July and June</t>
        </is>
      </c>
    </row>
    <row r="37">
      <c r="A37" s="12" t="inlineStr">
        <is>
          <t>Cost of raising it ÷ money raised, in cents</t>
        </is>
      </c>
    </row>
    <row r="38">
      <c r="A38" s="6" t="inlineStr"/>
      <c r="B38" s="7" t="inlineStr">
        <is>
          <t>Jul 26</t>
        </is>
      </c>
      <c r="C38" s="7" t="inlineStr">
        <is>
          <t>Jun 26</t>
        </is>
      </c>
    </row>
    <row r="39">
      <c r="A39" t="inlineStr">
        <is>
          <t>Cost of raising it</t>
        </is>
      </c>
      <c r="B39" s="13" t="n">
        <v>7100</v>
      </c>
      <c r="C39" s="13" t="n">
        <v>7100</v>
      </c>
    </row>
    <row r="40">
      <c r="A40" t="inlineStr">
        <is>
          <t>Money raised</t>
        </is>
      </c>
      <c r="B40" s="13" t="n">
        <v>72618</v>
      </c>
      <c r="C40" s="13" t="n">
        <v>70872</v>
      </c>
    </row>
    <row r="41">
      <c r="A41" s="14" t="inlineStr">
        <is>
          <t>Cents per dollar</t>
        </is>
      </c>
      <c r="B41" s="15">
        <f>B39/B40*100</f>
        <v/>
      </c>
      <c r="C41" s="15">
        <f>C39/C40*100</f>
        <v/>
      </c>
    </row>
    <row r="42"/>
    <row r="43"/>
    <row r="44">
      <c r="A44" s="5" t="inlineStr">
        <is>
          <t>Cost to raise a dollar, grants, year to date against the same period last year</t>
        </is>
      </c>
    </row>
    <row r="45">
      <c r="A45" s="12" t="inlineStr">
        <is>
          <t>Cost ÷ money raised, in cents</t>
        </is>
      </c>
    </row>
    <row r="46">
      <c r="A46" s="6" t="inlineStr"/>
      <c r="B46" s="7" t="inlineStr">
        <is>
          <t>Year to date</t>
        </is>
      </c>
    </row>
    <row r="47">
      <c r="A47" t="inlineStr">
        <is>
          <t>Cost, year to date</t>
        </is>
      </c>
      <c r="B47" s="13" t="n">
        <v>7100</v>
      </c>
    </row>
    <row r="48">
      <c r="A48" t="inlineStr">
        <is>
          <t>Raised, year to date</t>
        </is>
      </c>
      <c r="B48" s="13" t="n">
        <v>72618</v>
      </c>
    </row>
    <row r="49">
      <c r="A49" t="inlineStr">
        <is>
          <t>Cents, year to date</t>
        </is>
      </c>
      <c r="B49" s="16">
        <f>B47/B48*100</f>
        <v/>
      </c>
    </row>
    <row r="50">
      <c r="A50" t="inlineStr">
        <is>
          <t>Cost, same period last year</t>
        </is>
      </c>
      <c r="B50" s="13" t="n">
        <v>7100</v>
      </c>
    </row>
    <row r="51">
      <c r="A51" t="inlineStr">
        <is>
          <t>Raised, same period last year</t>
        </is>
      </c>
      <c r="B51" s="13" t="n">
        <v>59063</v>
      </c>
    </row>
    <row r="52">
      <c r="A52" s="14" t="inlineStr">
        <is>
          <t>Cents, same period last year</t>
        </is>
      </c>
      <c r="B52" s="15">
        <f>B50/B51*100</f>
        <v/>
      </c>
    </row>
    <row r="53"/>
    <row r="54"/>
    <row r="55">
      <c r="A55" s="5" t="inlineStr">
        <is>
          <t>Cost to raise a dollar, donations, July and June</t>
        </is>
      </c>
    </row>
    <row r="56">
      <c r="A56" s="12" t="inlineStr">
        <is>
          <t>Cost of raising it ÷ money raised, in cents</t>
        </is>
      </c>
    </row>
    <row r="57">
      <c r="A57" s="6" t="inlineStr"/>
      <c r="B57" s="7" t="inlineStr">
        <is>
          <t>Jul 26</t>
        </is>
      </c>
      <c r="C57" s="7" t="inlineStr">
        <is>
          <t>Jun 26</t>
        </is>
      </c>
    </row>
    <row r="58">
      <c r="A58" t="inlineStr">
        <is>
          <t>Cost of raising it</t>
        </is>
      </c>
      <c r="B58" s="13" t="n">
        <v>2200</v>
      </c>
      <c r="C58" s="13" t="n">
        <v>5500</v>
      </c>
    </row>
    <row r="59">
      <c r="A59" t="inlineStr">
        <is>
          <t>Money raised</t>
        </is>
      </c>
      <c r="B59" s="13" t="n">
        <v>14300</v>
      </c>
      <c r="C59" s="13" t="n">
        <v>40100</v>
      </c>
    </row>
    <row r="60">
      <c r="A60" s="14" t="inlineStr">
        <is>
          <t>Cents per dollar</t>
        </is>
      </c>
      <c r="B60" s="15">
        <f>B58/B59*100</f>
        <v/>
      </c>
      <c r="C60" s="15">
        <f>C58/C59*100</f>
        <v/>
      </c>
    </row>
    <row r="61"/>
    <row r="62"/>
    <row r="63">
      <c r="A63" s="5" t="inlineStr">
        <is>
          <t>Cost to raise a dollar, donations, year to date against the same period last year</t>
        </is>
      </c>
    </row>
    <row r="64">
      <c r="A64" s="12" t="inlineStr">
        <is>
          <t>Cost ÷ money raised, in cents</t>
        </is>
      </c>
    </row>
    <row r="65">
      <c r="A65" s="6" t="inlineStr"/>
      <c r="B65" s="7" t="inlineStr">
        <is>
          <t>Year to date</t>
        </is>
      </c>
    </row>
    <row r="66">
      <c r="A66" t="inlineStr">
        <is>
          <t>Cost, year to date</t>
        </is>
      </c>
      <c r="B66" s="13" t="n">
        <v>2200</v>
      </c>
    </row>
    <row r="67">
      <c r="A67" t="inlineStr">
        <is>
          <t>Raised, year to date</t>
        </is>
      </c>
      <c r="B67" s="13" t="n">
        <v>14300</v>
      </c>
    </row>
    <row r="68">
      <c r="A68" t="inlineStr">
        <is>
          <t>Cents, year to date</t>
        </is>
      </c>
      <c r="B68" s="16">
        <f>B66/B67*100</f>
        <v/>
      </c>
    </row>
    <row r="69">
      <c r="A69" t="inlineStr">
        <is>
          <t>Cost, same period last year</t>
        </is>
      </c>
      <c r="B69" s="13" t="n">
        <v>2200</v>
      </c>
    </row>
    <row r="70">
      <c r="A70" t="inlineStr">
        <is>
          <t>Raised, same period last year</t>
        </is>
      </c>
      <c r="B70" s="13" t="n">
        <v>13500</v>
      </c>
    </row>
    <row r="71">
      <c r="A71" s="14" t="inlineStr">
        <is>
          <t>Cents, same period last year</t>
        </is>
      </c>
      <c r="B71" s="15">
        <f>B69/B70*100</f>
        <v/>
      </c>
    </row>
    <row r="72"/>
    <row r="73"/>
    <row r="74">
      <c r="A74" s="5" t="inlineStr">
        <is>
          <t>Cost to raise a dollar, fundraising events, July and June</t>
        </is>
      </c>
    </row>
    <row r="75">
      <c r="A75" s="12" t="inlineStr">
        <is>
          <t>Cost of raising it ÷ money raised, in cents</t>
        </is>
      </c>
    </row>
    <row r="76">
      <c r="A76" s="6" t="inlineStr"/>
      <c r="B76" s="7" t="inlineStr">
        <is>
          <t>Jul 26</t>
        </is>
      </c>
      <c r="C76" s="7" t="inlineStr">
        <is>
          <t>Jun 26</t>
        </is>
      </c>
    </row>
    <row r="77">
      <c r="A77" t="inlineStr">
        <is>
          <t>Cost of raising it</t>
        </is>
      </c>
      <c r="B77" s="13" t="n">
        <v>0</v>
      </c>
      <c r="C77" s="13" t="n">
        <v>0</v>
      </c>
    </row>
    <row r="78">
      <c r="A78" s="14" t="inlineStr">
        <is>
          <t>Money raised</t>
        </is>
      </c>
      <c r="B78" s="17" t="n">
        <v>0</v>
      </c>
      <c r="C78" s="17" t="n">
        <v>0</v>
      </c>
    </row>
    <row r="79">
      <c r="A79" s="2" t="inlineStr">
        <is>
          <t>Nothing raised in one of the months, so there's no cost per dollar for it.</t>
        </is>
      </c>
    </row>
    <row r="80"/>
    <row r="81"/>
    <row r="82">
      <c r="A82" s="5" t="inlineStr">
        <is>
          <t>Cost to raise a dollar, fundraising events, year to date against the same period last year</t>
        </is>
      </c>
    </row>
    <row r="83">
      <c r="A83" s="12" t="inlineStr">
        <is>
          <t>Cost ÷ money raised, in cents</t>
        </is>
      </c>
    </row>
    <row r="84">
      <c r="A84" s="6" t="inlineStr"/>
      <c r="B84" s="7" t="inlineStr">
        <is>
          <t>Year to date</t>
        </is>
      </c>
    </row>
    <row r="85">
      <c r="A85" t="inlineStr">
        <is>
          <t>Cost, year to date</t>
        </is>
      </c>
      <c r="B85" s="13" t="n">
        <v>0</v>
      </c>
    </row>
    <row r="86">
      <c r="A86" t="inlineStr">
        <is>
          <t>Raised, year to date</t>
        </is>
      </c>
      <c r="B86" s="13" t="n">
        <v>0</v>
      </c>
    </row>
    <row r="87">
      <c r="A87" t="inlineStr">
        <is>
          <t>Cents, year to date</t>
        </is>
      </c>
      <c r="B87" s="16">
        <f>IFERROR(B85/B86*100,"–")</f>
        <v/>
      </c>
    </row>
    <row r="88">
      <c r="A88" t="inlineStr">
        <is>
          <t>Cost, same period last year</t>
        </is>
      </c>
      <c r="B88" s="13" t="n">
        <v>0</v>
      </c>
    </row>
    <row r="89">
      <c r="A89" s="14" t="inlineStr">
        <is>
          <t>Raised, same period last year</t>
        </is>
      </c>
      <c r="B89" s="17" t="n">
        <v>0</v>
      </c>
    </row>
    <row r="90"/>
    <row r="91"/>
    <row r="92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3" min="0" max="16383" man="1"/>
    <brk id="54" min="0" max="16383" man="1"/>
    <brk id="8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7100</v>
      </c>
      <c r="D26" s="13" t="n">
        <v>5500</v>
      </c>
      <c r="E26" s="13" t="n">
        <v>0</v>
      </c>
      <c r="F26" s="13" t="n">
        <v>70872</v>
      </c>
      <c r="G26" s="13" t="n">
        <v>40100</v>
      </c>
      <c r="H26" s="13" t="n">
        <v>0</v>
      </c>
      <c r="I26" s="16">
        <f>IF(SUM(F26:H26)=0,"",SUM(C26:E26)/SUM(F26:H26)*100)</f>
        <v/>
      </c>
    </row>
    <row r="27">
      <c r="A27" s="18" t="inlineStr">
        <is>
          <t>Jul 26</t>
        </is>
      </c>
      <c r="B27" s="18" t="inlineStr">
        <is>
          <t>Locked</t>
        </is>
      </c>
      <c r="C27" s="13" t="n">
        <v>7100</v>
      </c>
      <c r="D27" s="13" t="n">
        <v>2200</v>
      </c>
      <c r="E27" s="13" t="n">
        <v>0</v>
      </c>
      <c r="F27" s="13" t="n">
        <v>72618</v>
      </c>
      <c r="G27" s="13" t="n">
        <v>14300</v>
      </c>
      <c r="H27" s="13" t="n">
        <v>0</v>
      </c>
      <c r="I27" s="16">
        <f>IF(SUM(F27:H27)=0,"",SUM(C27:E27)/SUM(F27:H27)*100)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