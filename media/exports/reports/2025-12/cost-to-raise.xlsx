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December_all_fundraising">'Report'!$B$10</definedName>
    <definedName name="Year_to_date_Jul_to_Dec_2025">'Report'!$B$11</definedName>
    <definedName name="December_Grants">'Report'!$B$35</definedName>
    <definedName name="Year_to_date_Jul_to_Dec_2025_2">'Report'!$B$36</definedName>
    <definedName name="December_Donations">'Report'!$B$46</definedName>
    <definedName name="Year_to_date_Jul_to_Dec_2025_3">'Report'!$B$47</definedName>
    <definedName name="December_Fundraising_events">'Report'!$B$57</definedName>
    <definedName name="Year_to_date_Jul_to_Dec_2025_4">'Report'!$B$58</definedName>
    <definedName name="_xlnm.Print_Area" localSheetId="0">'Report'!$A$1:$D$67</definedName>
    <definedName name="_xlnm.Print_Area" localSheetId="1">'Workings'!$A$1:$C$85</definedName>
    <definedName name="_xlnm.Print_Titles" localSheetId="2">'Data'!$5:$5</definedName>
    <definedName name="_xlnm.Print_Area" localSheetId="2">'Data'!$A$1:$I$20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&quot;¢&quot;;[Red](0&quot;¢&quot;)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0" fontId="4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December 2025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'Report'!$A$15:$A$17</f>
            </numRef>
          </cat>
          <val>
            <numRef>
              <f>'Report'!$B$15:$B$17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Grant writing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 writing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'Data'!$A$6:$A$20</f>
            </numRef>
          </cat>
          <val>
            <numRef>
              <f>'Data'!$C$6:$C$20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raise_Data" displayName="cost_to_raise_Data" ref="A5:I20" headerRowCount="1">
  <autoFilter ref="A5:I20"/>
  <tableColumns count="9">
    <tableColumn id="1" name="Month"/>
    <tableColumn id="2" name="Status"/>
    <tableColumn id="3" name="Grant writing"/>
    <tableColumn id="4" name="Donor campaigns"/>
    <tableColumn id="5" name="Event costs"/>
    <tableColumn id="6" name="Grant income"/>
    <tableColumn id="7" name="Donations"/>
    <tableColumn id="8" name="Events"/>
    <tableColumn id="9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raise a dollar?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Dec 2025 locked (data retrieved 2pm, Tue 6 Oct 2026) · Generated 22 Oct 2026, 4:57pm</t>
        </is>
      </c>
    </row>
    <row r="4"/>
    <row r="5" ht="32" customHeight="1">
      <c r="A5" s="3" t="inlineStr">
        <is>
          <t>In short: Each dollar raised cost 14¢ in December, and 14¢ a dollar this financial year to date.</t>
        </is>
      </c>
    </row>
    <row r="6" ht="32" customHeight="1">
      <c r="A6" s="4" t="inlineStr">
        <is>
          <t>What fundraising costs (grant writing, donor campaigns, events) for every dollar it brings in. Pick a source and every number, chart and note follows it.</t>
        </is>
      </c>
    </row>
    <row r="7"/>
    <row r="8">
      <c r="A8" s="5" t="inlineStr">
        <is>
          <t>Source: All fundraising</t>
        </is>
      </c>
    </row>
    <row r="9">
      <c r="A9" s="6" t="inlineStr">
        <is>
          <t>Headline number</t>
        </is>
      </c>
      <c r="B9" s="7" t="inlineStr">
        <is>
          <t>Value</t>
        </is>
      </c>
      <c r="C9" s="7" t="inlineStr">
        <is>
          <t>Compared with</t>
        </is>
      </c>
    </row>
    <row r="10">
      <c r="A10" t="inlineStr">
        <is>
          <t>December · all fundraising</t>
        </is>
      </c>
      <c r="B10" s="8">
        <f>Workings!B10</f>
        <v/>
      </c>
      <c r="C10" s="9" t="inlineStr">
        <is>
          <t>November 11¢</t>
        </is>
      </c>
    </row>
    <row r="11">
      <c r="A11" t="inlineStr">
        <is>
          <t>Year to date (Jul to Dec 2025)</t>
        </is>
      </c>
      <c r="B11" s="8">
        <f>Workings!B18</f>
        <v/>
      </c>
      <c r="C11" s="9" t="inlineStr">
        <is>
          <t>same period last year: not in the data</t>
        </is>
      </c>
    </row>
    <row r="12"/>
    <row r="13">
      <c r="A13" s="10" t="inlineStr">
        <is>
          <t>Cost to raise a dollar, by source, December 2025 (cents)</t>
        </is>
      </c>
    </row>
    <row r="14">
      <c r="A14" s="6" t="inlineStr"/>
      <c r="B14" s="7" t="inlineStr">
        <is>
          <t>Cost to raise a dollar</t>
        </is>
      </c>
    </row>
    <row r="15">
      <c r="A15" t="inlineStr">
        <is>
          <t>Grants</t>
        </is>
      </c>
      <c r="B15" s="8" t="n">
        <v>10</v>
      </c>
    </row>
    <row r="16">
      <c r="A16" t="inlineStr">
        <is>
          <t>Donations</t>
        </is>
      </c>
      <c r="B16" s="8" t="n">
        <v>17</v>
      </c>
    </row>
    <row r="17">
      <c r="A17" t="inlineStr">
        <is>
          <t>Fundraising events</t>
        </is>
      </c>
      <c r="B17" s="8" t="n">
        <v>42</v>
      </c>
    </row>
    <row r="18"/>
    <row r="19"/>
    <row r="20"/>
    <row r="21"/>
    <row r="22"/>
    <row r="23"/>
    <row r="24"/>
    <row r="25"/>
    <row r="26"/>
    <row r="27">
      <c r="A27" s="11" t="inlineStr">
        <is>
          <t>What it shows</t>
        </is>
      </c>
    </row>
    <row r="28" ht="30" customHeight="1">
      <c r="A28" s="4" t="inlineStr">
        <is>
          <t>December cost 14¢ to raise each dollar, against 11¢ in November. Fundraising events raised $6,200 and cost $2,600. This financial year to date it has cost 14¢ a dollar.</t>
        </is>
      </c>
    </row>
    <row r="29"/>
    <row r="30">
      <c r="A30" s="11" t="inlineStr">
        <is>
          <t>What you'd do about it</t>
        </is>
      </c>
    </row>
    <row r="31" ht="30" customHeight="1">
      <c r="A31" s="4" t="inlineStr">
        <is>
          <t>The year-to-date figure is steadier than single months: events make some months jump. Pick a source above to see which one moves it.</t>
        </is>
      </c>
    </row>
    <row r="32"/>
    <row r="33">
      <c r="A33" s="5" t="inlineStr">
        <is>
          <t>Source: Grants</t>
        </is>
      </c>
    </row>
    <row r="34">
      <c r="A34" s="6" t="inlineStr">
        <is>
          <t>Headline number</t>
        </is>
      </c>
      <c r="B34" s="7" t="inlineStr">
        <is>
          <t>Value</t>
        </is>
      </c>
      <c r="C34" s="7" t="inlineStr">
        <is>
          <t>Compared with</t>
        </is>
      </c>
    </row>
    <row r="35">
      <c r="A35" t="inlineStr">
        <is>
          <t>December · Grants</t>
        </is>
      </c>
      <c r="B35" s="8">
        <f>Workings!B41</f>
        <v/>
      </c>
      <c r="C35" s="9" t="inlineStr">
        <is>
          <t>November 10¢</t>
        </is>
      </c>
    </row>
    <row r="36">
      <c r="A36" t="inlineStr">
        <is>
          <t>Year to date (Jul to Dec 2025)</t>
        </is>
      </c>
      <c r="B36" s="8">
        <f>Workings!B49</f>
        <v/>
      </c>
      <c r="C36" s="9" t="inlineStr">
        <is>
          <t>same period last year: not in the data</t>
        </is>
      </c>
    </row>
    <row r="37"/>
    <row r="38">
      <c r="A38" s="11" t="inlineStr">
        <is>
          <t>What it shows</t>
        </is>
      </c>
    </row>
    <row r="39" ht="30" customHeight="1">
      <c r="A39" s="4" t="inlineStr">
        <is>
          <t>Grants cost 11¢ to raise each dollar this financial year to date ($42,600 of grant writing and reporting for $390,886).</t>
        </is>
      </c>
    </row>
    <row r="40"/>
    <row r="41">
      <c r="A41" s="11" t="inlineStr">
        <is>
          <t>What you'd do about it</t>
        </is>
      </c>
    </row>
    <row r="42" ht="30" customHeight="1">
      <c r="A42" s="4" t="inlineStr">
        <is>
          <t>Usually the cheapest money to raise, as long as the time that goes into applications and acquittals is protected.</t>
        </is>
      </c>
    </row>
    <row r="43"/>
    <row r="44">
      <c r="A44" s="5" t="inlineStr">
        <is>
          <t>Source: Donations</t>
        </is>
      </c>
    </row>
    <row r="45">
      <c r="A45" s="6" t="inlineStr">
        <is>
          <t>Headline number</t>
        </is>
      </c>
      <c r="B45" s="7" t="inlineStr">
        <is>
          <t>Value</t>
        </is>
      </c>
      <c r="C45" s="7" t="inlineStr">
        <is>
          <t>Compared with</t>
        </is>
      </c>
    </row>
    <row r="46">
      <c r="A46" t="inlineStr">
        <is>
          <t>December · Donations</t>
        </is>
      </c>
      <c r="B46" s="8">
        <f>Workings!B58</f>
        <v/>
      </c>
      <c r="C46" s="9" t="inlineStr">
        <is>
          <t>November 17¢</t>
        </is>
      </c>
    </row>
    <row r="47">
      <c r="A47" t="inlineStr">
        <is>
          <t>Year to date (Jul to Dec 2025)</t>
        </is>
      </c>
      <c r="B47" s="8">
        <f>Workings!B66</f>
        <v/>
      </c>
      <c r="C47" s="9" t="inlineStr">
        <is>
          <t>same period last year: not in the data</t>
        </is>
      </c>
    </row>
    <row r="48"/>
    <row r="49">
      <c r="A49" s="11" t="inlineStr">
        <is>
          <t>What it shows</t>
        </is>
      </c>
    </row>
    <row r="50" ht="30" customHeight="1">
      <c r="A50" s="4" t="inlineStr">
        <is>
          <t>Donations cost 15¢ to raise each dollar this financial year to date ($16,300 of donor campaigns for $106,600).</t>
        </is>
      </c>
    </row>
    <row r="51"/>
    <row r="52">
      <c r="A52" s="11" t="inlineStr">
        <is>
          <t>What you'd do about it</t>
        </is>
      </c>
    </row>
    <row r="53" ht="30" customHeight="1">
      <c r="A53" s="4" t="inlineStr">
        <is>
          <t>Steady and cheap, and untied: the money that builds reserves.</t>
        </is>
      </c>
    </row>
    <row r="54"/>
    <row r="55">
      <c r="A55" s="5" t="inlineStr">
        <is>
          <t>Source: Fundraising events</t>
        </is>
      </c>
    </row>
    <row r="56">
      <c r="A56" s="6" t="inlineStr">
        <is>
          <t>Headline number</t>
        </is>
      </c>
      <c r="B56" s="7" t="inlineStr">
        <is>
          <t>Value</t>
        </is>
      </c>
      <c r="C56" s="7" t="inlineStr">
        <is>
          <t>Compared with</t>
        </is>
      </c>
    </row>
    <row r="57">
      <c r="A57" t="inlineStr">
        <is>
          <t>December · Fundraising events</t>
        </is>
      </c>
      <c r="B57" s="8">
        <f>Workings!B75</f>
        <v/>
      </c>
      <c r="C57" s="9" t="inlineStr">
        <is>
          <t>November none raised</t>
        </is>
      </c>
    </row>
    <row r="58">
      <c r="A58" t="inlineStr">
        <is>
          <t>Year to date (Jul to Dec 2025)</t>
        </is>
      </c>
      <c r="B58" s="8">
        <f>Workings!B84</f>
        <v/>
      </c>
      <c r="C58" s="9" t="inlineStr">
        <is>
          <t>same period last year: not in the data</t>
        </is>
      </c>
    </row>
    <row r="59"/>
    <row r="60">
      <c r="A60" s="11" t="inlineStr">
        <is>
          <t>What it shows</t>
        </is>
      </c>
    </row>
    <row r="61" ht="30" customHeight="1">
      <c r="A61" s="4" t="inlineStr">
        <is>
          <t>Fundraising events cost 41¢ to raise each dollar this financial year to date ($17,800 of event costs for $43,000).</t>
        </is>
      </c>
    </row>
    <row r="62"/>
    <row r="63">
      <c r="A63" s="11" t="inlineStr">
        <is>
          <t>What you'd do about it</t>
        </is>
      </c>
    </row>
    <row r="64" ht="30" customHeight="1">
      <c r="A64" s="4" t="inlineStr">
        <is>
          <t>Usually the dearest money to raise: events are worth counting for what else they bring too (new donors, profile).</t>
        </is>
      </c>
    </row>
    <row r="65"/>
    <row r="66">
      <c r="A66" s="5" t="inlineStr">
        <is>
          <t>Every source at once</t>
        </is>
      </c>
    </row>
    <row r="67">
      <c r="A67" s="12" t="inlineStr">
        <is>
          <t>Cost to raise a dollar, by month (cents): every month is on the Data sheet.</t>
        </is>
      </c>
    </row>
    <row r="68"/>
    <row r="69"/>
  </sheetData>
  <mergeCells count="10">
    <mergeCell ref="A5:D5"/>
    <mergeCell ref="A31:D31"/>
    <mergeCell ref="A42:D42"/>
    <mergeCell ref="A6:D6"/>
    <mergeCell ref="A53:D53"/>
    <mergeCell ref="A61:D61"/>
    <mergeCell ref="A50:D50"/>
    <mergeCell ref="A39:D39"/>
    <mergeCell ref="A64:D64"/>
    <mergeCell ref="A28:D28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6" min="0" max="16383" man="1"/>
    <brk id="4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Dec 2025 locked (data retrieved 2pm, Tue 6 Oct 2026) · Generated 22 Oct 2026, 4:57pm</t>
        </is>
      </c>
    </row>
    <row r="4"/>
    <row r="5">
      <c r="A5" s="5" t="inlineStr">
        <is>
          <t>Cost to raise a dollar, all fundraising, December and November</t>
        </is>
      </c>
    </row>
    <row r="6">
      <c r="A6" s="12" t="inlineStr">
        <is>
          <t>Cost of raising it ÷ money raised, in cents</t>
        </is>
      </c>
    </row>
    <row r="7">
      <c r="A7" s="6" t="inlineStr"/>
      <c r="B7" s="7" t="inlineStr">
        <is>
          <t>Dec 25</t>
        </is>
      </c>
      <c r="C7" s="7" t="inlineStr">
        <is>
          <t>Nov 25</t>
        </is>
      </c>
    </row>
    <row r="8">
      <c r="A8" t="inlineStr">
        <is>
          <t>Cost of raising it</t>
        </is>
      </c>
      <c r="B8" s="13" t="n">
        <v>14100</v>
      </c>
      <c r="C8" s="13" t="n">
        <v>10200</v>
      </c>
    </row>
    <row r="9">
      <c r="A9" t="inlineStr">
        <is>
          <t>Money raised</t>
        </is>
      </c>
      <c r="B9" s="13" t="n">
        <v>101093</v>
      </c>
      <c r="C9" s="13" t="n">
        <v>88864</v>
      </c>
    </row>
    <row r="10">
      <c r="A10" s="14" t="inlineStr">
        <is>
          <t>Cents per dollar</t>
        </is>
      </c>
      <c r="B10" s="15">
        <f>B8/B9*100</f>
        <v/>
      </c>
      <c r="C10" s="15">
        <f>C8/C9*100</f>
        <v/>
      </c>
    </row>
    <row r="11"/>
    <row r="12"/>
    <row r="13">
      <c r="A13" s="5" t="inlineStr">
        <is>
          <t>Cost to raise a dollar, all fundraising, year to date</t>
        </is>
      </c>
    </row>
    <row r="14">
      <c r="A14" s="12" t="inlineStr">
        <is>
          <t>Cost ÷ money raised, in cents</t>
        </is>
      </c>
    </row>
    <row r="15">
      <c r="A15" s="6" t="inlineStr"/>
      <c r="B15" s="7" t="inlineStr">
        <is>
          <t>Year to date</t>
        </is>
      </c>
    </row>
    <row r="16">
      <c r="A16" t="inlineStr">
        <is>
          <t>Cost, year to date</t>
        </is>
      </c>
      <c r="B16" s="13" t="n">
        <v>76700</v>
      </c>
    </row>
    <row r="17">
      <c r="A17" t="inlineStr">
        <is>
          <t>Raised, year to date</t>
        </is>
      </c>
      <c r="B17" s="13" t="n">
        <v>540486</v>
      </c>
    </row>
    <row r="18">
      <c r="A18" s="14" t="inlineStr">
        <is>
          <t>Cents, year to date</t>
        </is>
      </c>
      <c r="B18" s="15">
        <f>B16/B17*100</f>
        <v/>
      </c>
    </row>
    <row r="19">
      <c r="A19" s="2" t="inlineStr">
        <is>
          <t>Same period last year: Not available: the data starts October 2024.</t>
        </is>
      </c>
    </row>
    <row r="20"/>
    <row r="21"/>
    <row r="22">
      <c r="A22" s="5" t="inlineStr">
        <is>
          <t>Cost to raise a dollar, by source, December 2025</t>
        </is>
      </c>
    </row>
    <row r="23">
      <c r="A23" s="12" t="inlineStr">
        <is>
          <t>Fundraising cost ÷ money raised, for each source, in cents</t>
        </is>
      </c>
    </row>
    <row r="24">
      <c r="A24" s="6" t="inlineStr"/>
      <c r="B24" s="7" t="inlineStr">
        <is>
          <t>Dec 2025</t>
        </is>
      </c>
    </row>
    <row r="25">
      <c r="A25" t="inlineStr">
        <is>
          <t>Grants: cost (grant writing and reporting)</t>
        </is>
      </c>
      <c r="B25" s="13" t="n">
        <v>7100</v>
      </c>
    </row>
    <row r="26">
      <c r="A26" t="inlineStr">
        <is>
          <t>Grants: raised</t>
        </is>
      </c>
      <c r="B26" s="13" t="n">
        <v>68793</v>
      </c>
    </row>
    <row r="27">
      <c r="A27" t="inlineStr">
        <is>
          <t>Donations: cost (donor campaigns)</t>
        </is>
      </c>
      <c r="B27" s="13" t="n">
        <v>4400</v>
      </c>
    </row>
    <row r="28">
      <c r="A28" t="inlineStr">
        <is>
          <t>Donations: raised</t>
        </is>
      </c>
      <c r="B28" s="13" t="n">
        <v>26100</v>
      </c>
    </row>
    <row r="29">
      <c r="A29" t="inlineStr">
        <is>
          <t>Fundraising events: cost (event costs)</t>
        </is>
      </c>
      <c r="B29" s="13" t="n">
        <v>2600</v>
      </c>
    </row>
    <row r="30">
      <c r="A30" t="inlineStr">
        <is>
          <t>Fundraising events: raised</t>
        </is>
      </c>
      <c r="B30" s="13" t="n">
        <v>6200</v>
      </c>
    </row>
    <row r="31">
      <c r="A31" t="inlineStr">
        <is>
          <t>Grants: cost per dollar raised</t>
        </is>
      </c>
      <c r="B31" s="16">
        <f>B25/B26*100</f>
        <v/>
      </c>
    </row>
    <row r="32">
      <c r="A32" t="inlineStr">
        <is>
          <t>Donations: cost per dollar raised</t>
        </is>
      </c>
      <c r="B32" s="16">
        <f>B27/B28*100</f>
        <v/>
      </c>
    </row>
    <row r="33">
      <c r="A33" s="14" t="inlineStr">
        <is>
          <t>Fundraising events: cost per dollar raised</t>
        </is>
      </c>
      <c r="B33" s="15">
        <f>B29/B30*100</f>
        <v/>
      </c>
    </row>
    <row r="34"/>
    <row r="35"/>
    <row r="36">
      <c r="A36" s="5" t="inlineStr">
        <is>
          <t>Cost to raise a dollar, grants, December and November</t>
        </is>
      </c>
    </row>
    <row r="37">
      <c r="A37" s="12" t="inlineStr">
        <is>
          <t>Cost of raising it ÷ money raised, in cents</t>
        </is>
      </c>
    </row>
    <row r="38">
      <c r="A38" s="6" t="inlineStr"/>
      <c r="B38" s="7" t="inlineStr">
        <is>
          <t>Dec 25</t>
        </is>
      </c>
      <c r="C38" s="7" t="inlineStr">
        <is>
          <t>Nov 25</t>
        </is>
      </c>
    </row>
    <row r="39">
      <c r="A39" t="inlineStr">
        <is>
          <t>Cost of raising it</t>
        </is>
      </c>
      <c r="B39" s="13" t="n">
        <v>7100</v>
      </c>
      <c r="C39" s="13" t="n">
        <v>7100</v>
      </c>
    </row>
    <row r="40">
      <c r="A40" t="inlineStr">
        <is>
          <t>Money raised</t>
        </is>
      </c>
      <c r="B40" s="13" t="n">
        <v>68793</v>
      </c>
      <c r="C40" s="13" t="n">
        <v>70164</v>
      </c>
    </row>
    <row r="41">
      <c r="A41" s="14" t="inlineStr">
        <is>
          <t>Cents per dollar</t>
        </is>
      </c>
      <c r="B41" s="15">
        <f>B39/B40*100</f>
        <v/>
      </c>
      <c r="C41" s="15">
        <f>C39/C40*100</f>
        <v/>
      </c>
    </row>
    <row r="42"/>
    <row r="43"/>
    <row r="44">
      <c r="A44" s="5" t="inlineStr">
        <is>
          <t>Cost to raise a dollar, grants, year to date</t>
        </is>
      </c>
    </row>
    <row r="45">
      <c r="A45" s="12" t="inlineStr">
        <is>
          <t>Cost ÷ money raised, in cents</t>
        </is>
      </c>
    </row>
    <row r="46">
      <c r="A46" s="6" t="inlineStr"/>
      <c r="B46" s="7" t="inlineStr">
        <is>
          <t>Year to date</t>
        </is>
      </c>
    </row>
    <row r="47">
      <c r="A47" t="inlineStr">
        <is>
          <t>Cost, year to date</t>
        </is>
      </c>
      <c r="B47" s="13" t="n">
        <v>42600</v>
      </c>
    </row>
    <row r="48">
      <c r="A48" t="inlineStr">
        <is>
          <t>Raised, year to date</t>
        </is>
      </c>
      <c r="B48" s="13" t="n">
        <v>390886</v>
      </c>
    </row>
    <row r="49">
      <c r="A49" s="14" t="inlineStr">
        <is>
          <t>Cents, year to date</t>
        </is>
      </c>
      <c r="B49" s="15">
        <f>B47/B48*100</f>
        <v/>
      </c>
    </row>
    <row r="50">
      <c r="A50" s="2" t="inlineStr">
        <is>
          <t>Same period last year: Not available: the data starts October 2024.</t>
        </is>
      </c>
    </row>
    <row r="51"/>
    <row r="52"/>
    <row r="53">
      <c r="A53" s="5" t="inlineStr">
        <is>
          <t>Cost to raise a dollar, donations, December and November</t>
        </is>
      </c>
    </row>
    <row r="54">
      <c r="A54" s="12" t="inlineStr">
        <is>
          <t>Cost of raising it ÷ money raised, in cents</t>
        </is>
      </c>
    </row>
    <row r="55">
      <c r="A55" s="6" t="inlineStr"/>
      <c r="B55" s="7" t="inlineStr">
        <is>
          <t>Dec 25</t>
        </is>
      </c>
      <c r="C55" s="7" t="inlineStr">
        <is>
          <t>Nov 25</t>
        </is>
      </c>
    </row>
    <row r="56">
      <c r="A56" t="inlineStr">
        <is>
          <t>Cost of raising it</t>
        </is>
      </c>
      <c r="B56" s="13" t="n">
        <v>4400</v>
      </c>
      <c r="C56" s="13" t="n">
        <v>3100</v>
      </c>
    </row>
    <row r="57">
      <c r="A57" t="inlineStr">
        <is>
          <t>Money raised</t>
        </is>
      </c>
      <c r="B57" s="13" t="n">
        <v>26100</v>
      </c>
      <c r="C57" s="13" t="n">
        <v>18700</v>
      </c>
    </row>
    <row r="58">
      <c r="A58" s="14" t="inlineStr">
        <is>
          <t>Cents per dollar</t>
        </is>
      </c>
      <c r="B58" s="15">
        <f>B56/B57*100</f>
        <v/>
      </c>
      <c r="C58" s="15">
        <f>C56/C57*100</f>
        <v/>
      </c>
    </row>
    <row r="59"/>
    <row r="60"/>
    <row r="61">
      <c r="A61" s="5" t="inlineStr">
        <is>
          <t>Cost to raise a dollar, donations, year to date</t>
        </is>
      </c>
    </row>
    <row r="62">
      <c r="A62" s="12" t="inlineStr">
        <is>
          <t>Cost ÷ money raised, in cents</t>
        </is>
      </c>
    </row>
    <row r="63">
      <c r="A63" s="6" t="inlineStr"/>
      <c r="B63" s="7" t="inlineStr">
        <is>
          <t>Year to date</t>
        </is>
      </c>
    </row>
    <row r="64">
      <c r="A64" t="inlineStr">
        <is>
          <t>Cost, year to date</t>
        </is>
      </c>
      <c r="B64" s="13" t="n">
        <v>16300</v>
      </c>
    </row>
    <row r="65">
      <c r="A65" t="inlineStr">
        <is>
          <t>Raised, year to date</t>
        </is>
      </c>
      <c r="B65" s="13" t="n">
        <v>106600</v>
      </c>
    </row>
    <row r="66">
      <c r="A66" s="14" t="inlineStr">
        <is>
          <t>Cents, year to date</t>
        </is>
      </c>
      <c r="B66" s="15">
        <f>B64/B65*100</f>
        <v/>
      </c>
    </row>
    <row r="67">
      <c r="A67" s="2" t="inlineStr">
        <is>
          <t>Same period last year: Not available: the data starts October 2024.</t>
        </is>
      </c>
    </row>
    <row r="68"/>
    <row r="69"/>
    <row r="70">
      <c r="A70" s="5" t="inlineStr">
        <is>
          <t>Cost to raise a dollar, fundraising events, December and November</t>
        </is>
      </c>
    </row>
    <row r="71">
      <c r="A71" s="12" t="inlineStr">
        <is>
          <t>Cost of raising it ÷ money raised, in cents</t>
        </is>
      </c>
    </row>
    <row r="72">
      <c r="A72" s="6" t="inlineStr"/>
      <c r="B72" s="7" t="inlineStr">
        <is>
          <t>Dec 25</t>
        </is>
      </c>
      <c r="C72" s="7" t="inlineStr">
        <is>
          <t>Nov 25</t>
        </is>
      </c>
    </row>
    <row r="73">
      <c r="A73" t="inlineStr">
        <is>
          <t>Cost of raising it</t>
        </is>
      </c>
      <c r="B73" s="13" t="n">
        <v>2600</v>
      </c>
      <c r="C73" s="13" t="n">
        <v>0</v>
      </c>
    </row>
    <row r="74">
      <c r="A74" t="inlineStr">
        <is>
          <t>Money raised</t>
        </is>
      </c>
      <c r="B74" s="13" t="n">
        <v>6200</v>
      </c>
      <c r="C74" s="13" t="n">
        <v>0</v>
      </c>
    </row>
    <row r="75">
      <c r="A75" s="14" t="inlineStr">
        <is>
          <t>Cents per dollar</t>
        </is>
      </c>
      <c r="B75" s="15">
        <f>B73/B74*100</f>
        <v/>
      </c>
      <c r="C75" s="15">
        <f>IFERROR(C73/C74*100,"–")</f>
        <v/>
      </c>
    </row>
    <row r="76">
      <c r="A76" s="2" t="inlineStr">
        <is>
          <t>Nothing raised in one of the months, so there's no cost per dollar for it.</t>
        </is>
      </c>
    </row>
    <row r="77"/>
    <row r="78"/>
    <row r="79">
      <c r="A79" s="5" t="inlineStr">
        <is>
          <t>Cost to raise a dollar, fundraising events, year to date</t>
        </is>
      </c>
    </row>
    <row r="80">
      <c r="A80" s="12" t="inlineStr">
        <is>
          <t>Cost ÷ money raised, in cents</t>
        </is>
      </c>
    </row>
    <row r="81">
      <c r="A81" s="6" t="inlineStr"/>
      <c r="B81" s="7" t="inlineStr">
        <is>
          <t>Year to date</t>
        </is>
      </c>
    </row>
    <row r="82">
      <c r="A82" t="inlineStr">
        <is>
          <t>Cost, year to date</t>
        </is>
      </c>
      <c r="B82" s="13" t="n">
        <v>17800</v>
      </c>
    </row>
    <row r="83">
      <c r="A83" t="inlineStr">
        <is>
          <t>Raised, year to date</t>
        </is>
      </c>
      <c r="B83" s="13" t="n">
        <v>43000</v>
      </c>
    </row>
    <row r="84">
      <c r="A84" s="14" t="inlineStr">
        <is>
          <t>Cents, year to date</t>
        </is>
      </c>
      <c r="B84" s="15">
        <f>B82/B83*100</f>
        <v/>
      </c>
    </row>
    <row r="85">
      <c r="A85" s="2" t="inlineStr">
        <is>
          <t>Same period last year: Not available: the data starts October 2024.</t>
        </is>
      </c>
    </row>
    <row r="86"/>
    <row r="87"/>
    <row r="8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1" min="0" max="16383" man="1"/>
    <brk id="52" min="0" max="16383" man="1"/>
    <brk id="7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Dec 2025 locked (data retrieved 2pm, Tue 6 Oct 2026) · Generated 22 Oct 2026, 4:57pm</t>
        </is>
      </c>
    </row>
    <row r="4"/>
    <row r="5">
      <c r="A5" s="6" t="inlineStr">
        <is>
          <t>Month</t>
        </is>
      </c>
      <c r="B5" s="7" t="inlineStr">
        <is>
          <t>Status</t>
        </is>
      </c>
      <c r="C5" s="7" t="inlineStr">
        <is>
          <t>Grant writing</t>
        </is>
      </c>
      <c r="D5" s="7" t="inlineStr">
        <is>
          <t>Donor campaigns</t>
        </is>
      </c>
      <c r="E5" s="7" t="inlineStr">
        <is>
          <t>Event costs</t>
        </is>
      </c>
      <c r="F5" s="7" t="inlineStr">
        <is>
          <t>Grant income</t>
        </is>
      </c>
      <c r="G5" s="7" t="inlineStr">
        <is>
          <t>Donations</t>
        </is>
      </c>
      <c r="H5" s="7" t="inlineStr">
        <is>
          <t>Events</t>
        </is>
      </c>
      <c r="I5" s="7" t="inlineStr">
        <is>
          <t>Cents per $1</t>
        </is>
      </c>
    </row>
    <row r="6">
      <c r="A6" s="17" t="inlineStr">
        <is>
          <t>Oct 24</t>
        </is>
      </c>
      <c r="B6" s="17" t="inlineStr">
        <is>
          <t>Locked</t>
        </is>
      </c>
      <c r="C6" s="13" t="n">
        <v>6500</v>
      </c>
      <c r="D6" s="13" t="n">
        <v>2200</v>
      </c>
      <c r="E6" s="13" t="n">
        <v>0</v>
      </c>
      <c r="F6" s="13" t="n">
        <v>26600</v>
      </c>
      <c r="G6" s="13" t="n">
        <v>15300</v>
      </c>
      <c r="H6" s="13" t="n">
        <v>0</v>
      </c>
      <c r="I6" s="16">
        <f>IF(SUM(F6:H6)=0,"",SUM(C6:E6)/SUM(F6:H6)*100)</f>
        <v/>
      </c>
    </row>
    <row r="7">
      <c r="A7" s="17" t="inlineStr">
        <is>
          <t>Nov 24</t>
        </is>
      </c>
      <c r="B7" s="17" t="inlineStr">
        <is>
          <t>Locked</t>
        </is>
      </c>
      <c r="C7" s="13" t="n">
        <v>6500</v>
      </c>
      <c r="D7" s="13" t="n">
        <v>3100</v>
      </c>
      <c r="E7" s="13" t="n">
        <v>0</v>
      </c>
      <c r="F7" s="13" t="n">
        <v>31800</v>
      </c>
      <c r="G7" s="13" t="n">
        <v>17700</v>
      </c>
      <c r="H7" s="13" t="n">
        <v>0</v>
      </c>
      <c r="I7" s="16">
        <f>IF(SUM(F7:H7)=0,"",SUM(C7:E7)/SUM(F7:H7)*100)</f>
        <v/>
      </c>
    </row>
    <row r="8">
      <c r="A8" s="17" t="inlineStr">
        <is>
          <t>Dec 24</t>
        </is>
      </c>
      <c r="B8" s="17" t="inlineStr">
        <is>
          <t>Locked</t>
        </is>
      </c>
      <c r="C8" s="13" t="n">
        <v>6500</v>
      </c>
      <c r="D8" s="13" t="n">
        <v>4400</v>
      </c>
      <c r="E8" s="13" t="n">
        <v>2600</v>
      </c>
      <c r="F8" s="13" t="n">
        <v>29700</v>
      </c>
      <c r="G8" s="13" t="n">
        <v>24700</v>
      </c>
      <c r="H8" s="13" t="n">
        <v>6200</v>
      </c>
      <c r="I8" s="16">
        <f>IF(SUM(F8:H8)=0,"",SUM(C8:E8)/SUM(F8:H8)*100)</f>
        <v/>
      </c>
    </row>
    <row r="9">
      <c r="A9" s="17" t="inlineStr">
        <is>
          <t>Jan 25</t>
        </is>
      </c>
      <c r="B9" s="17" t="inlineStr">
        <is>
          <t>Locked</t>
        </is>
      </c>
      <c r="C9" s="13" t="n">
        <v>6500</v>
      </c>
      <c r="D9" s="13" t="n">
        <v>2200</v>
      </c>
      <c r="E9" s="13" t="n">
        <v>0</v>
      </c>
      <c r="F9" s="13" t="n">
        <v>62700</v>
      </c>
      <c r="G9" s="13" t="n">
        <v>12400</v>
      </c>
      <c r="H9" s="13" t="n">
        <v>0</v>
      </c>
      <c r="I9" s="16">
        <f>IF(SUM(F9:H9)=0,"",SUM(C9:E9)/SUM(F9:H9)*100)</f>
        <v/>
      </c>
    </row>
    <row r="10">
      <c r="A10" s="17" t="inlineStr">
        <is>
          <t>Feb 25</t>
        </is>
      </c>
      <c r="B10" s="17" t="inlineStr">
        <is>
          <t>Locked</t>
        </is>
      </c>
      <c r="C10" s="13" t="n">
        <v>6500</v>
      </c>
      <c r="D10" s="13" t="n">
        <v>2200</v>
      </c>
      <c r="E10" s="13" t="n">
        <v>0</v>
      </c>
      <c r="F10" s="13" t="n">
        <v>61700</v>
      </c>
      <c r="G10" s="13" t="n">
        <v>15600</v>
      </c>
      <c r="H10" s="13" t="n">
        <v>0</v>
      </c>
      <c r="I10" s="16">
        <f>IF(SUM(F10:H10)=0,"",SUM(C10:E10)/SUM(F10:H10)*100)</f>
        <v/>
      </c>
    </row>
    <row r="11">
      <c r="A11" s="17" t="inlineStr">
        <is>
          <t>Mar 25</t>
        </is>
      </c>
      <c r="B11" s="17" t="inlineStr">
        <is>
          <t>Locked</t>
        </is>
      </c>
      <c r="C11" s="13" t="n">
        <v>6500</v>
      </c>
      <c r="D11" s="13" t="n">
        <v>2200</v>
      </c>
      <c r="E11" s="13" t="n">
        <v>0</v>
      </c>
      <c r="F11" s="13" t="n">
        <v>54500</v>
      </c>
      <c r="G11" s="13" t="n">
        <v>15700</v>
      </c>
      <c r="H11" s="13" t="n">
        <v>0</v>
      </c>
      <c r="I11" s="16">
        <f>IF(SUM(F11:H11)=0,"",SUM(C11:E11)/SUM(F11:H11)*100)</f>
        <v/>
      </c>
    </row>
    <row r="12">
      <c r="A12" s="17" t="inlineStr">
        <is>
          <t>Apr 25</t>
        </is>
      </c>
      <c r="B12" s="17" t="inlineStr">
        <is>
          <t>Locked</t>
        </is>
      </c>
      <c r="C12" s="13" t="n">
        <v>6500</v>
      </c>
      <c r="D12" s="13" t="n">
        <v>2200</v>
      </c>
      <c r="E12" s="13" t="n">
        <v>0</v>
      </c>
      <c r="F12" s="13" t="n">
        <v>61500</v>
      </c>
      <c r="G12" s="13" t="n">
        <v>15700</v>
      </c>
      <c r="H12" s="13" t="n">
        <v>0</v>
      </c>
      <c r="I12" s="16">
        <f>IF(SUM(F12:H12)=0,"",SUM(C12:E12)/SUM(F12:H12)*100)</f>
        <v/>
      </c>
    </row>
    <row r="13">
      <c r="A13" s="17" t="inlineStr">
        <is>
          <t>May 25</t>
        </is>
      </c>
      <c r="B13" s="17" t="inlineStr">
        <is>
          <t>Locked</t>
        </is>
      </c>
      <c r="C13" s="13" t="n">
        <v>6500</v>
      </c>
      <c r="D13" s="13" t="n">
        <v>2200</v>
      </c>
      <c r="E13" s="13" t="n">
        <v>0</v>
      </c>
      <c r="F13" s="13" t="n">
        <v>61700</v>
      </c>
      <c r="G13" s="13" t="n">
        <v>15800</v>
      </c>
      <c r="H13" s="13" t="n">
        <v>0</v>
      </c>
      <c r="I13" s="16">
        <f>IF(SUM(F13:H13)=0,"",SUM(C13:E13)/SUM(F13:H13)*100)</f>
        <v/>
      </c>
    </row>
    <row r="14">
      <c r="A14" s="17" t="inlineStr">
        <is>
          <t>Jun 25</t>
        </is>
      </c>
      <c r="B14" s="17" t="inlineStr">
        <is>
          <t>Locked</t>
        </is>
      </c>
      <c r="C14" s="13" t="n">
        <v>6500</v>
      </c>
      <c r="D14" s="13" t="n">
        <v>5500</v>
      </c>
      <c r="E14" s="13" t="n">
        <v>0</v>
      </c>
      <c r="F14" s="13" t="n">
        <v>52200</v>
      </c>
      <c r="G14" s="13" t="n">
        <v>38100</v>
      </c>
      <c r="H14" s="13" t="n">
        <v>0</v>
      </c>
      <c r="I14" s="16">
        <f>IF(SUM(F14:H14)=0,"",SUM(C14:E14)/SUM(F14:H14)*100)</f>
        <v/>
      </c>
    </row>
    <row r="15">
      <c r="A15" s="17" t="inlineStr">
        <is>
          <t>Jul 25</t>
        </is>
      </c>
      <c r="B15" s="17" t="inlineStr">
        <is>
          <t>Locked</t>
        </is>
      </c>
      <c r="C15" s="13" t="n">
        <v>7100</v>
      </c>
      <c r="D15" s="13" t="n">
        <v>2200</v>
      </c>
      <c r="E15" s="13" t="n">
        <v>0</v>
      </c>
      <c r="F15" s="13" t="n">
        <v>59063</v>
      </c>
      <c r="G15" s="13" t="n">
        <v>13500</v>
      </c>
      <c r="H15" s="13" t="n">
        <v>0</v>
      </c>
      <c r="I15" s="16">
        <f>IF(SUM(F15:H15)=0,"",SUM(C15:E15)/SUM(F15:H15)*100)</f>
        <v/>
      </c>
    </row>
    <row r="16">
      <c r="A16" s="17" t="inlineStr">
        <is>
          <t>Aug 25</t>
        </is>
      </c>
      <c r="B16" s="17" t="inlineStr">
        <is>
          <t>Locked</t>
        </is>
      </c>
      <c r="C16" s="13" t="n">
        <v>7100</v>
      </c>
      <c r="D16" s="13" t="n">
        <v>2200</v>
      </c>
      <c r="E16" s="13" t="n">
        <v>0</v>
      </c>
      <c r="F16" s="13" t="n">
        <v>61544</v>
      </c>
      <c r="G16" s="13" t="n">
        <v>16000</v>
      </c>
      <c r="H16" s="13" t="n">
        <v>0</v>
      </c>
      <c r="I16" s="16">
        <f>IF(SUM(F16:H16)=0,"",SUM(C16:E16)/SUM(F16:H16)*100)</f>
        <v/>
      </c>
    </row>
    <row r="17">
      <c r="A17" s="17" t="inlineStr">
        <is>
          <t>Sep 25</t>
        </is>
      </c>
      <c r="B17" s="17" t="inlineStr">
        <is>
          <t>Locked</t>
        </is>
      </c>
      <c r="C17" s="13" t="n">
        <v>7100</v>
      </c>
      <c r="D17" s="13" t="n">
        <v>2200</v>
      </c>
      <c r="E17" s="13" t="n">
        <v>15200</v>
      </c>
      <c r="F17" s="13" t="n">
        <v>62137</v>
      </c>
      <c r="G17" s="13" t="n">
        <v>16100</v>
      </c>
      <c r="H17" s="13" t="n">
        <v>36800</v>
      </c>
      <c r="I17" s="16">
        <f>IF(SUM(F17:H17)=0,"",SUM(C17:E17)/SUM(F17:H17)*100)</f>
        <v/>
      </c>
    </row>
    <row r="18">
      <c r="A18" s="17" t="inlineStr">
        <is>
          <t>Oct 25</t>
        </is>
      </c>
      <c r="B18" s="17" t="inlineStr">
        <is>
          <t>Locked</t>
        </is>
      </c>
      <c r="C18" s="13" t="n">
        <v>7100</v>
      </c>
      <c r="D18" s="13" t="n">
        <v>2200</v>
      </c>
      <c r="E18" s="13" t="n">
        <v>0</v>
      </c>
      <c r="F18" s="13" t="n">
        <v>69185</v>
      </c>
      <c r="G18" s="13" t="n">
        <v>16200</v>
      </c>
      <c r="H18" s="13" t="n">
        <v>0</v>
      </c>
      <c r="I18" s="16">
        <f>IF(SUM(F18:H18)=0,"",SUM(C18:E18)/SUM(F18:H18)*100)</f>
        <v/>
      </c>
    </row>
    <row r="19">
      <c r="A19" s="17" t="inlineStr">
        <is>
          <t>Nov 25</t>
        </is>
      </c>
      <c r="B19" s="17" t="inlineStr">
        <is>
          <t>Locked</t>
        </is>
      </c>
      <c r="C19" s="13" t="n">
        <v>7100</v>
      </c>
      <c r="D19" s="13" t="n">
        <v>3100</v>
      </c>
      <c r="E19" s="13" t="n">
        <v>0</v>
      </c>
      <c r="F19" s="13" t="n">
        <v>70164</v>
      </c>
      <c r="G19" s="13" t="n">
        <v>18700</v>
      </c>
      <c r="H19" s="13" t="n">
        <v>0</v>
      </c>
      <c r="I19" s="16">
        <f>IF(SUM(F19:H19)=0,"",SUM(C19:E19)/SUM(F19:H19)*100)</f>
        <v/>
      </c>
    </row>
    <row r="20">
      <c r="A20" s="17" t="inlineStr">
        <is>
          <t>Dec 25</t>
        </is>
      </c>
      <c r="B20" s="17" t="inlineStr">
        <is>
          <t>Locked</t>
        </is>
      </c>
      <c r="C20" s="13" t="n">
        <v>7100</v>
      </c>
      <c r="D20" s="13" t="n">
        <v>4400</v>
      </c>
      <c r="E20" s="13" t="n">
        <v>2600</v>
      </c>
      <c r="F20" s="13" t="n">
        <v>68793</v>
      </c>
      <c r="G20" s="13" t="n">
        <v>26100</v>
      </c>
      <c r="H20" s="13" t="n">
        <v>6200</v>
      </c>
      <c r="I20" s="16">
        <f>IF(SUM(F20:H20)=0,"",SUM(C20:E20)/SUM(F20:H20)*100)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2026-10-22T06:58:27Z</dcterms:created>
  <dcterms:modified xmlns:dcterms="http://purl.org/dc/terms/" xmlns:xsi="http://www.w3.org/2001/XMLSchema-instance" xsi:type="dcterms:W3CDTF">2026-10-22T06:58:27Z</dcterms:modified>
</cp:coreProperties>
</file>