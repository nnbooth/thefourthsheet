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December">'Report'!$B$9</definedName>
    <definedName name="Couldn_t_reach_December">'Report'!$B$10</definedName>
    <definedName name="Share_reached_December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14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14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0" headerRowCount="1">
  <autoFilter ref="A5:E20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you help this month, and how many couldn't you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521 people helped in December; 43 couldn't be reached (92.4%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December</t>
        </is>
      </c>
      <c r="B9" s="7">
        <f>Workings!B8</f>
        <v/>
      </c>
      <c r="C9" s="8" t="inlineStr">
        <is>
          <t>November 495</t>
        </is>
      </c>
    </row>
    <row r="10">
      <c r="A10" t="inlineStr">
        <is>
          <t>Couldn't reach, December</t>
        </is>
      </c>
      <c r="B10" s="7">
        <f>Workings!B17</f>
        <v/>
      </c>
      <c r="C10" s="8" t="inlineStr">
        <is>
          <t>November 52</t>
        </is>
      </c>
    </row>
    <row r="11">
      <c r="A11" t="inlineStr">
        <is>
          <t>Share reached, December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December 2025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Emergency relief</t>
        </is>
      </c>
      <c r="B17" s="9">
        <f>Workings!B50</f>
        <v/>
      </c>
      <c r="C17" s="7">
        <f>Workings!B48</f>
        <v/>
      </c>
    </row>
    <row r="18">
      <c r="A18" t="inlineStr">
        <is>
          <t>Housing support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December 2025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Waitlist</t>
        </is>
      </c>
      <c r="B31" s="13" t="inlineStr">
        <is>
          <t>17</t>
        </is>
      </c>
    </row>
    <row r="32">
      <c r="A32" s="12" t="inlineStr">
        <is>
          <t>Program at capacity</t>
        </is>
      </c>
      <c r="B32" s="13" t="inlineStr">
        <is>
          <t>15</t>
        </is>
      </c>
    </row>
    <row r="33">
      <c r="A33" s="12" t="inlineStr">
        <is>
          <t>Not eligible</t>
        </is>
      </c>
      <c r="B33" s="13" t="inlineStr">
        <is>
          <t>4</t>
        </is>
      </c>
    </row>
    <row r="34">
      <c r="A34" s="12" t="inlineStr">
        <is>
          <t>Outside the service area</t>
        </is>
      </c>
      <c r="B34" s="13" t="inlineStr">
        <is>
          <t>4</t>
        </is>
      </c>
    </row>
    <row r="35">
      <c r="A35" s="12" t="inlineStr">
        <is>
          <t>Couldn't make contact</t>
        </is>
      </c>
      <c r="B35" s="13" t="inlineStr">
        <is>
          <t>3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521 people were helped in December, and 43 came to a program but couldn't be helped: 92.4% reached (target 90.0%), against 90.5% in November.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Emergency relief reached the smallest share: 88.8% (12 couldn't be helped). The main reason: waitlist (17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15" t="inlineStr">
        <is>
          <t>People helped, December and November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Dec 25</t>
        </is>
      </c>
      <c r="C7" s="6" t="inlineStr">
        <is>
          <t>Nov 25</t>
        </is>
      </c>
    </row>
    <row r="8">
      <c r="A8" t="inlineStr">
        <is>
          <t>People helped</t>
        </is>
      </c>
      <c r="B8" s="16" t="n">
        <v>521</v>
      </c>
      <c r="C8" s="16" t="n">
        <v>495</v>
      </c>
    </row>
    <row r="9">
      <c r="A9" t="inlineStr">
        <is>
          <t>People not reached</t>
        </is>
      </c>
      <c r="B9" s="16" t="n">
        <v>43</v>
      </c>
      <c r="C9" s="16" t="n">
        <v>52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December and November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Dec 25</t>
        </is>
      </c>
      <c r="C15" s="6" t="inlineStr">
        <is>
          <t>Nov 25</t>
        </is>
      </c>
    </row>
    <row r="16">
      <c r="A16" t="inlineStr">
        <is>
          <t>People helped</t>
        </is>
      </c>
      <c r="B16" s="16" t="n">
        <v>521</v>
      </c>
      <c r="C16" s="16" t="n">
        <v>495</v>
      </c>
    </row>
    <row r="17">
      <c r="A17" t="inlineStr">
        <is>
          <t>People not reached</t>
        </is>
      </c>
      <c r="B17" s="16" t="n">
        <v>43</v>
      </c>
      <c r="C17" s="16" t="n">
        <v>52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December and November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Dec 25</t>
        </is>
      </c>
      <c r="C23" s="6" t="inlineStr">
        <is>
          <t>Nov 25</t>
        </is>
      </c>
    </row>
    <row r="24">
      <c r="A24" t="inlineStr">
        <is>
          <t>People helped</t>
        </is>
      </c>
      <c r="B24" s="16" t="n">
        <v>521</v>
      </c>
      <c r="C24" s="16" t="n">
        <v>495</v>
      </c>
    </row>
    <row r="25">
      <c r="A25" t="inlineStr">
        <is>
          <t>People not reached</t>
        </is>
      </c>
      <c r="B25" s="16" t="n">
        <v>43</v>
      </c>
      <c r="C25" s="16" t="n">
        <v>52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December 2025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Dec 2025</t>
        </is>
      </c>
    </row>
    <row r="32">
      <c r="A32" t="inlineStr">
        <is>
          <t>People helped</t>
        </is>
      </c>
      <c r="B32" s="16" t="n">
        <v>173</v>
      </c>
    </row>
    <row r="33">
      <c r="A33" t="inlineStr">
        <is>
          <t>Couldn't reach</t>
        </is>
      </c>
      <c r="B33" s="16" t="n">
        <v>13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December 2025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Dec 2025</t>
        </is>
      </c>
    </row>
    <row r="40">
      <c r="A40" t="inlineStr">
        <is>
          <t>People helped</t>
        </is>
      </c>
      <c r="B40" s="16" t="n">
        <v>104</v>
      </c>
    </row>
    <row r="41">
      <c r="A41" t="inlineStr">
        <is>
          <t>Couldn't reach</t>
        </is>
      </c>
      <c r="B41" s="16" t="n">
        <v>12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Emergency relief, December 2025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Dec 2025</t>
        </is>
      </c>
    </row>
    <row r="48">
      <c r="A48" t="inlineStr">
        <is>
          <t>People helped</t>
        </is>
      </c>
      <c r="B48" s="16" t="n">
        <v>95</v>
      </c>
    </row>
    <row r="49">
      <c r="A49" t="inlineStr">
        <is>
          <t>Couldn't reach</t>
        </is>
      </c>
      <c r="B49" s="16" t="n">
        <v>12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Housing support, December 2025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Dec 2025</t>
        </is>
      </c>
    </row>
    <row r="56">
      <c r="A56" t="inlineStr">
        <is>
          <t>People helped</t>
        </is>
      </c>
      <c r="B56" s="16" t="n">
        <v>94</v>
      </c>
    </row>
    <row r="57">
      <c r="A57" t="inlineStr">
        <is>
          <t>Couldn't reach</t>
        </is>
      </c>
      <c r="B57" s="16" t="n">
        <v>3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December 2025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Dec 2025</t>
        </is>
      </c>
    </row>
    <row r="64">
      <c r="A64" t="inlineStr">
        <is>
          <t>People helped</t>
        </is>
      </c>
      <c r="B64" s="16" t="n">
        <v>55</v>
      </c>
    </row>
    <row r="65">
      <c r="A65" t="inlineStr">
        <is>
          <t>Couldn't reach</t>
        </is>
      </c>
      <c r="B65" s="16" t="n">
        <v>3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December 2025: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