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February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'Data'!$B$6:$B$22</f>
            </numRef>
          </cat>
          <val>
            <numRef>
              <f>'Data'!$D$6:$D$22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'Data'!$B$6:$B$22</f>
            </numRef>
          </cat>
          <val>
            <numRef>
              <f>'Data'!$D$23:$D$39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'Data'!$B$6:$B$22</f>
            </numRef>
          </cat>
          <val>
            <numRef>
              <f>'Data'!$D$40:$D$56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56" headerRowCount="1">
  <autoFilter ref="A5:G56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 ht="32" customHeight="1">
      <c r="A5" s="3" t="inlineStr">
        <is>
          <t>In short: Grants cost 13¢ to raise each dollar in February; donations 13¢.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February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13</v>
      </c>
    </row>
    <row r="12">
      <c r="A12" t="inlineStr">
        <is>
          <t>Donations</t>
        </is>
      </c>
      <c r="B12" s="9" t="n">
        <v>13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February it cost: Grants 13¢, donations 13¢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February: grants (13¢ a dollar). Dearest: donations (13¢).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$506,430 raised this financial year to date (73.9% of everything raised), $56,800 to raise it, so $449,630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$136,100 raised this financial year to date (19.9% of everything raised), $20,700 to raise it, so $115,400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$43,000 raised this financial year to date (6.3% of everything raised), $17,800 to raise it, so $25,200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Workings!B25</f>
        <v/>
      </c>
      <c r="C52" s="11" t="inlineStr">
        <is>
          <t>per $1 raised in February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February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Feb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Feb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$506,430</t>
        </is>
      </c>
      <c r="C60" s="15" t="inlineStr">
        <is>
          <t>$56,800</t>
        </is>
      </c>
      <c r="D60" s="15" t="inlineStr">
        <is>
          <t>$449,630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$136,100</t>
        </is>
      </c>
      <c r="C61" s="15" t="inlineStr">
        <is>
          <t>$20,700</t>
        </is>
      </c>
      <c r="D61" s="15" t="inlineStr">
        <is>
          <t>$115,400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$43,000</t>
        </is>
      </c>
      <c r="C62" s="15" t="inlineStr">
        <is>
          <t>$17,800</t>
        </is>
      </c>
      <c r="D62" s="15" t="inlineStr">
        <is>
          <t>$25,200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5" t="inlineStr">
        <is>
          <t>Cost to raise a dollar, by source, February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Feb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55759</v>
      </c>
    </row>
    <row r="10">
      <c r="A10" t="inlineStr">
        <is>
          <t>Donations: cost (donor campaigns)</t>
        </is>
      </c>
      <c r="B10" s="16" t="n">
        <v>2200</v>
      </c>
    </row>
    <row r="11">
      <c r="A11" t="inlineStr">
        <is>
          <t>Donations: raised</t>
        </is>
      </c>
      <c r="B11" s="16" t="n">
        <v>16400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February. </t>
        </is>
      </c>
    </row>
    <row r="15"/>
    <row r="16"/>
    <row r="17">
      <c r="A17" s="5" t="inlineStr">
        <is>
          <t>Cost to raise a dollar, by source, February 2026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Feb 2026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55759</v>
      </c>
    </row>
    <row r="22">
      <c r="A22" t="inlineStr">
        <is>
          <t>Donations: cost (donor campaigns)</t>
        </is>
      </c>
      <c r="B22" s="16" t="n">
        <v>2200</v>
      </c>
    </row>
    <row r="23">
      <c r="A23" t="inlineStr">
        <is>
          <t>Donations: raised</t>
        </is>
      </c>
      <c r="B23" s="16" t="n">
        <v>16400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February. </t>
        </is>
      </c>
    </row>
    <row r="27"/>
    <row r="28"/>
    <row r="29">
      <c r="A29" s="5" t="inlineStr">
        <is>
          <t>Cost to raise a dollar, by source, February 2026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Feb 2026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55759</v>
      </c>
    </row>
    <row r="34">
      <c r="A34" t="inlineStr">
        <is>
          <t>Donations: cost (donor campaigns)</t>
        </is>
      </c>
      <c r="B34" s="16" t="n">
        <v>2200</v>
      </c>
    </row>
    <row r="35">
      <c r="A35" t="inlineStr">
        <is>
          <t>Donations: raised</t>
        </is>
      </c>
      <c r="B35" s="16" t="n">
        <v>16400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February. </t>
        </is>
      </c>
    </row>
    <row r="39"/>
    <row r="40"/>
    <row r="41">
      <c r="A41" s="5" t="inlineStr">
        <is>
          <t>Raised, financial year to date (Jul to Feb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506430</v>
      </c>
    </row>
    <row r="45">
      <c r="A45" t="inlineStr">
        <is>
          <t>Donations, raised</t>
        </is>
      </c>
      <c r="B45" s="16" t="n">
        <v>136100</v>
      </c>
    </row>
    <row r="46">
      <c r="A46" t="inlineStr">
        <is>
          <t>Fundraising events, raised</t>
        </is>
      </c>
      <c r="B46" s="16" t="n">
        <v>43000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Donations</t>
        </is>
      </c>
      <c r="B23" s="21" t="inlineStr">
        <is>
          <t>Oct 24</t>
        </is>
      </c>
      <c r="C23" s="21" t="inlineStr">
        <is>
          <t>Locked</t>
        </is>
      </c>
      <c r="D23" s="16" t="n">
        <v>15300</v>
      </c>
      <c r="E23" s="16" t="n">
        <v>2200</v>
      </c>
      <c r="F23" s="16">
        <f>D23-E23</f>
        <v/>
      </c>
      <c r="G23" s="17">
        <f>IF(D23=0,"",E23/D23*100)</f>
        <v/>
      </c>
    </row>
    <row r="24">
      <c r="A24" s="21" t="inlineStr">
        <is>
          <t>Donations</t>
        </is>
      </c>
      <c r="B24" s="21" t="inlineStr">
        <is>
          <t>Nov 24</t>
        </is>
      </c>
      <c r="C24" s="21" t="inlineStr">
        <is>
          <t>Locked</t>
        </is>
      </c>
      <c r="D24" s="16" t="n">
        <v>17700</v>
      </c>
      <c r="E24" s="16" t="n">
        <v>3100</v>
      </c>
      <c r="F24" s="16">
        <f>D24-E24</f>
        <v/>
      </c>
      <c r="G24" s="17">
        <f>IF(D24=0,"",E24/D24*100)</f>
        <v/>
      </c>
    </row>
    <row r="25">
      <c r="A25" s="21" t="inlineStr">
        <is>
          <t>Donations</t>
        </is>
      </c>
      <c r="B25" s="21" t="inlineStr">
        <is>
          <t>Dec 24</t>
        </is>
      </c>
      <c r="C25" s="21" t="inlineStr">
        <is>
          <t>Locked</t>
        </is>
      </c>
      <c r="D25" s="16" t="n">
        <v>24700</v>
      </c>
      <c r="E25" s="16" t="n">
        <v>4400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Jan 25</t>
        </is>
      </c>
      <c r="C26" s="21" t="inlineStr">
        <is>
          <t>Locked</t>
        </is>
      </c>
      <c r="D26" s="16" t="n">
        <v>12400</v>
      </c>
      <c r="E26" s="16" t="n">
        <v>2200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Feb 25</t>
        </is>
      </c>
      <c r="C27" s="21" t="inlineStr">
        <is>
          <t>Locked</t>
        </is>
      </c>
      <c r="D27" s="16" t="n">
        <v>15600</v>
      </c>
      <c r="E27" s="16" t="n">
        <v>2200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Mar 25</t>
        </is>
      </c>
      <c r="C28" s="21" t="inlineStr">
        <is>
          <t>Locked</t>
        </is>
      </c>
      <c r="D28" s="16" t="n">
        <v>15700</v>
      </c>
      <c r="E28" s="16" t="n">
        <v>2200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Apr 25</t>
        </is>
      </c>
      <c r="C29" s="21" t="inlineStr">
        <is>
          <t>Locked</t>
        </is>
      </c>
      <c r="D29" s="16" t="n">
        <v>15700</v>
      </c>
      <c r="E29" s="16" t="n">
        <v>2200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May 25</t>
        </is>
      </c>
      <c r="C30" s="21" t="inlineStr">
        <is>
          <t>Locked</t>
        </is>
      </c>
      <c r="D30" s="16" t="n">
        <v>15800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Jun 25</t>
        </is>
      </c>
      <c r="C31" s="21" t="inlineStr">
        <is>
          <t>Locked</t>
        </is>
      </c>
      <c r="D31" s="16" t="n">
        <v>38100</v>
      </c>
      <c r="E31" s="16" t="n">
        <v>5500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Jul 25</t>
        </is>
      </c>
      <c r="C32" s="21" t="inlineStr">
        <is>
          <t>Locked</t>
        </is>
      </c>
      <c r="D32" s="16" t="n">
        <v>13500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Aug 25</t>
        </is>
      </c>
      <c r="C33" s="21" t="inlineStr">
        <is>
          <t>Locked</t>
        </is>
      </c>
      <c r="D33" s="16" t="n">
        <v>16000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Sep 25</t>
        </is>
      </c>
      <c r="C34" s="21" t="inlineStr">
        <is>
          <t>Locked</t>
        </is>
      </c>
      <c r="D34" s="16" t="n">
        <v>16100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Oct 25</t>
        </is>
      </c>
      <c r="C35" s="21" t="inlineStr">
        <is>
          <t>Locked</t>
        </is>
      </c>
      <c r="D35" s="16" t="n">
        <v>16200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Nov 25</t>
        </is>
      </c>
      <c r="C36" s="21" t="inlineStr">
        <is>
          <t>Locked</t>
        </is>
      </c>
      <c r="D36" s="16" t="n">
        <v>18700</v>
      </c>
      <c r="E36" s="16" t="n">
        <v>3100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Dec 25</t>
        </is>
      </c>
      <c r="C37" s="21" t="inlineStr">
        <is>
          <t>Locked</t>
        </is>
      </c>
      <c r="D37" s="16" t="n">
        <v>26100</v>
      </c>
      <c r="E37" s="16" t="n">
        <v>4400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Jan 26</t>
        </is>
      </c>
      <c r="C38" s="21" t="inlineStr">
        <is>
          <t>Locked</t>
        </is>
      </c>
      <c r="D38" s="16" t="n">
        <v>13100</v>
      </c>
      <c r="E38" s="16" t="n">
        <v>2200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Feb 26</t>
        </is>
      </c>
      <c r="C39" s="21" t="inlineStr">
        <is>
          <t>Locked</t>
        </is>
      </c>
      <c r="D39" s="16" t="n">
        <v>16400</v>
      </c>
      <c r="E39" s="16" t="n">
        <v>2200</v>
      </c>
      <c r="F39" s="16">
        <f>D39-E39</f>
        <v/>
      </c>
      <c r="G39" s="17">
        <f>IF(D39=0,"",E39/D39*100)</f>
        <v/>
      </c>
    </row>
    <row r="40">
      <c r="A40" s="21" t="inlineStr">
        <is>
          <t>Fundraising events</t>
        </is>
      </c>
      <c r="B40" s="21" t="inlineStr">
        <is>
          <t>Oct 24</t>
        </is>
      </c>
      <c r="C40" s="21" t="inlineStr">
        <is>
          <t>Locked</t>
        </is>
      </c>
      <c r="D40" s="16" t="n">
        <v>0</v>
      </c>
      <c r="E40" s="16" t="n">
        <v>0</v>
      </c>
      <c r="F40" s="16">
        <f>D40-E40</f>
        <v/>
      </c>
      <c r="G40" s="17">
        <f>IF(D40=0,"",E40/D40*100)</f>
        <v/>
      </c>
    </row>
    <row r="41">
      <c r="A41" s="21" t="inlineStr">
        <is>
          <t>Fundraising events</t>
        </is>
      </c>
      <c r="B41" s="21" t="inlineStr">
        <is>
          <t>Nov 24</t>
        </is>
      </c>
      <c r="C41" s="21" t="inlineStr">
        <is>
          <t>Locked</t>
        </is>
      </c>
      <c r="D41" s="16" t="n">
        <v>0</v>
      </c>
      <c r="E41" s="16" t="n">
        <v>0</v>
      </c>
      <c r="F41" s="16">
        <f>D41-E41</f>
        <v/>
      </c>
      <c r="G41" s="17">
        <f>IF(D41=0,"",E41/D41*100)</f>
        <v/>
      </c>
    </row>
    <row r="42">
      <c r="A42" s="21" t="inlineStr">
        <is>
          <t>Fundraising events</t>
        </is>
      </c>
      <c r="B42" s="21" t="inlineStr">
        <is>
          <t>Dec 24</t>
        </is>
      </c>
      <c r="C42" s="21" t="inlineStr">
        <is>
          <t>Locked</t>
        </is>
      </c>
      <c r="D42" s="16" t="n">
        <v>6200</v>
      </c>
      <c r="E42" s="16" t="n">
        <v>2600</v>
      </c>
      <c r="F42" s="16">
        <f>D42-E42</f>
        <v/>
      </c>
      <c r="G42" s="17">
        <f>IF(D42=0,"",E42/D42*100)</f>
        <v/>
      </c>
    </row>
    <row r="43">
      <c r="A43" s="21" t="inlineStr">
        <is>
          <t>Fundraising events</t>
        </is>
      </c>
      <c r="B43" s="21" t="inlineStr">
        <is>
          <t>Jan 25</t>
        </is>
      </c>
      <c r="C43" s="21" t="inlineStr">
        <is>
          <t>Locked</t>
        </is>
      </c>
      <c r="D43" s="16" t="n">
        <v>0</v>
      </c>
      <c r="E43" s="16" t="n">
        <v>0</v>
      </c>
      <c r="F43" s="16">
        <f>D43-E43</f>
        <v/>
      </c>
      <c r="G43" s="17">
        <f>IF(D43=0,"",E43/D43*100)</f>
        <v/>
      </c>
    </row>
    <row r="44">
      <c r="A44" s="21" t="inlineStr">
        <is>
          <t>Fundraising events</t>
        </is>
      </c>
      <c r="B44" s="21" t="inlineStr">
        <is>
          <t>Feb 25</t>
        </is>
      </c>
      <c r="C44" s="21" t="inlineStr">
        <is>
          <t>Locked</t>
        </is>
      </c>
      <c r="D44" s="16" t="n">
        <v>0</v>
      </c>
      <c r="E44" s="16" t="n">
        <v>0</v>
      </c>
      <c r="F44" s="16">
        <f>D44-E44</f>
        <v/>
      </c>
      <c r="G44" s="17">
        <f>IF(D44=0,"",E44/D44*100)</f>
        <v/>
      </c>
    </row>
    <row r="45">
      <c r="A45" s="21" t="inlineStr">
        <is>
          <t>Fundraising events</t>
        </is>
      </c>
      <c r="B45" s="21" t="inlineStr">
        <is>
          <t>Mar 25</t>
        </is>
      </c>
      <c r="C45" s="21" t="inlineStr">
        <is>
          <t>Locked</t>
        </is>
      </c>
      <c r="D45" s="16" t="n">
        <v>0</v>
      </c>
      <c r="E45" s="16" t="n">
        <v>0</v>
      </c>
      <c r="F45" s="16">
        <f>D45-E45</f>
        <v/>
      </c>
      <c r="G45" s="17">
        <f>IF(D45=0,"",E45/D45*100)</f>
        <v/>
      </c>
    </row>
    <row r="46">
      <c r="A46" s="21" t="inlineStr">
        <is>
          <t>Fundraising events</t>
        </is>
      </c>
      <c r="B46" s="21" t="inlineStr">
        <is>
          <t>Apr 25</t>
        </is>
      </c>
      <c r="C46" s="21" t="inlineStr">
        <is>
          <t>Locked</t>
        </is>
      </c>
      <c r="D46" s="16" t="n">
        <v>0</v>
      </c>
      <c r="E46" s="16" t="n">
        <v>0</v>
      </c>
      <c r="F46" s="16">
        <f>D46-E46</f>
        <v/>
      </c>
      <c r="G46" s="17">
        <f>IF(D46=0,"",E46/D46*100)</f>
        <v/>
      </c>
    </row>
    <row r="47">
      <c r="A47" s="21" t="inlineStr">
        <is>
          <t>Fundraising events</t>
        </is>
      </c>
      <c r="B47" s="21" t="inlineStr">
        <is>
          <t>May 25</t>
        </is>
      </c>
      <c r="C47" s="21" t="inlineStr">
        <is>
          <t>Locked</t>
        </is>
      </c>
      <c r="D47" s="16" t="n">
        <v>0</v>
      </c>
      <c r="E47" s="16" t="n">
        <v>0</v>
      </c>
      <c r="F47" s="16">
        <f>D47-E47</f>
        <v/>
      </c>
      <c r="G47" s="17">
        <f>IF(D47=0,"",E47/D47*100)</f>
        <v/>
      </c>
    </row>
    <row r="48">
      <c r="A48" s="21" t="inlineStr">
        <is>
          <t>Fundraising events</t>
        </is>
      </c>
      <c r="B48" s="21" t="inlineStr">
        <is>
          <t>Jun 25</t>
        </is>
      </c>
      <c r="C48" s="21" t="inlineStr">
        <is>
          <t>Locked</t>
        </is>
      </c>
      <c r="D48" s="16" t="n">
        <v>0</v>
      </c>
      <c r="E48" s="16" t="n">
        <v>0</v>
      </c>
      <c r="F48" s="16">
        <f>D48-E48</f>
        <v/>
      </c>
      <c r="G48" s="17">
        <f>IF(D48=0,"",E48/D48*100)</f>
        <v/>
      </c>
    </row>
    <row r="49">
      <c r="A49" s="21" t="inlineStr">
        <is>
          <t>Fundraising events</t>
        </is>
      </c>
      <c r="B49" s="21" t="inlineStr">
        <is>
          <t>Jul 25</t>
        </is>
      </c>
      <c r="C49" s="21" t="inlineStr">
        <is>
          <t>Locked</t>
        </is>
      </c>
      <c r="D49" s="16" t="n">
        <v>0</v>
      </c>
      <c r="E49" s="16" t="n">
        <v>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Aug 25</t>
        </is>
      </c>
      <c r="C50" s="21" t="inlineStr">
        <is>
          <t>Locked</t>
        </is>
      </c>
      <c r="D50" s="16" t="n">
        <v>0</v>
      </c>
      <c r="E50" s="16" t="n">
        <v>0</v>
      </c>
      <c r="F50" s="16">
        <f>D50-E50</f>
        <v/>
      </c>
      <c r="G50" s="17">
        <f>IF(D50=0,"",E50/D50*100)</f>
        <v/>
      </c>
    </row>
    <row r="51">
      <c r="A51" s="21" t="inlineStr">
        <is>
          <t>Fundraising events</t>
        </is>
      </c>
      <c r="B51" s="21" t="inlineStr">
        <is>
          <t>Sep 25</t>
        </is>
      </c>
      <c r="C51" s="21" t="inlineStr">
        <is>
          <t>Locked</t>
        </is>
      </c>
      <c r="D51" s="16" t="n">
        <v>36800</v>
      </c>
      <c r="E51" s="16" t="n">
        <v>15200</v>
      </c>
      <c r="F51" s="16">
        <f>D51-E51</f>
        <v/>
      </c>
      <c r="G51" s="17">
        <f>IF(D51=0,"",E51/D51*100)</f>
        <v/>
      </c>
    </row>
    <row r="52">
      <c r="A52" s="21" t="inlineStr">
        <is>
          <t>Fundraising events</t>
        </is>
      </c>
      <c r="B52" s="21" t="inlineStr">
        <is>
          <t>Oct 25</t>
        </is>
      </c>
      <c r="C52" s="21" t="inlineStr">
        <is>
          <t>Locked</t>
        </is>
      </c>
      <c r="D52" s="16" t="n">
        <v>0</v>
      </c>
      <c r="E52" s="16" t="n">
        <v>0</v>
      </c>
      <c r="F52" s="16">
        <f>D52-E52</f>
        <v/>
      </c>
      <c r="G52" s="17">
        <f>IF(D52=0,"",E52/D52*100)</f>
        <v/>
      </c>
    </row>
    <row r="53">
      <c r="A53" s="21" t="inlineStr">
        <is>
          <t>Fundraising events</t>
        </is>
      </c>
      <c r="B53" s="21" t="inlineStr">
        <is>
          <t>Nov 25</t>
        </is>
      </c>
      <c r="C53" s="21" t="inlineStr">
        <is>
          <t>Locked</t>
        </is>
      </c>
      <c r="D53" s="16" t="n">
        <v>0</v>
      </c>
      <c r="E53" s="16" t="n">
        <v>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Dec 25</t>
        </is>
      </c>
      <c r="C54" s="21" t="inlineStr">
        <is>
          <t>Locked</t>
        </is>
      </c>
      <c r="D54" s="16" t="n">
        <v>6200</v>
      </c>
      <c r="E54" s="16" t="n">
        <v>2600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Jan 26</t>
        </is>
      </c>
      <c r="C55" s="21" t="inlineStr">
        <is>
          <t>Locked</t>
        </is>
      </c>
      <c r="D55" s="16" t="n">
        <v>0</v>
      </c>
      <c r="E55" s="16" t="n">
        <v>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Feb 26</t>
        </is>
      </c>
      <c r="C56" s="21" t="inlineStr">
        <is>
          <t>Locked</t>
        </is>
      </c>
      <c r="D56" s="16" t="n">
        <v>0</v>
      </c>
      <c r="E56" s="16" t="n">
        <v>0</v>
      </c>
      <c r="F56" s="16">
        <f>D56-E56</f>
        <v/>
      </c>
      <c r="G56" s="17">
        <f>IF(D56=0,"",E56/D56*100)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2" min="0" max="16383" man="1"/>
    <brk id="39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