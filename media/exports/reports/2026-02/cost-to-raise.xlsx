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February_all_fundraising">'Report'!$B$10</definedName>
    <definedName name="Year_to_date_Jul_to_Feb_2026">'Report'!$B$11</definedName>
    <definedName name="February_Grants">'Report'!$B$35</definedName>
    <definedName name="Year_to_date_Jul_to_Feb_2026_2">'Report'!$B$36</definedName>
    <definedName name="February_Donations">'Report'!$B$46</definedName>
    <definedName name="Year_to_date_Jul_to_Feb_2026_3">'Report'!$B$47</definedName>
    <definedName name="February_Fundraising_events">'Report'!$B$57</definedName>
    <definedName name="Year_to_date_Jul_to_Feb_2026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February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'Data'!$A$6:$A$22</f>
            </numRef>
          </cat>
          <val>
            <numRef>
              <f>'Data'!$C$6:$C$22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2" headerRowCount="1">
  <autoFilter ref="A5:I22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 ht="32" customHeight="1">
      <c r="A5" s="3" t="inlineStr">
        <is>
          <t>In short: Each dollar raised cost 13¢ in February,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February · all fundraising</t>
        </is>
      </c>
      <c r="B10" s="8">
        <f>Workings!B10</f>
        <v/>
      </c>
      <c r="C10" s="9" t="inlineStr">
        <is>
          <t>January 13¢</t>
        </is>
      </c>
    </row>
    <row r="11">
      <c r="A11" t="inlineStr">
        <is>
          <t>Year to date (Jul to Feb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February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13</v>
      </c>
    </row>
    <row r="16">
      <c r="A16" t="inlineStr">
        <is>
          <t>Donations</t>
        </is>
      </c>
      <c r="B16" s="8" t="n">
        <v>13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February cost 13¢ to raise each dollar, against 13¢ in January.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February · Grants</t>
        </is>
      </c>
      <c r="B35" s="8">
        <f>Workings!B39</f>
        <v/>
      </c>
      <c r="C35" s="9" t="inlineStr">
        <is>
          <t>January 12¢</t>
        </is>
      </c>
    </row>
    <row r="36">
      <c r="A36" t="inlineStr">
        <is>
          <t>Year to date (Jul to Feb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($56,800 of grant writing and reporting for $506,430).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February · Donations</t>
        </is>
      </c>
      <c r="B46" s="8">
        <f>Workings!B56</f>
        <v/>
      </c>
      <c r="C46" s="9" t="inlineStr">
        <is>
          <t>January 17¢</t>
        </is>
      </c>
    </row>
    <row r="47">
      <c r="A47" t="inlineStr">
        <is>
          <t>Year to date (Jul to Feb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($20,700 of donor campaigns for $136,100).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February · Fundraising events</t>
        </is>
      </c>
      <c r="B57" t="inlineStr">
        <is>
          <t>–</t>
        </is>
      </c>
      <c r="C57" s="9" t="inlineStr">
        <is>
          <t>January none raised</t>
        </is>
      </c>
    </row>
    <row r="58">
      <c r="A58" t="inlineStr">
        <is>
          <t>Year to date (Jul to Feb 2026)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5" t="inlineStr">
        <is>
          <t>Cost to raise a dollar, all fundraising, February and January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Feb 26</t>
        </is>
      </c>
      <c r="C7" s="7" t="inlineStr">
        <is>
          <t>Jan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72159</v>
      </c>
      <c r="C9" s="13" t="n">
        <v>72885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95300</v>
      </c>
    </row>
    <row r="17">
      <c r="A17" t="inlineStr">
        <is>
          <t>Raised, year to date</t>
        </is>
      </c>
      <c r="B17" s="13" t="n">
        <v>685530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February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Feb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55759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16400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February. </t>
        </is>
      </c>
    </row>
    <row r="32"/>
    <row r="33"/>
    <row r="34">
      <c r="A34" s="5" t="inlineStr">
        <is>
          <t>Cost to raise a dollar, grants, February and January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Feb 26</t>
        </is>
      </c>
      <c r="C36" s="7" t="inlineStr">
        <is>
          <t>Jan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55759</v>
      </c>
      <c r="C38" s="13" t="n">
        <v>59785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56800</v>
      </c>
    </row>
    <row r="46">
      <c r="A46" t="inlineStr">
        <is>
          <t>Raised, year to date</t>
        </is>
      </c>
      <c r="B46" s="13" t="n">
        <v>506430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February and January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Feb 26</t>
        </is>
      </c>
      <c r="C53" s="7" t="inlineStr">
        <is>
          <t>Jan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16400</v>
      </c>
      <c r="C55" s="13" t="n">
        <v>13100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20700</v>
      </c>
    </row>
    <row r="63">
      <c r="A63" t="inlineStr">
        <is>
          <t>Raised, year to date</t>
        </is>
      </c>
      <c r="B63" s="13" t="n">
        <v>136100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February and January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Feb 26</t>
        </is>
      </c>
      <c r="C70" s="7" t="inlineStr">
        <is>
          <t>Jan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February 2026 · Data status: Feb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