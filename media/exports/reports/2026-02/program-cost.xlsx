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'Report'!$A$1:$D$58</definedName>
    <definedName name="_xlnm.Print_Area" localSheetId="1">'Workings'!$A$1:$B$54</definedName>
    <definedName name="_xlnm.Print_Titles" localSheetId="2">'Data'!$9:$9</definedName>
    <definedName name="_xlnm.Print_Area" localSheetId="2">'Data'!$A$1:$F$13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February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'Report'!$A$11:$A$14</f>
            </numRef>
          </cat>
          <val>
            <numRef>
              <f>'Report'!$B$11:$B$14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3" headerRowCount="1">
  <autoFilter ref="A9:F13"/>
  <tableColumns count="6">
    <tableColumn id="1" name="Program"/>
    <tableColumn id="2" name="Grant spending, Feb 2026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 ht="32" customHeight="1">
      <c r="A5" s="3" t="inlineStr">
        <is>
          <t>In short: Housing support costs $51,514 in full in February: $25,006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February 2026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Workings!B28</f>
        <v/>
      </c>
      <c r="C12" s="10">
        <f>Workings!B23</f>
        <v/>
      </c>
    </row>
    <row r="13">
      <c r="A13" t="inlineStr">
        <is>
          <t>Digital literacy</t>
        </is>
      </c>
      <c r="B13" s="9">
        <f>Workings!B41</f>
        <v/>
      </c>
      <c r="C13" s="10">
        <f>Workings!B36</f>
        <v/>
      </c>
    </row>
    <row r="14">
      <c r="A14" t="inlineStr">
        <is>
          <t>Community meals (2025-26)</t>
        </is>
      </c>
      <c r="B14" s="9">
        <f>Workings!B54</f>
        <v/>
      </c>
      <c r="C14" s="10">
        <f>Workings!B49</f>
        <v/>
      </c>
    </row>
    <row r="15"/>
    <row r="16"/>
    <row r="17"/>
    <row r="18"/>
    <row r="19"/>
    <row r="20"/>
    <row r="21"/>
    <row r="22"/>
    <row r="23">
      <c r="A23" s="11" t="inlineStr">
        <is>
          <t>What it shows</t>
        </is>
      </c>
    </row>
    <row r="24" ht="45" customHeight="1">
      <c r="A24" s="4" t="inlineStr">
        <is>
          <t>Housing support is the biggest program: $51,514 in February once its share of untied program costs and administration is added to $26,508 of grant spending. Shared costs add 94.3% on top of grant spending across all programs.</t>
        </is>
      </c>
    </row>
    <row r="25"/>
    <row r="26">
      <c r="A26" s="11" t="inlineStr">
        <is>
          <t>What you'd do about it</t>
        </is>
      </c>
    </row>
    <row r="27" ht="30" customHeight="1">
      <c r="A27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28"/>
    <row r="29">
      <c r="A29" s="5" t="inlineStr">
        <is>
          <t>Program: Housing support</t>
        </is>
      </c>
    </row>
    <row r="30">
      <c r="A30" s="11" t="inlineStr">
        <is>
          <t>What it shows</t>
        </is>
      </c>
    </row>
    <row r="31" ht="45" customHeight="1">
      <c r="A31" s="4" t="inlineStr">
        <is>
          <t>Housing support cost $51,514 in full in February: $26,508 paid by the State Housing Program grant, and $25,006 of shared costs no grant covers. It has spent 95.0% of its budget to date, with $302,990 left and 10 months to go.</t>
        </is>
      </c>
    </row>
    <row r="32"/>
    <row r="33">
      <c r="A33" s="11" t="inlineStr">
        <is>
          <t>What you'd do about it</t>
        </is>
      </c>
    </row>
    <row r="34" ht="30" customHeight="1">
      <c r="A34" s="4" t="inlineStr">
        <is>
          <t>The full cost is $51,514 a month; $25,006 of it is shared cost the grant doesn't pay for. Worth asking for as much of it as the funder allows at renewal.</t>
        </is>
      </c>
    </row>
    <row r="35"/>
    <row r="36">
      <c r="A36" s="5" t="inlineStr">
        <is>
          <t>Program: Youth outreach</t>
        </is>
      </c>
    </row>
    <row r="37">
      <c r="A37" s="11" t="inlineStr">
        <is>
          <t>What it shows</t>
        </is>
      </c>
    </row>
    <row r="38" ht="45" customHeight="1">
      <c r="A38" s="4" t="inlineStr">
        <is>
          <t>Youth outreach cost $40,311 in full in February: $20,743 paid by the State Department of Families grant, and $19,568 of shared costs no grant covers. It has spent 100.1% of its budget to date, with $319,780 left and 16 months to go.</t>
        </is>
      </c>
    </row>
    <row r="39"/>
    <row r="40">
      <c r="A40" s="11" t="inlineStr">
        <is>
          <t>What you'd do about it</t>
        </is>
      </c>
    </row>
    <row r="41" ht="30" customHeight="1">
      <c r="A41" s="4" t="inlineStr">
        <is>
          <t>The full cost is $40,311 a month; $19,568 of it is shared cost the grant doesn't pay for. Worth asking for as much of it as the funder allows at renewal.</t>
        </is>
      </c>
    </row>
    <row r="42"/>
    <row r="43">
      <c r="A43" s="5" t="inlineStr">
        <is>
          <t>Program: Digital literacy</t>
        </is>
      </c>
    </row>
    <row r="44">
      <c r="A44" s="11" t="inlineStr">
        <is>
          <t>What it shows</t>
        </is>
      </c>
    </row>
    <row r="45" ht="45" customHeight="1">
      <c r="A45" s="4" t="inlineStr">
        <is>
          <t>Digital literacy cost $10,510 in full in February: $5,408 paid by the Philanthropic foundation grant, and $5,102 of shared costs no grant covers. It has spent 99.2% of its budget to date, with $65,200 left and 13 months to go.</t>
        </is>
      </c>
    </row>
    <row r="46"/>
    <row r="47">
      <c r="A47" s="11" t="inlineStr">
        <is>
          <t>What you'd do about it</t>
        </is>
      </c>
    </row>
    <row r="48" ht="30" customHeight="1">
      <c r="A48" s="4" t="inlineStr">
        <is>
          <t>The full cost is $10,510 a month; $5,102 of it is shared cost the grant doesn't pay for. Worth asking for as much of it as the funder allows at renewal.</t>
        </is>
      </c>
    </row>
    <row r="49"/>
    <row r="50">
      <c r="A50" s="5" t="inlineStr">
        <is>
          <t>Program: Community meals (2025-26)</t>
        </is>
      </c>
    </row>
    <row r="51">
      <c r="A51" s="11" t="inlineStr">
        <is>
          <t>What it shows</t>
        </is>
      </c>
    </row>
    <row r="52" ht="45" customHeight="1">
      <c r="A52" s="4" t="inlineStr">
        <is>
          <t>Community meals (2025-26) cost $6,024 in full in February: $3,100 paid by the Local council community grant grant, and $2,924 of shared costs no grant covers. It has spent 94.8% of its budget to date, with $16,200 left and 4 months to go.</t>
        </is>
      </c>
    </row>
    <row r="53"/>
    <row r="54">
      <c r="A54" s="11" t="inlineStr">
        <is>
          <t>What you'd do about it</t>
        </is>
      </c>
    </row>
    <row r="55" ht="30" customHeight="1">
      <c r="A55" s="4" t="inlineStr">
        <is>
          <t>The full cost is $6,024 a month; $2,924 of it is shared cost the grant doesn't pay for. Worth asking for as much of it as the funder allows at renewal.</t>
        </is>
      </c>
    </row>
    <row r="56"/>
    <row r="57">
      <c r="A57" s="5" t="inlineStr">
        <is>
          <t>Every program at once</t>
        </is>
      </c>
    </row>
    <row r="58">
      <c r="A58" s="12" t="inlineStr">
        <is>
          <t>Grant spending, by month: every month is on the Data sheet.</t>
        </is>
      </c>
    </row>
    <row r="59"/>
    <row r="60"/>
  </sheetData>
  <mergeCells count="12">
    <mergeCell ref="A5:D5"/>
    <mergeCell ref="A45:D45"/>
    <mergeCell ref="A27:D27"/>
    <mergeCell ref="A31:D31"/>
    <mergeCell ref="A6:D6"/>
    <mergeCell ref="A34:D34"/>
    <mergeCell ref="A48:D48"/>
    <mergeCell ref="A38:D38"/>
    <mergeCell ref="A55:D55"/>
    <mergeCell ref="A52:D52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2" min="0" max="16383" man="1"/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5" t="inlineStr">
        <is>
          <t>Housing support: full cost, February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Feb 2026</t>
        </is>
      </c>
    </row>
    <row r="8">
      <c r="A8" t="inlineStr">
        <is>
          <t>Grant spending on the program</t>
        </is>
      </c>
      <c r="B8" s="13" t="n">
        <v>26508</v>
      </c>
    </row>
    <row r="9">
      <c r="A9" t="inlineStr">
        <is>
          <t>All grant-funded program spending</t>
        </is>
      </c>
      <c r="B9" s="13" t="n">
        <v>55759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17100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35500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/>
    <row r="17"/>
    <row r="18">
      <c r="A18" s="5" t="inlineStr">
        <is>
          <t>Youth outreach: full cost, February</t>
        </is>
      </c>
    </row>
    <row r="19">
      <c r="A19" s="12" t="inlineStr">
        <is>
          <t>Grant spending + its share of untied program costs and administration (shared by grant spending)</t>
        </is>
      </c>
    </row>
    <row r="20">
      <c r="A20" s="7" t="inlineStr"/>
      <c r="B20" s="8" t="inlineStr">
        <is>
          <t>Feb 2026</t>
        </is>
      </c>
    </row>
    <row r="21">
      <c r="A21" t="inlineStr">
        <is>
          <t>Grant spending on the program</t>
        </is>
      </c>
      <c r="B21" s="13" t="n">
        <v>20743</v>
      </c>
    </row>
    <row r="22">
      <c r="A22" t="inlineStr">
        <is>
          <t>All grant-funded program spending</t>
        </is>
      </c>
      <c r="B22" s="13" t="n">
        <v>55759</v>
      </c>
    </row>
    <row r="23">
      <c r="A23" t="inlineStr">
        <is>
          <t>Share of program spending</t>
        </is>
      </c>
      <c r="B23" s="14">
        <f>B21/B22</f>
        <v/>
      </c>
    </row>
    <row r="24">
      <c r="A24" t="inlineStr">
        <is>
          <t>Untied program costs (all programs)</t>
        </is>
      </c>
      <c r="B24" s="13" t="n">
        <v>17100</v>
      </c>
    </row>
    <row r="25">
      <c r="A25" t="inlineStr">
        <is>
          <t>Share of untied program costs</t>
        </is>
      </c>
      <c r="B25" s="13">
        <f>B23*B24</f>
        <v/>
      </c>
    </row>
    <row r="26">
      <c r="A26" t="inlineStr">
        <is>
          <t>Administration (all)</t>
        </is>
      </c>
      <c r="B26" s="13" t="n">
        <v>35500</v>
      </c>
    </row>
    <row r="27">
      <c r="A27" t="inlineStr">
        <is>
          <t>Share of administration</t>
        </is>
      </c>
      <c r="B27" s="13">
        <f>B23*B26</f>
        <v/>
      </c>
    </row>
    <row r="28">
      <c r="A28" s="15" t="inlineStr">
        <is>
          <t>Full cost of the program</t>
        </is>
      </c>
      <c r="B28" s="16">
        <f>B21+B25+B27</f>
        <v/>
      </c>
    </row>
    <row r="29"/>
    <row r="30"/>
    <row r="31">
      <c r="A31" s="5" t="inlineStr">
        <is>
          <t>Digital literacy: full cost, February</t>
        </is>
      </c>
    </row>
    <row r="32">
      <c r="A32" s="12" t="inlineStr">
        <is>
          <t>Grant spending + its share of untied program costs and administration (shared by grant spending)</t>
        </is>
      </c>
    </row>
    <row r="33">
      <c r="A33" s="7" t="inlineStr"/>
      <c r="B33" s="8" t="inlineStr">
        <is>
          <t>Feb 2026</t>
        </is>
      </c>
    </row>
    <row r="34">
      <c r="A34" t="inlineStr">
        <is>
          <t>Grant spending on the program</t>
        </is>
      </c>
      <c r="B34" s="13" t="n">
        <v>5408</v>
      </c>
    </row>
    <row r="35">
      <c r="A35" t="inlineStr">
        <is>
          <t>All grant-funded program spending</t>
        </is>
      </c>
      <c r="B35" s="13" t="n">
        <v>55759</v>
      </c>
    </row>
    <row r="36">
      <c r="A36" t="inlineStr">
        <is>
          <t>Share of program spending</t>
        </is>
      </c>
      <c r="B36" s="14">
        <f>B34/B35</f>
        <v/>
      </c>
    </row>
    <row r="37">
      <c r="A37" t="inlineStr">
        <is>
          <t>Untied program costs (all programs)</t>
        </is>
      </c>
      <c r="B37" s="13" t="n">
        <v>17100</v>
      </c>
    </row>
    <row r="38">
      <c r="A38" t="inlineStr">
        <is>
          <t>Share of untied program costs</t>
        </is>
      </c>
      <c r="B38" s="13">
        <f>B36*B37</f>
        <v/>
      </c>
    </row>
    <row r="39">
      <c r="A39" t="inlineStr">
        <is>
          <t>Administration (all)</t>
        </is>
      </c>
      <c r="B39" s="13" t="n">
        <v>35500</v>
      </c>
    </row>
    <row r="40">
      <c r="A40" t="inlineStr">
        <is>
          <t>Share of administration</t>
        </is>
      </c>
      <c r="B40" s="13">
        <f>B36*B39</f>
        <v/>
      </c>
    </row>
    <row r="41">
      <c r="A41" s="15" t="inlineStr">
        <is>
          <t>Full cost of the program</t>
        </is>
      </c>
      <c r="B41" s="16">
        <f>B34+B38+B40</f>
        <v/>
      </c>
    </row>
    <row r="42"/>
    <row r="43"/>
    <row r="44">
      <c r="A44" s="5" t="inlineStr">
        <is>
          <t>Community meals (2025-26): full cost, February</t>
        </is>
      </c>
    </row>
    <row r="45">
      <c r="A45" s="12" t="inlineStr">
        <is>
          <t>Grant spending + its share of untied program costs and administration (shared by grant spending)</t>
        </is>
      </c>
    </row>
    <row r="46">
      <c r="A46" s="7" t="inlineStr"/>
      <c r="B46" s="8" t="inlineStr">
        <is>
          <t>Feb 2026</t>
        </is>
      </c>
    </row>
    <row r="47">
      <c r="A47" t="inlineStr">
        <is>
          <t>Grant spending on the program</t>
        </is>
      </c>
      <c r="B47" s="13" t="n">
        <v>3100</v>
      </c>
    </row>
    <row r="48">
      <c r="A48" t="inlineStr">
        <is>
          <t>All grant-funded program spending</t>
        </is>
      </c>
      <c r="B48" s="13" t="n">
        <v>55759</v>
      </c>
    </row>
    <row r="49">
      <c r="A49" t="inlineStr">
        <is>
          <t>Share of program spending</t>
        </is>
      </c>
      <c r="B49" s="14">
        <f>B47/B48</f>
        <v/>
      </c>
    </row>
    <row r="50">
      <c r="A50" t="inlineStr">
        <is>
          <t>Untied program costs (all programs)</t>
        </is>
      </c>
      <c r="B50" s="13" t="n">
        <v>17100</v>
      </c>
    </row>
    <row r="51">
      <c r="A51" t="inlineStr">
        <is>
          <t>Share of untied program costs</t>
        </is>
      </c>
      <c r="B51" s="13">
        <f>B49*B50</f>
        <v/>
      </c>
    </row>
    <row r="52">
      <c r="A52" t="inlineStr">
        <is>
          <t>Administration (all)</t>
        </is>
      </c>
      <c r="B52" s="13" t="n">
        <v>35500</v>
      </c>
    </row>
    <row r="53">
      <c r="A53" t="inlineStr">
        <is>
          <t>Share of administration</t>
        </is>
      </c>
      <c r="B53" s="13">
        <f>B49*B52</f>
        <v/>
      </c>
    </row>
    <row r="54">
      <c r="A54" s="15" t="inlineStr">
        <is>
          <t>Full cost of the program</t>
        </is>
      </c>
      <c r="B54" s="16">
        <f>B47+B51+B53</f>
        <v/>
      </c>
    </row>
    <row r="55"/>
    <row r="56"/>
    <row r="57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t="inlineStr">
        <is>
          <t>All grant-funded program spending, February 2026</t>
        </is>
      </c>
      <c r="B5" s="9" t="n">
        <v>55759</v>
      </c>
    </row>
    <row r="6">
      <c r="A6" t="inlineStr">
        <is>
          <t>Untied program costs, February 2026 (all programs)</t>
        </is>
      </c>
      <c r="B6" s="9" t="n">
        <v>17100</v>
      </c>
    </row>
    <row r="7">
      <c r="A7" t="inlineStr">
        <is>
          <t>Administration, February 2026 (all)</t>
        </is>
      </c>
      <c r="B7" s="9" t="n">
        <v>35500</v>
      </c>
    </row>
    <row r="8"/>
    <row r="9">
      <c r="A9" s="7" t="inlineStr">
        <is>
          <t>Program</t>
        </is>
      </c>
      <c r="B9" s="8" t="inlineStr">
        <is>
          <t>Grant spending, Feb 2026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</t>
        </is>
      </c>
      <c r="B10" s="13" t="n">
        <v>26508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20743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Digital literacy</t>
        </is>
      </c>
      <c r="B12" s="13" t="n">
        <v>5408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Community meals (2025-26)</t>
        </is>
      </c>
      <c r="B13" s="13" t="n">
        <v>3100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2026-10-22T06:58:28Z</dcterms:created>
  <dcterms:modified xmlns:dcterms="http://purl.org/dc/terms/" xmlns:xsi="http://www.w3.org/2001/XMLSchema-instance" xsi:type="dcterms:W3CDTF">2026-10-22T06:58:28Z</dcterms:modified>
</cp:coreProperties>
</file>