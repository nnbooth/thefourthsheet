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tables/table1.xml" ContentType="application/vnd.openxmlformats-officedocument.spreadsheetml.table+xml"/>
  <Override PartName="/xl/worksheets/sheet4.xml" ContentType="application/vnd.openxmlformats-officedocument.spreadsheetml.worksheet+xml"/>
  <Override PartName="/xl/tables/table2.xml" ContentType="application/vnd.openxmlformats-officedocument.spreadsheetml.table+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port" sheetId="1" state="visible" r:id="rId1"/>
    <sheet xmlns:r="http://schemas.openxmlformats.org/officeDocument/2006/relationships" name="Workings" sheetId="2" state="visible" r:id="rId2"/>
    <sheet xmlns:r="http://schemas.openxmlformats.org/officeDocument/2006/relationships" name="Data Trades" sheetId="3" state="visible" r:id="rId3"/>
    <sheet xmlns:r="http://schemas.openxmlformats.org/officeDocument/2006/relationships" name="Year to date Trades" sheetId="4" state="visible" r:id="rId4"/>
  </sheets>
  <definedNames>
    <definedName name="Trades_March_against_March_last_year">'Report'!$B$16</definedName>
    <definedName name="Trades_Year_to_date_Jul_to_Mar_2026">'Report'!$B$17</definedName>
    <definedName name="Trades_Gross_margin_year_to_date">'Report'!$B$18</definedName>
    <definedName name="Trades_March_against_March_last_year_2">'Report'!$B$28</definedName>
    <definedName name="Trades_Year_to_date_Jul_to_Mar_2026_2">'Report'!$B$29</definedName>
    <definedName name="Trades_Gross_margin_year_to_date_2">'Report'!$B$30</definedName>
    <definedName name="Trades_March_against_March_last_year_3">'Report'!$B$40</definedName>
    <definedName name="Trades_Year_to_date_Jul_to_Mar_2026_3">'Report'!$B$41</definedName>
    <definedName name="Trades_Gross_margin_year_to_date_3">'Report'!$B$42</definedName>
    <definedName name="Trades_March_against_March_last_year_4">'Report'!$B$52</definedName>
    <definedName name="Trades_Year_to_date_Jul_to_Mar_2026_4">'Report'!$B$53</definedName>
    <definedName name="Trades_Gross_margin_year_to_date_4">'Report'!$B$54</definedName>
    <definedName name="_xlnm.Print_Area" localSheetId="0">'Report'!$A$1:$D$63</definedName>
    <definedName name="_xlnm.Print_Area" localSheetId="1">'Workings'!$A$1:$B$115</definedName>
    <definedName name="_xlnm.Print_Titles" localSheetId="2">'Data Trades'!$5:$5</definedName>
    <definedName name="_xlnm.Print_Area" localSheetId="2">'Data Trades'!$A$1:$G$77</definedName>
    <definedName name="_xlnm.Print_Titles" localSheetId="3">'Year to date Trades'!$5:$5</definedName>
    <definedName name="_xlnm.Print_Area" localSheetId="3">'Year to date Trades'!$A$1:$F$9</definedName>
  </definedNames>
  <calcPr calcId="124519" fullCalcOnLoad="1"/>
</workbook>
</file>

<file path=xl/styles.xml><?xml version="1.0" encoding="utf-8"?>
<styleSheet xmlns="http://schemas.openxmlformats.org/spreadsheetml/2006/main">
  <numFmts count="2">
    <numFmt numFmtId="164" formatCode="#,##0;[Red](#,##0);&quot;-&quot;"/>
    <numFmt numFmtId="165" formatCode="0.0%;[Red](0.0%);&quot;-&quot;"/>
  </numFmts>
  <fonts count="11">
    <font>
      <name val="Roboto"/>
      <sz val="11"/>
    </font>
    <font>
      <name val="Roboto"/>
      <sz val="11"/>
    </font>
    <font>
      <name val="Roboto"/>
      <b val="1"/>
      <color rgb="0025342A"/>
      <sz val="14"/>
    </font>
    <font>
      <name val="Roboto"/>
      <i val="1"/>
      <color rgb="005F6F63"/>
      <sz val="9"/>
    </font>
    <font>
      <name val="Roboto"/>
      <b val="1"/>
      <color rgb="002F7A5D"/>
      <sz val="13"/>
    </font>
    <font>
      <name val="Roboto"/>
      <b val="1"/>
      <color rgb="002F7A5D"/>
      <sz val="12"/>
    </font>
    <font>
      <name val="Roboto"/>
      <i val="1"/>
      <color rgb="005F6F63"/>
    </font>
    <font>
      <name val="Roboto"/>
      <b val="1"/>
      <color rgb="00FFFFFF"/>
    </font>
    <font>
      <name val="Roboto"/>
      <b val="1"/>
    </font>
    <font>
      <name val="Roboto"/>
      <b val="1"/>
      <color rgb="002F7A5D"/>
    </font>
    <font>
      <name val="Roboto"/>
      <color rgb="005F6F63"/>
    </font>
  </fonts>
  <fills count="3">
    <fill>
      <patternFill/>
    </fill>
    <fill>
      <patternFill patternType="gray125"/>
    </fill>
    <fill>
      <patternFill patternType="solid">
        <fgColor rgb="002F7A5D"/>
      </patternFill>
    </fill>
  </fills>
  <borders count="2">
    <border>
      <left/>
      <right/>
      <top/>
      <bottom/>
      <diagonal/>
    </border>
    <border>
      <top style="thin">
        <color rgb="00DCE8DC"/>
      </top>
    </border>
  </borders>
  <cellStyleXfs count="1">
    <xf numFmtId="0" fontId="1" fillId="0" borderId="0"/>
  </cellStyleXfs>
  <cellXfs count="18">
    <xf numFmtId="0" fontId="0" fillId="0" borderId="0" pivotButton="0" quotePrefix="0" xfId="0"/>
    <xf numFmtId="0" fontId="2" fillId="0" borderId="0" pivotButton="0" quotePrefix="0" xfId="0"/>
    <xf numFmtId="0" fontId="3" fillId="0" borderId="0" pivotButton="0" quotePrefix="0" xfId="0"/>
    <xf numFmtId="0" fontId="0" fillId="0" borderId="0" applyAlignment="1" pivotButton="0" quotePrefix="0" xfId="0">
      <alignment vertical="top" wrapText="1"/>
    </xf>
    <xf numFmtId="0" fontId="4" fillId="0" borderId="0" pivotButton="0" quotePrefix="0" xfId="0"/>
    <xf numFmtId="0" fontId="9" fillId="0" borderId="0" pivotButton="0" quotePrefix="0" xfId="0"/>
    <xf numFmtId="0" fontId="5" fillId="0" borderId="0" pivotButton="0" quotePrefix="0" xfId="0"/>
    <xf numFmtId="0" fontId="7" fillId="2" borderId="0" applyAlignment="1" pivotButton="0" quotePrefix="0" xfId="0">
      <alignment horizontal="left" vertical="center" wrapText="1"/>
    </xf>
    <xf numFmtId="0" fontId="7" fillId="2" borderId="0" applyAlignment="1" pivotButton="0" quotePrefix="0" xfId="0">
      <alignment horizontal="right" vertical="center" wrapText="1"/>
    </xf>
    <xf numFmtId="165" fontId="0" fillId="0" borderId="0" pivotButton="0" quotePrefix="0" xfId="0"/>
    <xf numFmtId="0" fontId="10" fillId="0" borderId="0" applyAlignment="1" pivotButton="0" quotePrefix="0" xfId="0">
      <alignment indent="1"/>
    </xf>
    <xf numFmtId="164" fontId="0" fillId="0" borderId="0" pivotButton="0" quotePrefix="0" xfId="0"/>
    <xf numFmtId="0" fontId="6" fillId="0" borderId="0" pivotButton="0" quotePrefix="0" xfId="0"/>
    <xf numFmtId="164" fontId="0" fillId="0" borderId="0" applyAlignment="1" pivotButton="0" quotePrefix="0" xfId="0">
      <alignment horizontal="right"/>
    </xf>
    <xf numFmtId="165" fontId="0" fillId="0" borderId="0" applyAlignment="1" pivotButton="0" quotePrefix="0" xfId="0">
      <alignment horizontal="right"/>
    </xf>
    <xf numFmtId="0" fontId="8" fillId="0" borderId="1" pivotButton="0" quotePrefix="0" xfId="0"/>
    <xf numFmtId="165" fontId="8" fillId="0" borderId="1" applyAlignment="1" pivotButton="0" quotePrefix="0" xfId="0">
      <alignment horizontal="right"/>
    </xf>
    <xf numFmtId="49"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charts/chart1.xml><?xml version="1.0" encoding="utf-8"?>
<chartSpace xmlns="http://schemas.openxmlformats.org/drawingml/2006/chart">
  <style val="2"/>
  <chart>
    <title>
      <tx>
        <rich>
          <a:bodyPr xmlns:a="http://schemas.openxmlformats.org/drawingml/2006/main"/>
          <a:p xmlns:a="http://schemas.openxmlformats.org/drawingml/2006/main">
            <a:pPr>
              <a:defRPr sz="1100" b="1">
                <a:solidFill>
                  <a:srgbClr val="25342A"/>
                </a:solidFill>
                <a:latin typeface="Roboto"/>
              </a:defRPr>
            </a:pPr>
            <a:r>
              <a:rPr sz="1100" b="1">
                <a:solidFill>
                  <a:srgbClr val="25342A"/>
                </a:solidFill>
                <a:latin typeface="Roboto"/>
              </a:rPr>
              <a:t>Revenue by month</a:t>
            </a:r>
          </a:p>
        </rich>
      </tx>
      <overlay val="0"/>
    </title>
    <plotArea>
      <lineChart>
        <grouping val="standard"/>
        <ser>
          <idx val="0"/>
          <order val="0"/>
          <tx>
            <v>All</v>
          </tx>
          <spPr>
            <a:ln xmlns:a="http://schemas.openxmlformats.org/drawingml/2006/main" w="22000">
              <a:solidFill>
                <a:srgbClr val="0E9F6E"/>
              </a:solidFill>
              <a:prstDash val="solid"/>
            </a:ln>
          </spPr>
          <marker>
            <symbol val="none"/>
            <spPr>
              <a:ln xmlns:a="http://schemas.openxmlformats.org/drawingml/2006/main">
                <a:prstDash val="solid"/>
              </a:ln>
            </spPr>
          </marker>
          <cat>
            <numRef>
              <f>'Data Trades'!$B$6:$B$23</f>
            </numRef>
          </cat>
          <val>
            <numRef>
              <f>'Data Trades'!$D$6:$D$23</f>
            </numRef>
          </val>
          <smooth val="0"/>
        </ser>
        <ser>
          <idx val="1"/>
          <order val="1"/>
          <tx>
            <v>Maintenance contracts</v>
          </tx>
          <spPr>
            <a:ln xmlns:a="http://schemas.openxmlformats.org/drawingml/2006/main" w="22000">
              <a:solidFill>
                <a:srgbClr val="2F7A5D"/>
              </a:solidFill>
              <a:prstDash val="solid"/>
            </a:ln>
          </spPr>
          <marker>
            <symbol val="none"/>
            <spPr>
              <a:ln xmlns:a="http://schemas.openxmlformats.org/drawingml/2006/main">
                <a:prstDash val="solid"/>
              </a:ln>
            </spPr>
          </marker>
          <cat>
            <numRef>
              <f>'Data Trades'!$B$6:$B$23</f>
            </numRef>
          </cat>
          <val>
            <numRef>
              <f>'Data Trades'!$D$24:$D$41</f>
            </numRef>
          </val>
          <smooth val="0"/>
        </ser>
        <ser>
          <idx val="2"/>
          <order val="2"/>
          <tx>
            <v>Installations</v>
          </tx>
          <spPr>
            <a:ln xmlns:a="http://schemas.openxmlformats.org/drawingml/2006/main" w="22000">
              <a:solidFill>
                <a:srgbClr val="8A6D3B"/>
              </a:solidFill>
              <a:prstDash val="solid"/>
            </a:ln>
          </spPr>
          <marker>
            <symbol val="none"/>
            <spPr>
              <a:ln xmlns:a="http://schemas.openxmlformats.org/drawingml/2006/main">
                <a:prstDash val="solid"/>
              </a:ln>
            </spPr>
          </marker>
          <cat>
            <numRef>
              <f>'Data Trades'!$B$6:$B$23</f>
            </numRef>
          </cat>
          <val>
            <numRef>
              <f>'Data Trades'!$D$42:$D$59</f>
            </numRef>
          </val>
          <smooth val="0"/>
        </ser>
        <ser>
          <idx val="3"/>
          <order val="3"/>
          <tx>
            <v>Call-outs and repairs</v>
          </tx>
          <spPr>
            <a:ln xmlns:a="http://schemas.openxmlformats.org/drawingml/2006/main" w="22000">
              <a:solidFill>
                <a:srgbClr val="5F6F63"/>
              </a:solidFill>
              <a:prstDash val="solid"/>
            </a:ln>
          </spPr>
          <marker>
            <symbol val="none"/>
            <spPr>
              <a:ln xmlns:a="http://schemas.openxmlformats.org/drawingml/2006/main">
                <a:prstDash val="solid"/>
              </a:ln>
            </spPr>
          </marker>
          <cat>
            <numRef>
              <f>'Data Trades'!$B$6:$B$23</f>
            </numRef>
          </cat>
          <val>
            <numRef>
              <f>'Data Trades'!$D$60:$D$77</f>
            </numRef>
          </val>
          <smooth val="0"/>
        </ser>
        <axId val="10"/>
        <axId val="100"/>
      </lineChart>
      <catAx>
        <axId val="10"/>
        <scaling>
          <orientation val="minMax"/>
        </scaling>
        <axPos val="l"/>
        <numFmt formatCode="@" sourceLinked="0"/>
        <majorTickMark val="none"/>
        <minorTickMark val="none"/>
        <crossAx val="100"/>
        <lblOffset val="100"/>
        <tickLblSkip val="1"/>
      </catAx>
      <valAx>
        <axId val="100"/>
        <scaling>
          <orientation val="minMax"/>
        </scaling>
        <axPos val="l"/>
        <majorGridlines/>
        <numFmt formatCode="#,##0;(#,##0)" sourceLinked="0"/>
        <majorTickMark val="none"/>
        <minorTickMark val="none"/>
        <crossAx val="10"/>
      </valAx>
    </plotArea>
    <legend>
      <legendPos val="b"/>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s>
</file>

<file path=xl/drawings/drawing1.xml><?xml version="1.0" encoding="utf-8"?>
<wsDr xmlns="http://schemas.openxmlformats.org/drawingml/2006/spreadsheetDrawing">
  <oneCellAnchor>
    <from>
      <col>8</col>
      <colOff>0</colOff>
      <row>4</row>
      <rowOff>0</rowOff>
    </from>
    <ext cx="648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ables/table1.xml><?xml version="1.0" encoding="utf-8"?>
<table xmlns="http://schemas.openxmlformats.org/spreadsheetml/2006/main" id="1" name="growth_Data_Trades" displayName="growth_Data_Trades" ref="A5:G77" headerRowCount="1">
  <autoFilter ref="A5:G77"/>
  <tableColumns count="7">
    <tableColumn id="1" name="Line"/>
    <tableColumn id="2" name="Month"/>
    <tableColumn id="3" name="Status"/>
    <tableColumn id="4" name="Revenue"/>
    <tableColumn id="5" name="Direct cost"/>
    <tableColumn id="6" name="Gross margin"/>
    <tableColumn id="7" name="Gross margin %"/>
  </tableColumns>
  <tableStyleInfo name="TableStyleLight1" showRowStripes="1"/>
</table>
</file>

<file path=xl/tables/table2.xml><?xml version="1.0" encoding="utf-8"?>
<table xmlns="http://schemas.openxmlformats.org/spreadsheetml/2006/main" id="2" name="growth_Year_to_date_Trades" displayName="growth_Year_to_date_Trades" ref="A5:F9" headerRowCount="1">
  <autoFilter ref="A5:F9"/>
  <tableColumns count="6">
    <tableColumn id="1" name="Line"/>
    <tableColumn id="2" name="Year to date"/>
    <tableColumn id="3" name="Same period last year"/>
    <tableColumn id="4" name="Growth"/>
    <tableColumn id="5" name="Gross margin $"/>
    <tableColumn id="6" name="Gross margin %"/>
  </tableColumns>
  <tableStyleInfo name="TableStyleLight1"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drawing" Target="/xl/drawings/drawing1.xml" Id="rId1"/><Relationship Type="http://schemas.openxmlformats.org/officeDocument/2006/relationships/table" Target="/xl/tables/table1.xml" Id="rId2"/></Relationships>
</file>

<file path=xl/worksheets/_rels/sheet4.xml.rels><Relationships xmlns="http://schemas.openxmlformats.org/package/2006/relationships"><Relationship Type="http://schemas.openxmlformats.org/officeDocument/2006/relationships/table" Target="/xl/tables/table2.xml" Id="rId1"/></Relationships>
</file>

<file path=xl/worksheets/sheet1.xml><?xml version="1.0" encoding="utf-8"?>
<worksheet xmlns="http://schemas.openxmlformats.org/spreadsheetml/2006/main">
  <sheetPr>
    <outlinePr summaryBelow="1" summaryRight="1"/>
    <pageSetUpPr fitToPage="1"/>
  </sheetPr>
  <dimension ref="A1:D65"/>
  <sheetViews>
    <sheetView showGridLines="0" workbookViewId="0">
      <selection activeCell="A1" sqref="A1"/>
    </sheetView>
  </sheetViews>
  <sheetFormatPr baseColWidth="8" defaultRowHeight="15"/>
  <cols>
    <col width="52" customWidth="1" min="1" max="1"/>
    <col width="20" customWidth="1" min="2" max="2"/>
    <col width="44" customWidth="1" min="3" max="3"/>
    <col width="18" customWidth="1" min="4" max="4"/>
  </cols>
  <sheetData>
    <row r="1">
      <c r="A1" s="1" t="inlineStr">
        <is>
          <t>Which products and services are growing?</t>
        </is>
      </c>
    </row>
    <row r="2">
      <c r="A2" s="2" t="inlineStr">
        <is>
          <t>Sample Electrical &amp; Air Pty Ltd · SAMPLE DATA (invented) · The Fourth Sheet · Made with Python (openpyxl)</t>
        </is>
      </c>
    </row>
    <row r="3">
      <c r="A3" s="2" t="inlineStr">
        <is>
          <t>Period: March 2026 · Data status: Mar 2026 locked (data retrieved 2pm, Tue 6 Oct 2026) · Generated 22 Oct 2026, 4:57pm</t>
        </is>
      </c>
    </row>
    <row r="4"/>
    <row r="5" ht="32" customHeight="1">
      <c r="A5" s="3" t="inlineStr">
        <is>
          <t>Revenue, gross margin and growth (year on year) by product or service line over 24 months. Pick a line and every number, chart and note follows it.</t>
        </is>
      </c>
    </row>
    <row r="6"/>
    <row r="7">
      <c r="A7" s="4" t="inlineStr">
        <is>
          <t>Trades</t>
        </is>
      </c>
    </row>
    <row r="8">
      <c r="A8" s="5" t="inlineStr">
        <is>
          <t>From gross margin to profit</t>
        </is>
      </c>
    </row>
    <row r="9" ht="45" customHeight="1">
      <c r="A9" s="3" t="inlineStr">
        <is>
          <t>March's jobs made $90,236 gross margin (42.2%). Technician time not charged to jobs took $23,895 and overheads $59,200, leaving $7,141 profit before tax (3.3% of revenue). To cover overheads, jobs need a 38.9% gross margin on average. (Workings sheet: "From gross margin to profit".)</t>
        </is>
      </c>
    </row>
    <row r="10"/>
    <row r="11">
      <c r="A11" s="5" t="inlineStr">
        <is>
          <t>Gross margin, not profit</t>
        </is>
      </c>
    </row>
    <row r="12" ht="90" customHeight="1">
      <c r="A12" s="3" t="inlineStr">
        <is>
          <t>Gross margin is not profit. Job gross margin = revenue less materials, subcontractors and technician time charged to the job at $68 an hour (wages and all on-costs). Not included: technician time not charged to any job (travel, training, waiting), and overheads (office wages, marketing, vehicles, rent, insurance, IT, depreciation, interest). Profit is what's left after those. Wages include their on-costs: super (12%) and leave as it's earned. No payroll tax: wages are under Queensland's $1.3 million threshold.</t>
        </is>
      </c>
    </row>
    <row r="13"/>
    <row r="14">
      <c r="A14" s="6" t="inlineStr">
        <is>
          <t>Line: All</t>
        </is>
      </c>
    </row>
    <row r="15">
      <c r="A15" s="7" t="inlineStr">
        <is>
          <t>Headline number</t>
        </is>
      </c>
      <c r="B15" s="8" t="inlineStr">
        <is>
          <t>Value</t>
        </is>
      </c>
      <c r="C15" s="8" t="inlineStr">
        <is>
          <t>Compared with</t>
        </is>
      </c>
    </row>
    <row r="16">
      <c r="A16" t="inlineStr">
        <is>
          <t>March against March last year</t>
        </is>
      </c>
      <c r="B16" s="9">
        <f>Workings!B27</f>
        <v/>
      </c>
      <c r="C16" s="10" t="inlineStr">
        <is>
          <t>$213,578 against $150,465</t>
        </is>
      </c>
    </row>
    <row r="17">
      <c r="A17" t="inlineStr">
        <is>
          <t>Year to date (Jul to Mar 2026)</t>
        </is>
      </c>
      <c r="B17" s="11">
        <f>Workings!B33</f>
        <v/>
      </c>
      <c r="C17" s="10" t="inlineStr">
        <is>
          <t>same period last year: not in the data</t>
        </is>
      </c>
    </row>
    <row r="18">
      <c r="A18" t="inlineStr">
        <is>
          <t>Gross margin, year to date</t>
        </is>
      </c>
      <c r="B18" s="9">
        <f>Workings!B43</f>
        <v/>
      </c>
      <c r="C18" s="10" t="inlineStr">
        <is>
          <t>$702,138 before overheads</t>
        </is>
      </c>
    </row>
    <row r="19"/>
    <row r="20">
      <c r="A20" s="5" t="inlineStr">
        <is>
          <t>What it shows</t>
        </is>
      </c>
    </row>
    <row r="21" ht="45" customHeight="1">
      <c r="A21" s="3" t="inlineStr">
        <is>
          <t>Revenue is $1,611,390 this financial year to date (Jul to Mar 2026). Maintenance contracts make the highest gross margin (63.8%); Installations the lowest (35.4%). The business needs 38.9% gross margin just to cover overheads.</t>
        </is>
      </c>
    </row>
    <row r="22"/>
    <row r="23">
      <c r="A23" s="5" t="inlineStr">
        <is>
          <t>What you'd do about it</t>
        </is>
      </c>
    </row>
    <row r="24" ht="45" customHeight="1">
      <c r="A24" s="3" t="inlineStr">
        <is>
          <t>Installations: 35.4% gross margin, 0.4 points over the 35.0% target ($4,113 ahead on $1,015,900 this financial year to date). Maintenance contracts: 63.8% gross margin, 28.8 points over the 35.0% target ($102,682 ahead on $356,000 this financial year to date).</t>
        </is>
      </c>
    </row>
    <row r="25"/>
    <row r="26">
      <c r="A26" s="6" t="inlineStr">
        <is>
          <t>Line: Maintenance contracts</t>
        </is>
      </c>
    </row>
    <row r="27">
      <c r="A27" s="7" t="inlineStr">
        <is>
          <t>Headline number</t>
        </is>
      </c>
      <c r="B27" s="8" t="inlineStr">
        <is>
          <t>Value</t>
        </is>
      </c>
      <c r="C27" s="8" t="inlineStr">
        <is>
          <t>Compared with</t>
        </is>
      </c>
    </row>
    <row r="28">
      <c r="A28" t="inlineStr">
        <is>
          <t>March against March last year</t>
        </is>
      </c>
      <c r="B28" s="9">
        <f>Workings!B51</f>
        <v/>
      </c>
      <c r="C28" s="10" t="inlineStr">
        <is>
          <t>$42,000 against $31,300</t>
        </is>
      </c>
    </row>
    <row r="29">
      <c r="A29" t="inlineStr">
        <is>
          <t>Year to date (Jul to Mar 2026)</t>
        </is>
      </c>
      <c r="B29" s="11">
        <f>Workings!B57</f>
        <v/>
      </c>
      <c r="C29" s="10" t="inlineStr">
        <is>
          <t>same period last year: not in the data</t>
        </is>
      </c>
    </row>
    <row r="30">
      <c r="A30" t="inlineStr">
        <is>
          <t>Gross margin, year to date</t>
        </is>
      </c>
      <c r="B30" s="9">
        <f>Workings!B67</f>
        <v/>
      </c>
      <c r="C30" s="10" t="inlineStr">
        <is>
          <t>$227,282 before overheads</t>
        </is>
      </c>
    </row>
    <row r="31"/>
    <row r="32">
      <c r="A32" s="5" t="inlineStr">
        <is>
          <t>What it shows</t>
        </is>
      </c>
    </row>
    <row r="33" ht="30" customHeight="1">
      <c r="A33" s="3" t="inlineStr">
        <is>
          <t>Maintenance contracts brought in $356,000 this financial year to date, at a 63.8% gross margin (above the 43.6% overall).</t>
        </is>
      </c>
    </row>
    <row r="34"/>
    <row r="35">
      <c r="A35" s="5" t="inlineStr">
        <is>
          <t>What you'd do about it</t>
        </is>
      </c>
    </row>
    <row r="36" ht="30" customHeight="1">
      <c r="A36" s="3" t="inlineStr">
        <is>
          <t>Maintenance contracts: 63.8% gross margin, 28.8 points over the 35.0% target ($102,682 ahead on $356,000 this financial year to date).</t>
        </is>
      </c>
    </row>
    <row r="37"/>
    <row r="38">
      <c r="A38" s="6" t="inlineStr">
        <is>
          <t>Line: Installations</t>
        </is>
      </c>
    </row>
    <row r="39">
      <c r="A39" s="7" t="inlineStr">
        <is>
          <t>Headline number</t>
        </is>
      </c>
      <c r="B39" s="8" t="inlineStr">
        <is>
          <t>Value</t>
        </is>
      </c>
      <c r="C39" s="8" t="inlineStr">
        <is>
          <t>Compared with</t>
        </is>
      </c>
    </row>
    <row r="40">
      <c r="A40" t="inlineStr">
        <is>
          <t>March against March last year</t>
        </is>
      </c>
      <c r="B40" s="9">
        <f>Workings!B75</f>
        <v/>
      </c>
      <c r="C40" s="10" t="inlineStr">
        <is>
          <t>$144,900 against $96,400</t>
        </is>
      </c>
    </row>
    <row r="41">
      <c r="A41" t="inlineStr">
        <is>
          <t>Year to date (Jul to Mar 2026)</t>
        </is>
      </c>
      <c r="B41" s="11">
        <f>Workings!B81</f>
        <v/>
      </c>
      <c r="C41" s="10" t="inlineStr">
        <is>
          <t>same period last year: not in the data</t>
        </is>
      </c>
    </row>
    <row r="42">
      <c r="A42" t="inlineStr">
        <is>
          <t>Gross margin, year to date</t>
        </is>
      </c>
      <c r="B42" s="9">
        <f>Workings!B91</f>
        <v/>
      </c>
      <c r="C42" s="10" t="inlineStr">
        <is>
          <t>$359,678 before overheads</t>
        </is>
      </c>
    </row>
    <row r="43"/>
    <row r="44">
      <c r="A44" s="5" t="inlineStr">
        <is>
          <t>What it shows</t>
        </is>
      </c>
    </row>
    <row r="45" ht="30" customHeight="1">
      <c r="A45" s="3" t="inlineStr">
        <is>
          <t>Installations brought in $1,015,900 this financial year to date, at a 35.4% gross margin (below the 43.6% overall).</t>
        </is>
      </c>
    </row>
    <row r="46"/>
    <row r="47">
      <c r="A47" s="5" t="inlineStr">
        <is>
          <t>What you'd do about it</t>
        </is>
      </c>
    </row>
    <row r="48" ht="30" customHeight="1">
      <c r="A48" s="3" t="inlineStr">
        <is>
          <t>Installations: 35.4% gross margin, 0.4 points over the 35.0% target ($4,113 ahead on $1,015,900 this financial year to date).</t>
        </is>
      </c>
    </row>
    <row r="49"/>
    <row r="50">
      <c r="A50" s="6" t="inlineStr">
        <is>
          <t>Line: Call-outs and repairs</t>
        </is>
      </c>
    </row>
    <row r="51">
      <c r="A51" s="7" t="inlineStr">
        <is>
          <t>Headline number</t>
        </is>
      </c>
      <c r="B51" s="8" t="inlineStr">
        <is>
          <t>Value</t>
        </is>
      </c>
      <c r="C51" s="8" t="inlineStr">
        <is>
          <t>Compared with</t>
        </is>
      </c>
    </row>
    <row r="52">
      <c r="A52" t="inlineStr">
        <is>
          <t>March against March last year</t>
        </is>
      </c>
      <c r="B52" s="9">
        <f>Workings!B99</f>
        <v/>
      </c>
      <c r="C52" s="10" t="inlineStr">
        <is>
          <t>$26,678 against $22,765</t>
        </is>
      </c>
    </row>
    <row r="53">
      <c r="A53" t="inlineStr">
        <is>
          <t>Year to date (Jul to Mar 2026)</t>
        </is>
      </c>
      <c r="B53" s="11">
        <f>Workings!B105</f>
        <v/>
      </c>
      <c r="C53" s="10" t="inlineStr">
        <is>
          <t>same period last year: not in the data</t>
        </is>
      </c>
    </row>
    <row r="54">
      <c r="A54" t="inlineStr">
        <is>
          <t>Gross margin, year to date</t>
        </is>
      </c>
      <c r="B54" s="9">
        <f>Workings!B115</f>
        <v/>
      </c>
      <c r="C54" s="10" t="inlineStr">
        <is>
          <t>$115,178 before overheads</t>
        </is>
      </c>
    </row>
    <row r="55"/>
    <row r="56">
      <c r="A56" s="5" t="inlineStr">
        <is>
          <t>What it shows</t>
        </is>
      </c>
    </row>
    <row r="57" ht="30" customHeight="1">
      <c r="A57" s="3" t="inlineStr">
        <is>
          <t>Call-outs and repairs brought in $239,490 this financial year to date, at a 48.1% gross margin (above the 43.6% overall).</t>
        </is>
      </c>
    </row>
    <row r="58"/>
    <row r="59">
      <c r="A59" s="5" t="inlineStr">
        <is>
          <t>What you'd do about it</t>
        </is>
      </c>
    </row>
    <row r="60" ht="30" customHeight="1">
      <c r="A60" s="3" t="inlineStr">
        <is>
          <t>Call-outs and repairs: 48.1% gross margin, 13.1 points over the 35.0% target ($31,357 ahead on $239,490 this financial year to date).</t>
        </is>
      </c>
    </row>
    <row r="61"/>
    <row r="62">
      <c r="A62" s="6" t="inlineStr">
        <is>
          <t>Every line at once</t>
        </is>
      </c>
    </row>
    <row r="63">
      <c r="A63" s="12" t="inlineStr">
        <is>
          <t>Revenue, gross margin and growth by line, by month: every month is on the Data sheet.</t>
        </is>
      </c>
    </row>
    <row r="64"/>
    <row r="65"/>
  </sheetData>
  <mergeCells count="11">
    <mergeCell ref="A5:D5"/>
    <mergeCell ref="A45:D45"/>
    <mergeCell ref="A9:D9"/>
    <mergeCell ref="A12:D12"/>
    <mergeCell ref="A48:D48"/>
    <mergeCell ref="A21:D21"/>
    <mergeCell ref="A57:D57"/>
    <mergeCell ref="A24:D24"/>
    <mergeCell ref="A33:D33"/>
    <mergeCell ref="A60:D60"/>
    <mergeCell ref="A36:D36"/>
  </mergeCells>
  <printOptions horizontalCentered="1"/>
  <pageMargins left="0.5" right="0.5" top="0.75" bottom="0.75" header="0.5" footer="0.5"/>
  <pageSetup orientation="landscape" paperSize="9" fitToHeight="0" fitToWidth="1"/>
  <headerFooter>
    <oddHeader>&amp;L&amp;"Roboto,Regular"&amp;8 Sample Electrical &amp;&amp; Air Pty Ltd&amp;R&amp;"Roboto,Regular"&amp;8 &amp;A</oddHeader>
    <oddFooter>&amp;L&amp;"Roboto,Regular"&amp;8 growth-trades.xlsx&amp;C&amp;"Roboto,Regular"&amp;8 Data retrieved 2pm, Tue 6 Oct 2026 · Generated 22 Oct 2026, 4:57pm&amp;R&amp;"Roboto,Regular"&amp;8 Page &amp;P of &amp;N</oddFooter>
    <evenHeader/>
    <evenFooter/>
    <firstHeader/>
    <firstFooter/>
  </headerFooter>
  <rowBreaks count="2" manualBreakCount="2">
    <brk id="19" min="0" max="16383" man="1"/>
    <brk id="43" min="0" max="16383" man="1"/>
  </rowBreaks>
</worksheet>
</file>

<file path=xl/worksheets/sheet2.xml><?xml version="1.0" encoding="utf-8"?>
<worksheet xmlns="http://schemas.openxmlformats.org/spreadsheetml/2006/main">
  <sheetPr>
    <outlinePr summaryBelow="1" summaryRight="1"/>
    <pageSetUpPr fitToPage="1"/>
  </sheetPr>
  <dimension ref="A1:B118"/>
  <sheetViews>
    <sheetView showGridLines="0" workbookViewId="0">
      <selection activeCell="A1" sqref="A1"/>
    </sheetView>
  </sheetViews>
  <sheetFormatPr baseColWidth="8" defaultRowHeight="15"/>
  <cols>
    <col width="58" customWidth="1" min="1" max="1"/>
    <col width="20" customWidth="1" min="2" max="2"/>
    <col width="20" customWidth="1" min="3" max="3"/>
    <col width="20" customWidth="1" min="4" max="4"/>
  </cols>
  <sheetData>
    <row r="1">
      <c r="A1" s="1" t="inlineStr">
        <is>
          <t>How each number is worked out</t>
        </is>
      </c>
    </row>
    <row r="2">
      <c r="A2" s="2" t="inlineStr">
        <is>
          <t>Sample Electrical &amp; Air Pty Ltd · SAMPLE DATA (invented) · The Fourth Sheet · Made with Python (openpyxl)</t>
        </is>
      </c>
    </row>
    <row r="3">
      <c r="A3" s="2" t="inlineStr">
        <is>
          <t>Period: March 2026 · Data status: Mar 2026 locked (data retrieved 2pm, Tue 6 Oct 2026) · Generated 22 Oct 2026, 4:57pm</t>
        </is>
      </c>
    </row>
    <row r="4"/>
    <row r="5">
      <c r="A5" s="6" t="inlineStr">
        <is>
          <t>Trades: From gross margin to profit, March 2026</t>
        </is>
      </c>
    </row>
    <row r="6">
      <c r="A6" s="12" t="inlineStr">
        <is>
          <t>Gross margin on the work − time not charged − overheads = profit before tax</t>
        </is>
      </c>
    </row>
    <row r="7">
      <c r="A7" s="7" t="inlineStr"/>
      <c r="B7" s="8" t="inlineStr">
        <is>
          <t>Mar 2026</t>
        </is>
      </c>
    </row>
    <row r="8">
      <c r="A8" t="inlineStr">
        <is>
          <t>Gross margin on jobs</t>
        </is>
      </c>
      <c r="B8" s="13" t="n">
        <v>90236</v>
      </c>
    </row>
    <row r="9">
      <c r="A9" t="inlineStr">
        <is>
          <t>Technician wages and on-costs</t>
        </is>
      </c>
      <c r="B9" s="13" t="n">
        <v>79587</v>
      </c>
    </row>
    <row r="10">
      <c r="A10" t="inlineStr">
        <is>
          <t>Technician time charged to jobs (at cost)</t>
        </is>
      </c>
      <c r="B10" s="13" t="n">
        <v>55692</v>
      </c>
    </row>
    <row r="11">
      <c r="A11" t="inlineStr">
        <is>
          <t>Technician time not charged to jobs</t>
        </is>
      </c>
      <c r="B11" s="13">
        <f>B9-B10</f>
        <v/>
      </c>
    </row>
    <row r="12">
      <c r="A12" t="inlineStr">
        <is>
          <t>Gross profit (the P&amp;L)</t>
        </is>
      </c>
      <c r="B12" s="13">
        <f>B8-B11</f>
        <v/>
      </c>
    </row>
    <row r="13">
      <c r="A13" t="inlineStr">
        <is>
          <t>Overheads (operating expenses, depreciation, interest)</t>
        </is>
      </c>
      <c r="B13" s="13" t="n">
        <v>59200</v>
      </c>
    </row>
    <row r="14">
      <c r="A14" t="inlineStr">
        <is>
          <t>Profit before tax (the P&amp;L)</t>
        </is>
      </c>
      <c r="B14" s="13">
        <f>B12-B13</f>
        <v/>
      </c>
    </row>
    <row r="15">
      <c r="A15" t="inlineStr">
        <is>
          <t>Revenue</t>
        </is>
      </c>
      <c r="B15" s="13" t="n">
        <v>213578</v>
      </c>
    </row>
    <row r="16">
      <c r="A16" t="inlineStr">
        <is>
          <t>Gross margin on jobs, %</t>
        </is>
      </c>
      <c r="B16" s="14">
        <f>B8/B15</f>
        <v/>
      </c>
    </row>
    <row r="17">
      <c r="A17" t="inlineStr">
        <is>
          <t>Profit before tax, % of revenue</t>
        </is>
      </c>
      <c r="B17" s="14">
        <f>B14/B15</f>
        <v/>
      </c>
    </row>
    <row r="18">
      <c r="A18" s="15" t="inlineStr">
        <is>
          <t>Gross margin jobs need just to cover overheads and time not charged</t>
        </is>
      </c>
      <c r="B18" s="16">
        <f>(B11+B13)/B15</f>
        <v/>
      </c>
    </row>
    <row r="19">
      <c r="A19" s="2" t="inlineStr">
        <is>
          <t>Ties to the March 2026 P&amp;L (locked). Wages include their on-costs: super (12%) and leave as it's earned. No payroll tax: wages are under Queensland's $1.3 million threshold.</t>
        </is>
      </c>
    </row>
    <row r="20"/>
    <row r="21"/>
    <row r="22">
      <c r="A22" s="6" t="inlineStr">
        <is>
          <t>Trades, all lines: March against March last year</t>
        </is>
      </c>
    </row>
    <row r="23">
      <c r="A23" s="12" t="inlineStr">
        <is>
          <t>March 2026 ÷ March 2025 − 1 (year on year)</t>
        </is>
      </c>
    </row>
    <row r="24">
      <c r="A24" s="7" t="inlineStr"/>
      <c r="B24" s="8" t="inlineStr">
        <is>
          <t>Mar</t>
        </is>
      </c>
    </row>
    <row r="25">
      <c r="A25" t="inlineStr">
        <is>
          <t>Revenue, Mar 2026</t>
        </is>
      </c>
      <c r="B25" s="13" t="n">
        <v>213578</v>
      </c>
    </row>
    <row r="26">
      <c r="A26" t="inlineStr">
        <is>
          <t>Revenue, Mar 2025</t>
        </is>
      </c>
      <c r="B26" s="13" t="n">
        <v>150465</v>
      </c>
    </row>
    <row r="27">
      <c r="A27" s="15" t="inlineStr">
        <is>
          <t>Growth</t>
        </is>
      </c>
      <c r="B27" s="16">
        <f>B25/B26-1</f>
        <v/>
      </c>
    </row>
    <row r="28"/>
    <row r="29"/>
    <row r="30">
      <c r="A30" s="6" t="inlineStr">
        <is>
          <t>Trades, all lines: year to date</t>
        </is>
      </c>
    </row>
    <row r="31">
      <c r="A31" s="12" t="inlineStr">
        <is>
          <t>Financial year to date. Not available: the data starts October 2024.</t>
        </is>
      </c>
    </row>
    <row r="32">
      <c r="A32" s="7" t="inlineStr"/>
      <c r="B32" s="8" t="inlineStr">
        <is>
          <t>Year to date</t>
        </is>
      </c>
    </row>
    <row r="33">
      <c r="A33" t="inlineStr">
        <is>
          <t>Revenue, year to date (Jul to Mar 2026)</t>
        </is>
      </c>
      <c r="B33" s="13" t="n">
        <v>1611390</v>
      </c>
    </row>
    <row r="34">
      <c r="A34" t="inlineStr">
        <is>
          <t>Gross margin, year to date</t>
        </is>
      </c>
      <c r="B34" s="13" t="n">
        <v>702138</v>
      </c>
    </row>
    <row r="35">
      <c r="A35" s="15" t="inlineStr">
        <is>
          <t>Gross margin %, year to date</t>
        </is>
      </c>
      <c r="B35" s="16">
        <f>B34/B33</f>
        <v/>
      </c>
    </row>
    <row r="36"/>
    <row r="37"/>
    <row r="38">
      <c r="A38" s="6" t="inlineStr">
        <is>
          <t>Trades, all lines: year to date</t>
        </is>
      </c>
    </row>
    <row r="39">
      <c r="A39" s="12" t="inlineStr">
        <is>
          <t>Financial year to date. Not available: the data starts October 2024.</t>
        </is>
      </c>
    </row>
    <row r="40">
      <c r="A40" s="7" t="inlineStr"/>
      <c r="B40" s="8" t="inlineStr">
        <is>
          <t>Year to date</t>
        </is>
      </c>
    </row>
    <row r="41">
      <c r="A41" t="inlineStr">
        <is>
          <t>Revenue, year to date (Jul to Mar 2026)</t>
        </is>
      </c>
      <c r="B41" s="13" t="n">
        <v>1611390</v>
      </c>
    </row>
    <row r="42">
      <c r="A42" t="inlineStr">
        <is>
          <t>Gross margin, year to date</t>
        </is>
      </c>
      <c r="B42" s="13" t="n">
        <v>702138</v>
      </c>
    </row>
    <row r="43">
      <c r="A43" s="15" t="inlineStr">
        <is>
          <t>Gross margin %, year to date</t>
        </is>
      </c>
      <c r="B43" s="16">
        <f>B42/B41</f>
        <v/>
      </c>
    </row>
    <row r="44"/>
    <row r="45"/>
    <row r="46">
      <c r="A46" s="6" t="inlineStr">
        <is>
          <t>Trades, Maintenance contracts: March against March last year</t>
        </is>
      </c>
    </row>
    <row r="47">
      <c r="A47" s="12" t="inlineStr">
        <is>
          <t>March 2026 ÷ March 2025 − 1 (year on year)</t>
        </is>
      </c>
    </row>
    <row r="48">
      <c r="A48" s="7" t="inlineStr"/>
      <c r="B48" s="8" t="inlineStr">
        <is>
          <t>Mar</t>
        </is>
      </c>
    </row>
    <row r="49">
      <c r="A49" t="inlineStr">
        <is>
          <t>Revenue, Mar 2026</t>
        </is>
      </c>
      <c r="B49" s="13" t="n">
        <v>42000</v>
      </c>
    </row>
    <row r="50">
      <c r="A50" t="inlineStr">
        <is>
          <t>Revenue, Mar 2025</t>
        </is>
      </c>
      <c r="B50" s="13" t="n">
        <v>31300</v>
      </c>
    </row>
    <row r="51">
      <c r="A51" s="15" t="inlineStr">
        <is>
          <t>Growth</t>
        </is>
      </c>
      <c r="B51" s="16">
        <f>B49/B50-1</f>
        <v/>
      </c>
    </row>
    <row r="52"/>
    <row r="53"/>
    <row r="54">
      <c r="A54" s="6" t="inlineStr">
        <is>
          <t>Trades, Maintenance contracts: year to date</t>
        </is>
      </c>
    </row>
    <row r="55">
      <c r="A55" s="12" t="inlineStr">
        <is>
          <t>Financial year to date. Not available: the data starts October 2024.</t>
        </is>
      </c>
    </row>
    <row r="56">
      <c r="A56" s="7" t="inlineStr"/>
      <c r="B56" s="8" t="inlineStr">
        <is>
          <t>Year to date</t>
        </is>
      </c>
    </row>
    <row r="57">
      <c r="A57" t="inlineStr">
        <is>
          <t>Revenue, year to date (Jul to Mar 2026)</t>
        </is>
      </c>
      <c r="B57" s="13" t="n">
        <v>356000</v>
      </c>
    </row>
    <row r="58">
      <c r="A58" t="inlineStr">
        <is>
          <t>Gross margin, year to date</t>
        </is>
      </c>
      <c r="B58" s="13" t="n">
        <v>227282</v>
      </c>
    </row>
    <row r="59">
      <c r="A59" s="15" t="inlineStr">
        <is>
          <t>Gross margin %, year to date</t>
        </is>
      </c>
      <c r="B59" s="16">
        <f>B58/B57</f>
        <v/>
      </c>
    </row>
    <row r="60"/>
    <row r="61"/>
    <row r="62">
      <c r="A62" s="6" t="inlineStr">
        <is>
          <t>Trades, Maintenance contracts: year to date</t>
        </is>
      </c>
    </row>
    <row r="63">
      <c r="A63" s="12" t="inlineStr">
        <is>
          <t>Financial year to date. Not available: the data starts October 2024.</t>
        </is>
      </c>
    </row>
    <row r="64">
      <c r="A64" s="7" t="inlineStr"/>
      <c r="B64" s="8" t="inlineStr">
        <is>
          <t>Year to date</t>
        </is>
      </c>
    </row>
    <row r="65">
      <c r="A65" t="inlineStr">
        <is>
          <t>Revenue, year to date (Jul to Mar 2026)</t>
        </is>
      </c>
      <c r="B65" s="13" t="n">
        <v>356000</v>
      </c>
    </row>
    <row r="66">
      <c r="A66" t="inlineStr">
        <is>
          <t>Gross margin, year to date</t>
        </is>
      </c>
      <c r="B66" s="13" t="n">
        <v>227282</v>
      </c>
    </row>
    <row r="67">
      <c r="A67" s="15" t="inlineStr">
        <is>
          <t>Gross margin %, year to date</t>
        </is>
      </c>
      <c r="B67" s="16">
        <f>B66/B65</f>
        <v/>
      </c>
    </row>
    <row r="68"/>
    <row r="69"/>
    <row r="70">
      <c r="A70" s="6" t="inlineStr">
        <is>
          <t>Trades, Installations: March against March last year</t>
        </is>
      </c>
    </row>
    <row r="71">
      <c r="A71" s="12" t="inlineStr">
        <is>
          <t>March 2026 ÷ March 2025 − 1 (year on year)</t>
        </is>
      </c>
    </row>
    <row r="72">
      <c r="A72" s="7" t="inlineStr"/>
      <c r="B72" s="8" t="inlineStr">
        <is>
          <t>Mar</t>
        </is>
      </c>
    </row>
    <row r="73">
      <c r="A73" t="inlineStr">
        <is>
          <t>Revenue, Mar 2026</t>
        </is>
      </c>
      <c r="B73" s="13" t="n">
        <v>144900</v>
      </c>
    </row>
    <row r="74">
      <c r="A74" t="inlineStr">
        <is>
          <t>Revenue, Mar 2025</t>
        </is>
      </c>
      <c r="B74" s="13" t="n">
        <v>96400</v>
      </c>
    </row>
    <row r="75">
      <c r="A75" s="15" t="inlineStr">
        <is>
          <t>Growth</t>
        </is>
      </c>
      <c r="B75" s="16">
        <f>B73/B74-1</f>
        <v/>
      </c>
    </row>
    <row r="76"/>
    <row r="77"/>
    <row r="78">
      <c r="A78" s="6" t="inlineStr">
        <is>
          <t>Trades, Installations: year to date</t>
        </is>
      </c>
    </row>
    <row r="79">
      <c r="A79" s="12" t="inlineStr">
        <is>
          <t>Financial year to date. Not available: the data starts October 2024.</t>
        </is>
      </c>
    </row>
    <row r="80">
      <c r="A80" s="7" t="inlineStr"/>
      <c r="B80" s="8" t="inlineStr">
        <is>
          <t>Year to date</t>
        </is>
      </c>
    </row>
    <row r="81">
      <c r="A81" t="inlineStr">
        <is>
          <t>Revenue, year to date (Jul to Mar 2026)</t>
        </is>
      </c>
      <c r="B81" s="13" t="n">
        <v>1015900</v>
      </c>
    </row>
    <row r="82">
      <c r="A82" t="inlineStr">
        <is>
          <t>Gross margin, year to date</t>
        </is>
      </c>
      <c r="B82" s="13" t="n">
        <v>359678</v>
      </c>
    </row>
    <row r="83">
      <c r="A83" s="15" t="inlineStr">
        <is>
          <t>Gross margin %, year to date</t>
        </is>
      </c>
      <c r="B83" s="16">
        <f>B82/B81</f>
        <v/>
      </c>
    </row>
    <row r="84"/>
    <row r="85"/>
    <row r="86">
      <c r="A86" s="6" t="inlineStr">
        <is>
          <t>Trades, Installations: year to date</t>
        </is>
      </c>
    </row>
    <row r="87">
      <c r="A87" s="12" t="inlineStr">
        <is>
          <t>Financial year to date. Not available: the data starts October 2024.</t>
        </is>
      </c>
    </row>
    <row r="88">
      <c r="A88" s="7" t="inlineStr"/>
      <c r="B88" s="8" t="inlineStr">
        <is>
          <t>Year to date</t>
        </is>
      </c>
    </row>
    <row r="89">
      <c r="A89" t="inlineStr">
        <is>
          <t>Revenue, year to date (Jul to Mar 2026)</t>
        </is>
      </c>
      <c r="B89" s="13" t="n">
        <v>1015900</v>
      </c>
    </row>
    <row r="90">
      <c r="A90" t="inlineStr">
        <is>
          <t>Gross margin, year to date</t>
        </is>
      </c>
      <c r="B90" s="13" t="n">
        <v>359678</v>
      </c>
    </row>
    <row r="91">
      <c r="A91" s="15" t="inlineStr">
        <is>
          <t>Gross margin %, year to date</t>
        </is>
      </c>
      <c r="B91" s="16">
        <f>B90/B89</f>
        <v/>
      </c>
    </row>
    <row r="92"/>
    <row r="93"/>
    <row r="94">
      <c r="A94" s="6" t="inlineStr">
        <is>
          <t>Trades, Call-outs and repairs: March against March last year</t>
        </is>
      </c>
    </row>
    <row r="95">
      <c r="A95" s="12" t="inlineStr">
        <is>
          <t>March 2026 ÷ March 2025 − 1 (year on year)</t>
        </is>
      </c>
    </row>
    <row r="96">
      <c r="A96" s="7" t="inlineStr"/>
      <c r="B96" s="8" t="inlineStr">
        <is>
          <t>Mar</t>
        </is>
      </c>
    </row>
    <row r="97">
      <c r="A97" t="inlineStr">
        <is>
          <t>Revenue, Mar 2026</t>
        </is>
      </c>
      <c r="B97" s="13" t="n">
        <v>26678</v>
      </c>
    </row>
    <row r="98">
      <c r="A98" t="inlineStr">
        <is>
          <t>Revenue, Mar 2025</t>
        </is>
      </c>
      <c r="B98" s="13" t="n">
        <v>22765</v>
      </c>
    </row>
    <row r="99">
      <c r="A99" s="15" t="inlineStr">
        <is>
          <t>Growth</t>
        </is>
      </c>
      <c r="B99" s="16">
        <f>B97/B98-1</f>
        <v/>
      </c>
    </row>
    <row r="100"/>
    <row r="101"/>
    <row r="102">
      <c r="A102" s="6" t="inlineStr">
        <is>
          <t>Trades, Call-outs and repairs: year to date</t>
        </is>
      </c>
    </row>
    <row r="103">
      <c r="A103" s="12" t="inlineStr">
        <is>
          <t>Financial year to date. Not available: the data starts October 2024.</t>
        </is>
      </c>
    </row>
    <row r="104">
      <c r="A104" s="7" t="inlineStr"/>
      <c r="B104" s="8" t="inlineStr">
        <is>
          <t>Year to date</t>
        </is>
      </c>
    </row>
    <row r="105">
      <c r="A105" t="inlineStr">
        <is>
          <t>Revenue, year to date (Jul to Mar 2026)</t>
        </is>
      </c>
      <c r="B105" s="13" t="n">
        <v>239490</v>
      </c>
    </row>
    <row r="106">
      <c r="A106" t="inlineStr">
        <is>
          <t>Gross margin, year to date</t>
        </is>
      </c>
      <c r="B106" s="13" t="n">
        <v>115178</v>
      </c>
    </row>
    <row r="107">
      <c r="A107" s="15" t="inlineStr">
        <is>
          <t>Gross margin %, year to date</t>
        </is>
      </c>
      <c r="B107" s="16">
        <f>B106/B105</f>
        <v/>
      </c>
    </row>
    <row r="108"/>
    <row r="109"/>
    <row r="110">
      <c r="A110" s="6" t="inlineStr">
        <is>
          <t>Trades, Call-outs and repairs: year to date</t>
        </is>
      </c>
    </row>
    <row r="111">
      <c r="A111" s="12" t="inlineStr">
        <is>
          <t>Financial year to date. Not available: the data starts October 2024.</t>
        </is>
      </c>
    </row>
    <row r="112">
      <c r="A112" s="7" t="inlineStr"/>
      <c r="B112" s="8" t="inlineStr">
        <is>
          <t>Year to date</t>
        </is>
      </c>
    </row>
    <row r="113">
      <c r="A113" t="inlineStr">
        <is>
          <t>Revenue, year to date (Jul to Mar 2026)</t>
        </is>
      </c>
      <c r="B113" s="13" t="n">
        <v>239490</v>
      </c>
    </row>
    <row r="114">
      <c r="A114" t="inlineStr">
        <is>
          <t>Gross margin, year to date</t>
        </is>
      </c>
      <c r="B114" s="13" t="n">
        <v>115178</v>
      </c>
    </row>
    <row r="115">
      <c r="A115" s="15" t="inlineStr">
        <is>
          <t>Gross margin %, year to date</t>
        </is>
      </c>
      <c r="B115" s="16">
        <f>B114/B113</f>
        <v/>
      </c>
    </row>
    <row r="116"/>
    <row r="117"/>
    <row r="118"/>
  </sheetData>
  <printOptions horizontalCentered="1"/>
  <pageMargins left="0.5" right="0.5" top="0.75" bottom="0.75" header="0.5" footer="0.5"/>
  <pageSetup orientation="landscape" paperSize="9" fitToHeight="0" fitToWidth="1"/>
  <headerFooter>
    <oddHeader>&amp;L&amp;"Roboto,Regular"&amp;8 Sample Electrical &amp;&amp; Air Pty Ltd&amp;R&amp;"Roboto,Regular"&amp;8 &amp;A</oddHeader>
    <oddFooter>&amp;L&amp;"Roboto,Regular"&amp;8 growth-trades.xlsx&amp;C&amp;"Roboto,Regular"&amp;8 Data retrieved 2pm, Tue 6 Oct 2026 · Generated 22 Oct 2026, 4:57pm&amp;R&amp;"Roboto,Regular"&amp;8 Page &amp;P of &amp;N</oddFooter>
    <evenHeader/>
    <evenFooter/>
    <firstHeader/>
    <firstFooter/>
  </headerFooter>
  <rowBreaks count="3" manualBreakCount="3">
    <brk id="29" min="0" max="16383" man="1"/>
    <brk id="61" min="0" max="16383" man="1"/>
    <brk id="93" min="0" max="16383" man="1"/>
  </rowBreaks>
</worksheet>
</file>

<file path=xl/worksheets/sheet3.xml><?xml version="1.0" encoding="utf-8"?>
<worksheet xmlns="http://schemas.openxmlformats.org/spreadsheetml/2006/main">
  <sheetPr>
    <outlinePr summaryBelow="1" summaryRight="1"/>
    <pageSetUpPr fitToPage="1"/>
  </sheetPr>
  <dimension ref="A1:G77"/>
  <sheetViews>
    <sheetView showGridLines="0" workbookViewId="0">
      <pane xSplit="1" ySplit="5" topLeftCell="B6" activePane="bottomRight" state="frozen"/>
      <selection pane="topRight"/>
      <selection pane="bottomLeft"/>
      <selection pane="bottomRight" activeCell="A1" sqref="A1"/>
    </sheetView>
  </sheetViews>
  <sheetFormatPr baseColWidth="8" defaultRowHeight="15"/>
  <cols>
    <col width="34" customWidth="1" min="1" max="1"/>
    <col width="16" customWidth="1" min="2" max="2"/>
    <col width="16" customWidth="1" min="3" max="3"/>
    <col width="16" customWidth="1" min="4" max="4"/>
    <col width="16" customWidth="1" min="5" max="5"/>
    <col width="16" customWidth="1" min="6" max="6"/>
    <col width="16" customWidth="1" min="7" max="7"/>
  </cols>
  <sheetData>
    <row r="1">
      <c r="A1" s="1" t="inlineStr">
        <is>
          <t>Data Trades</t>
        </is>
      </c>
    </row>
    <row r="2">
      <c r="A2" s="2" t="inlineStr">
        <is>
          <t>Sample Electrical &amp; Air Pty Ltd · SAMPLE DATA (invented) · The Fourth Sheet · Made with Python (openpyxl)</t>
        </is>
      </c>
    </row>
    <row r="3">
      <c r="A3" s="2" t="inlineStr">
        <is>
          <t>Period: March 2026 · Data status: Mar 2026 locked (data retrieved 2pm, Tue 6 Oct 2026) · Generated 22 Oct 2026, 4:57pm</t>
        </is>
      </c>
    </row>
    <row r="4"/>
    <row r="5">
      <c r="A5" s="7" t="inlineStr">
        <is>
          <t>Line</t>
        </is>
      </c>
      <c r="B5" s="8" t="inlineStr">
        <is>
          <t>Month</t>
        </is>
      </c>
      <c r="C5" s="8" t="inlineStr">
        <is>
          <t>Status</t>
        </is>
      </c>
      <c r="D5" s="8" t="inlineStr">
        <is>
          <t>Revenue</t>
        </is>
      </c>
      <c r="E5" s="8" t="inlineStr">
        <is>
          <t>Direct cost</t>
        </is>
      </c>
      <c r="F5" s="8" t="inlineStr">
        <is>
          <t>Gross margin</t>
        </is>
      </c>
      <c r="G5" s="8" t="inlineStr">
        <is>
          <t>Gross margin %</t>
        </is>
      </c>
    </row>
    <row r="6">
      <c r="A6" s="17" t="inlineStr">
        <is>
          <t>All</t>
        </is>
      </c>
      <c r="B6" s="17" t="inlineStr">
        <is>
          <t>Oct 24</t>
        </is>
      </c>
      <c r="C6" s="17" t="inlineStr">
        <is>
          <t>Locked</t>
        </is>
      </c>
      <c r="D6" s="13" t="n">
        <v>191014</v>
      </c>
      <c r="E6" s="13" t="n">
        <v>114334</v>
      </c>
      <c r="F6" s="13">
        <f>D6-E6</f>
        <v/>
      </c>
      <c r="G6" s="14">
        <f>IF(D6=0,"",F6/D6)</f>
        <v/>
      </c>
    </row>
    <row r="7">
      <c r="A7" s="17" t="inlineStr">
        <is>
          <t>All</t>
        </is>
      </c>
      <c r="B7" s="17" t="inlineStr">
        <is>
          <t>Nov 24</t>
        </is>
      </c>
      <c r="C7" s="17" t="inlineStr">
        <is>
          <t>Locked</t>
        </is>
      </c>
      <c r="D7" s="13" t="n">
        <v>200124</v>
      </c>
      <c r="E7" s="13" t="n">
        <v>113016</v>
      </c>
      <c r="F7" s="13">
        <f>D7-E7</f>
        <v/>
      </c>
      <c r="G7" s="14">
        <f>IF(D7=0,"",F7/D7)</f>
        <v/>
      </c>
    </row>
    <row r="8">
      <c r="A8" s="17" t="inlineStr">
        <is>
          <t>All</t>
        </is>
      </c>
      <c r="B8" s="17" t="inlineStr">
        <is>
          <t>Dec 24</t>
        </is>
      </c>
      <c r="C8" s="17" t="inlineStr">
        <is>
          <t>Locked</t>
        </is>
      </c>
      <c r="D8" s="13" t="n">
        <v>159406</v>
      </c>
      <c r="E8" s="13" t="n">
        <v>85316</v>
      </c>
      <c r="F8" s="13">
        <f>D8-E8</f>
        <v/>
      </c>
      <c r="G8" s="14">
        <f>IF(D8=0,"",F8/D8)</f>
        <v/>
      </c>
    </row>
    <row r="9">
      <c r="A9" s="17" t="inlineStr">
        <is>
          <t>All</t>
        </is>
      </c>
      <c r="B9" s="17" t="inlineStr">
        <is>
          <t>Jan 25</t>
        </is>
      </c>
      <c r="C9" s="17" t="inlineStr">
        <is>
          <t>Locked</t>
        </is>
      </c>
      <c r="D9" s="13" t="n">
        <v>156794</v>
      </c>
      <c r="E9" s="13" t="n">
        <v>80742</v>
      </c>
      <c r="F9" s="13">
        <f>D9-E9</f>
        <v/>
      </c>
      <c r="G9" s="14">
        <f>IF(D9=0,"",F9/D9)</f>
        <v/>
      </c>
    </row>
    <row r="10">
      <c r="A10" s="17" t="inlineStr">
        <is>
          <t>All</t>
        </is>
      </c>
      <c r="B10" s="17" t="inlineStr">
        <is>
          <t>Feb 25</t>
        </is>
      </c>
      <c r="C10" s="17" t="inlineStr">
        <is>
          <t>Locked</t>
        </is>
      </c>
      <c r="D10" s="13" t="n">
        <v>179190</v>
      </c>
      <c r="E10" s="13" t="n">
        <v>102348</v>
      </c>
      <c r="F10" s="13">
        <f>D10-E10</f>
        <v/>
      </c>
      <c r="G10" s="14">
        <f>IF(D10=0,"",F10/D10)</f>
        <v/>
      </c>
    </row>
    <row r="11">
      <c r="A11" s="17" t="inlineStr">
        <is>
          <t>All</t>
        </is>
      </c>
      <c r="B11" s="17" t="inlineStr">
        <is>
          <t>Mar 25</t>
        </is>
      </c>
      <c r="C11" s="17" t="inlineStr">
        <is>
          <t>Locked</t>
        </is>
      </c>
      <c r="D11" s="13" t="n">
        <v>150465</v>
      </c>
      <c r="E11" s="13" t="n">
        <v>85752</v>
      </c>
      <c r="F11" s="13">
        <f>D11-E11</f>
        <v/>
      </c>
      <c r="G11" s="14">
        <f>IF(D11=0,"",F11/D11)</f>
        <v/>
      </c>
    </row>
    <row r="12">
      <c r="A12" s="17" t="inlineStr">
        <is>
          <t>All</t>
        </is>
      </c>
      <c r="B12" s="17" t="inlineStr">
        <is>
          <t>Apr 25</t>
        </is>
      </c>
      <c r="C12" s="17" t="inlineStr">
        <is>
          <t>Locked</t>
        </is>
      </c>
      <c r="D12" s="13" t="n">
        <v>138865</v>
      </c>
      <c r="E12" s="13" t="n">
        <v>76808</v>
      </c>
      <c r="F12" s="13">
        <f>D12-E12</f>
        <v/>
      </c>
      <c r="G12" s="14">
        <f>IF(D12=0,"",F12/D12)</f>
        <v/>
      </c>
    </row>
    <row r="13">
      <c r="A13" s="17" t="inlineStr">
        <is>
          <t>All</t>
        </is>
      </c>
      <c r="B13" s="17" t="inlineStr">
        <is>
          <t>May 25</t>
        </is>
      </c>
      <c r="C13" s="17" t="inlineStr">
        <is>
          <t>Locked</t>
        </is>
      </c>
      <c r="D13" s="13" t="n">
        <v>144649</v>
      </c>
      <c r="E13" s="13" t="n">
        <v>83700</v>
      </c>
      <c r="F13" s="13">
        <f>D13-E13</f>
        <v/>
      </c>
      <c r="G13" s="14">
        <f>IF(D13=0,"",F13/D13)</f>
        <v/>
      </c>
    </row>
    <row r="14">
      <c r="A14" s="17" t="inlineStr">
        <is>
          <t>All</t>
        </is>
      </c>
      <c r="B14" s="17" t="inlineStr">
        <is>
          <t>Jun 25</t>
        </is>
      </c>
      <c r="C14" s="17" t="inlineStr">
        <is>
          <t>Locked</t>
        </is>
      </c>
      <c r="D14" s="13" t="n">
        <v>183265</v>
      </c>
      <c r="E14" s="13" t="n">
        <v>97584</v>
      </c>
      <c r="F14" s="13">
        <f>D14-E14</f>
        <v/>
      </c>
      <c r="G14" s="14">
        <f>IF(D14=0,"",F14/D14)</f>
        <v/>
      </c>
    </row>
    <row r="15">
      <c r="A15" s="17" t="inlineStr">
        <is>
          <t>All</t>
        </is>
      </c>
      <c r="B15" s="17" t="inlineStr">
        <is>
          <t>Jul 25</t>
        </is>
      </c>
      <c r="C15" s="17" t="inlineStr">
        <is>
          <t>Locked</t>
        </is>
      </c>
      <c r="D15" s="13" t="n">
        <v>208588</v>
      </c>
      <c r="E15" s="13" t="n">
        <v>120326</v>
      </c>
      <c r="F15" s="13">
        <f>D15-E15</f>
        <v/>
      </c>
      <c r="G15" s="14">
        <f>IF(D15=0,"",F15/D15)</f>
        <v/>
      </c>
    </row>
    <row r="16">
      <c r="A16" s="17" t="inlineStr">
        <is>
          <t>All</t>
        </is>
      </c>
      <c r="B16" s="17" t="inlineStr">
        <is>
          <t>Aug 25</t>
        </is>
      </c>
      <c r="C16" s="17" t="inlineStr">
        <is>
          <t>Locked</t>
        </is>
      </c>
      <c r="D16" s="13" t="n">
        <v>155118</v>
      </c>
      <c r="E16" s="13" t="n">
        <v>78258</v>
      </c>
      <c r="F16" s="13">
        <f>D16-E16</f>
        <v/>
      </c>
      <c r="G16" s="14">
        <f>IF(D16=0,"",F16/D16)</f>
        <v/>
      </c>
    </row>
    <row r="17">
      <c r="A17" s="17" t="inlineStr">
        <is>
          <t>All</t>
        </is>
      </c>
      <c r="B17" s="17" t="inlineStr">
        <is>
          <t>Sep 25</t>
        </is>
      </c>
      <c r="C17" s="17" t="inlineStr">
        <is>
          <t>Locked</t>
        </is>
      </c>
      <c r="D17" s="13" t="n">
        <v>143077</v>
      </c>
      <c r="E17" s="13" t="n">
        <v>80054</v>
      </c>
      <c r="F17" s="13">
        <f>D17-E17</f>
        <v/>
      </c>
      <c r="G17" s="14">
        <f>IF(D17=0,"",F17/D17)</f>
        <v/>
      </c>
    </row>
    <row r="18">
      <c r="A18" s="17" t="inlineStr">
        <is>
          <t>All</t>
        </is>
      </c>
      <c r="B18" s="17" t="inlineStr">
        <is>
          <t>Oct 25</t>
        </is>
      </c>
      <c r="C18" s="17" t="inlineStr">
        <is>
          <t>Locked</t>
        </is>
      </c>
      <c r="D18" s="13" t="n">
        <v>143566</v>
      </c>
      <c r="E18" s="13" t="n">
        <v>79452</v>
      </c>
      <c r="F18" s="13">
        <f>D18-E18</f>
        <v/>
      </c>
      <c r="G18" s="14">
        <f>IF(D18=0,"",F18/D18)</f>
        <v/>
      </c>
    </row>
    <row r="19">
      <c r="A19" s="17" t="inlineStr">
        <is>
          <t>All</t>
        </is>
      </c>
      <c r="B19" s="17" t="inlineStr">
        <is>
          <t>Nov 25</t>
        </is>
      </c>
      <c r="C19" s="17" t="inlineStr">
        <is>
          <t>Locked</t>
        </is>
      </c>
      <c r="D19" s="13" t="n">
        <v>194966</v>
      </c>
      <c r="E19" s="13" t="n">
        <v>115942</v>
      </c>
      <c r="F19" s="13">
        <f>D19-E19</f>
        <v/>
      </c>
      <c r="G19" s="14">
        <f>IF(D19=0,"",F19/D19)</f>
        <v/>
      </c>
    </row>
    <row r="20">
      <c r="A20" s="17" t="inlineStr">
        <is>
          <t>All</t>
        </is>
      </c>
      <c r="B20" s="17" t="inlineStr">
        <is>
          <t>Dec 25</t>
        </is>
      </c>
      <c r="C20" s="17" t="inlineStr">
        <is>
          <t>Locked</t>
        </is>
      </c>
      <c r="D20" s="13" t="n">
        <v>150283</v>
      </c>
      <c r="E20" s="13" t="n">
        <v>84626</v>
      </c>
      <c r="F20" s="13">
        <f>D20-E20</f>
        <v/>
      </c>
      <c r="G20" s="14">
        <f>IF(D20=0,"",F20/D20)</f>
        <v/>
      </c>
    </row>
    <row r="21">
      <c r="A21" s="17" t="inlineStr">
        <is>
          <t>All</t>
        </is>
      </c>
      <c r="B21" s="17" t="inlineStr">
        <is>
          <t>Jan 26</t>
        </is>
      </c>
      <c r="C21" s="17" t="inlineStr">
        <is>
          <t>Locked</t>
        </is>
      </c>
      <c r="D21" s="13" t="n">
        <v>183306</v>
      </c>
      <c r="E21" s="13" t="n">
        <v>106590</v>
      </c>
      <c r="F21" s="13">
        <f>D21-E21</f>
        <v/>
      </c>
      <c r="G21" s="14">
        <f>IF(D21=0,"",F21/D21)</f>
        <v/>
      </c>
    </row>
    <row r="22">
      <c r="A22" s="17" t="inlineStr">
        <is>
          <t>All</t>
        </is>
      </c>
      <c r="B22" s="17" t="inlineStr">
        <is>
          <t>Feb 26</t>
        </is>
      </c>
      <c r="C22" s="17" t="inlineStr">
        <is>
          <t>Locked</t>
        </is>
      </c>
      <c r="D22" s="13" t="n">
        <v>218908</v>
      </c>
      <c r="E22" s="13" t="n">
        <v>120662</v>
      </c>
      <c r="F22" s="13">
        <f>D22-E22</f>
        <v/>
      </c>
      <c r="G22" s="14">
        <f>IF(D22=0,"",F22/D22)</f>
        <v/>
      </c>
    </row>
    <row r="23">
      <c r="A23" s="17" t="inlineStr">
        <is>
          <t>All</t>
        </is>
      </c>
      <c r="B23" s="17" t="inlineStr">
        <is>
          <t>Mar 26</t>
        </is>
      </c>
      <c r="C23" s="17" t="inlineStr">
        <is>
          <t>Locked</t>
        </is>
      </c>
      <c r="D23" s="13" t="n">
        <v>213578</v>
      </c>
      <c r="E23" s="13" t="n">
        <v>123342</v>
      </c>
      <c r="F23" s="13">
        <f>D23-E23</f>
        <v/>
      </c>
      <c r="G23" s="14">
        <f>IF(D23=0,"",F23/D23)</f>
        <v/>
      </c>
    </row>
    <row r="24">
      <c r="A24" s="17" t="inlineStr">
        <is>
          <t>Maintenance contracts</t>
        </is>
      </c>
      <c r="B24" s="17" t="inlineStr">
        <is>
          <t>Oct 24</t>
        </is>
      </c>
      <c r="C24" s="17" t="inlineStr">
        <is>
          <t>Locked</t>
        </is>
      </c>
      <c r="D24" s="13" t="n">
        <v>27650</v>
      </c>
      <c r="E24" s="13" t="n">
        <v>10420</v>
      </c>
      <c r="F24" s="13">
        <f>D24-E24</f>
        <v/>
      </c>
      <c r="G24" s="14">
        <f>IF(D24=0,"",F24/D24)</f>
        <v/>
      </c>
    </row>
    <row r="25">
      <c r="A25" s="17" t="inlineStr">
        <is>
          <t>Maintenance contracts</t>
        </is>
      </c>
      <c r="B25" s="17" t="inlineStr">
        <is>
          <t>Nov 24</t>
        </is>
      </c>
      <c r="C25" s="17" t="inlineStr">
        <is>
          <t>Locked</t>
        </is>
      </c>
      <c r="D25" s="13" t="n">
        <v>27650</v>
      </c>
      <c r="E25" s="13" t="n">
        <v>10420</v>
      </c>
      <c r="F25" s="13">
        <f>D25-E25</f>
        <v/>
      </c>
      <c r="G25" s="14">
        <f>IF(D25=0,"",F25/D25)</f>
        <v/>
      </c>
    </row>
    <row r="26">
      <c r="A26" s="17" t="inlineStr">
        <is>
          <t>Maintenance contracts</t>
        </is>
      </c>
      <c r="B26" s="17" t="inlineStr">
        <is>
          <t>Dec 24</t>
        </is>
      </c>
      <c r="C26" s="17" t="inlineStr">
        <is>
          <t>Locked</t>
        </is>
      </c>
      <c r="D26" s="13" t="n">
        <v>27650</v>
      </c>
      <c r="E26" s="13" t="n">
        <v>10420</v>
      </c>
      <c r="F26" s="13">
        <f>D26-E26</f>
        <v/>
      </c>
      <c r="G26" s="14">
        <f>IF(D26=0,"",F26/D26)</f>
        <v/>
      </c>
    </row>
    <row r="27">
      <c r="A27" s="17" t="inlineStr">
        <is>
          <t>Maintenance contracts</t>
        </is>
      </c>
      <c r="B27" s="17" t="inlineStr">
        <is>
          <t>Jan 25</t>
        </is>
      </c>
      <c r="C27" s="17" t="inlineStr">
        <is>
          <t>Locked</t>
        </is>
      </c>
      <c r="D27" s="13" t="n">
        <v>27650</v>
      </c>
      <c r="E27" s="13" t="n">
        <v>10420</v>
      </c>
      <c r="F27" s="13">
        <f>D27-E27</f>
        <v/>
      </c>
      <c r="G27" s="14">
        <f>IF(D27=0,"",F27/D27)</f>
        <v/>
      </c>
    </row>
    <row r="28">
      <c r="A28" s="17" t="inlineStr">
        <is>
          <t>Maintenance contracts</t>
        </is>
      </c>
      <c r="B28" s="17" t="inlineStr">
        <is>
          <t>Feb 25</t>
        </is>
      </c>
      <c r="C28" s="17" t="inlineStr">
        <is>
          <t>Locked</t>
        </is>
      </c>
      <c r="D28" s="13" t="n">
        <v>31300</v>
      </c>
      <c r="E28" s="13" t="n">
        <v>11782</v>
      </c>
      <c r="F28" s="13">
        <f>D28-E28</f>
        <v/>
      </c>
      <c r="G28" s="14">
        <f>IF(D28=0,"",F28/D28)</f>
        <v/>
      </c>
    </row>
    <row r="29">
      <c r="A29" s="17" t="inlineStr">
        <is>
          <t>Maintenance contracts</t>
        </is>
      </c>
      <c r="B29" s="17" t="inlineStr">
        <is>
          <t>Mar 25</t>
        </is>
      </c>
      <c r="C29" s="17" t="inlineStr">
        <is>
          <t>Locked</t>
        </is>
      </c>
      <c r="D29" s="13" t="n">
        <v>31300</v>
      </c>
      <c r="E29" s="13" t="n">
        <v>11782</v>
      </c>
      <c r="F29" s="13">
        <f>D29-E29</f>
        <v/>
      </c>
      <c r="G29" s="14">
        <f>IF(D29=0,"",F29/D29)</f>
        <v/>
      </c>
    </row>
    <row r="30">
      <c r="A30" s="17" t="inlineStr">
        <is>
          <t>Maintenance contracts</t>
        </is>
      </c>
      <c r="B30" s="17" t="inlineStr">
        <is>
          <t>Apr 25</t>
        </is>
      </c>
      <c r="C30" s="17" t="inlineStr">
        <is>
          <t>Locked</t>
        </is>
      </c>
      <c r="D30" s="13" t="n">
        <v>31300</v>
      </c>
      <c r="E30" s="13" t="n">
        <v>11782</v>
      </c>
      <c r="F30" s="13">
        <f>D30-E30</f>
        <v/>
      </c>
      <c r="G30" s="14">
        <f>IF(D30=0,"",F30/D30)</f>
        <v/>
      </c>
    </row>
    <row r="31">
      <c r="A31" s="17" t="inlineStr">
        <is>
          <t>Maintenance contracts</t>
        </is>
      </c>
      <c r="B31" s="17" t="inlineStr">
        <is>
          <t>May 25</t>
        </is>
      </c>
      <c r="C31" s="17" t="inlineStr">
        <is>
          <t>Locked</t>
        </is>
      </c>
      <c r="D31" s="13" t="n">
        <v>31300</v>
      </c>
      <c r="E31" s="13" t="n">
        <v>11782</v>
      </c>
      <c r="F31" s="13">
        <f>D31-E31</f>
        <v/>
      </c>
      <c r="G31" s="14">
        <f>IF(D31=0,"",F31/D31)</f>
        <v/>
      </c>
    </row>
    <row r="32">
      <c r="A32" s="17" t="inlineStr">
        <is>
          <t>Maintenance contracts</t>
        </is>
      </c>
      <c r="B32" s="17" t="inlineStr">
        <is>
          <t>Jun 25</t>
        </is>
      </c>
      <c r="C32" s="17" t="inlineStr">
        <is>
          <t>Locked</t>
        </is>
      </c>
      <c r="D32" s="13" t="n">
        <v>35720</v>
      </c>
      <c r="E32" s="13" t="n">
        <v>13446</v>
      </c>
      <c r="F32" s="13">
        <f>D32-E32</f>
        <v/>
      </c>
      <c r="G32" s="14">
        <f>IF(D32=0,"",F32/D32)</f>
        <v/>
      </c>
    </row>
    <row r="33">
      <c r="A33" s="17" t="inlineStr">
        <is>
          <t>Maintenance contracts</t>
        </is>
      </c>
      <c r="B33" s="17" t="inlineStr">
        <is>
          <t>Jul 25</t>
        </is>
      </c>
      <c r="C33" s="17" t="inlineStr">
        <is>
          <t>Locked</t>
        </is>
      </c>
      <c r="D33" s="13" t="n">
        <v>37200</v>
      </c>
      <c r="E33" s="13" t="n">
        <v>13446</v>
      </c>
      <c r="F33" s="13">
        <f>D33-E33</f>
        <v/>
      </c>
      <c r="G33" s="14">
        <f>IF(D33=0,"",F33/D33)</f>
        <v/>
      </c>
    </row>
    <row r="34">
      <c r="A34" s="17" t="inlineStr">
        <is>
          <t>Maintenance contracts</t>
        </is>
      </c>
      <c r="B34" s="17" t="inlineStr">
        <is>
          <t>Aug 25</t>
        </is>
      </c>
      <c r="C34" s="17" t="inlineStr">
        <is>
          <t>Locked</t>
        </is>
      </c>
      <c r="D34" s="13" t="n">
        <v>37200</v>
      </c>
      <c r="E34" s="13" t="n">
        <v>13446</v>
      </c>
      <c r="F34" s="13">
        <f>D34-E34</f>
        <v/>
      </c>
      <c r="G34" s="14">
        <f>IF(D34=0,"",F34/D34)</f>
        <v/>
      </c>
    </row>
    <row r="35">
      <c r="A35" s="17" t="inlineStr">
        <is>
          <t>Maintenance contracts</t>
        </is>
      </c>
      <c r="B35" s="17" t="inlineStr">
        <is>
          <t>Sep 25</t>
        </is>
      </c>
      <c r="C35" s="17" t="inlineStr">
        <is>
          <t>Locked</t>
        </is>
      </c>
      <c r="D35" s="13" t="n">
        <v>37200</v>
      </c>
      <c r="E35" s="13" t="n">
        <v>13446</v>
      </c>
      <c r="F35" s="13">
        <f>D35-E35</f>
        <v/>
      </c>
      <c r="G35" s="14">
        <f>IF(D35=0,"",F35/D35)</f>
        <v/>
      </c>
    </row>
    <row r="36">
      <c r="A36" s="17" t="inlineStr">
        <is>
          <t>Maintenance contracts</t>
        </is>
      </c>
      <c r="B36" s="17" t="inlineStr">
        <is>
          <t>Oct 25</t>
        </is>
      </c>
      <c r="C36" s="17" t="inlineStr">
        <is>
          <t>Locked</t>
        </is>
      </c>
      <c r="D36" s="13" t="n">
        <v>40100</v>
      </c>
      <c r="E36" s="13" t="n">
        <v>14516</v>
      </c>
      <c r="F36" s="13">
        <f>D36-E36</f>
        <v/>
      </c>
      <c r="G36" s="14">
        <f>IF(D36=0,"",F36/D36)</f>
        <v/>
      </c>
    </row>
    <row r="37">
      <c r="A37" s="17" t="inlineStr">
        <is>
          <t>Maintenance contracts</t>
        </is>
      </c>
      <c r="B37" s="17" t="inlineStr">
        <is>
          <t>Nov 25</t>
        </is>
      </c>
      <c r="C37" s="17" t="inlineStr">
        <is>
          <t>Locked</t>
        </is>
      </c>
      <c r="D37" s="13" t="n">
        <v>40100</v>
      </c>
      <c r="E37" s="13" t="n">
        <v>14516</v>
      </c>
      <c r="F37" s="13">
        <f>D37-E37</f>
        <v/>
      </c>
      <c r="G37" s="14">
        <f>IF(D37=0,"",F37/D37)</f>
        <v/>
      </c>
    </row>
    <row r="38">
      <c r="A38" s="17" t="inlineStr">
        <is>
          <t>Maintenance contracts</t>
        </is>
      </c>
      <c r="B38" s="17" t="inlineStr">
        <is>
          <t>Dec 25</t>
        </is>
      </c>
      <c r="C38" s="17" t="inlineStr">
        <is>
          <t>Locked</t>
        </is>
      </c>
      <c r="D38" s="13" t="n">
        <v>40100</v>
      </c>
      <c r="E38" s="13" t="n">
        <v>14516</v>
      </c>
      <c r="F38" s="13">
        <f>D38-E38</f>
        <v/>
      </c>
      <c r="G38" s="14">
        <f>IF(D38=0,"",F38/D38)</f>
        <v/>
      </c>
    </row>
    <row r="39">
      <c r="A39" s="17" t="inlineStr">
        <is>
          <t>Maintenance contracts</t>
        </is>
      </c>
      <c r="B39" s="17" t="inlineStr">
        <is>
          <t>Jan 26</t>
        </is>
      </c>
      <c r="C39" s="17" t="inlineStr">
        <is>
          <t>Locked</t>
        </is>
      </c>
      <c r="D39" s="13" t="n">
        <v>40100</v>
      </c>
      <c r="E39" s="13" t="n">
        <v>14516</v>
      </c>
      <c r="F39" s="13">
        <f>D39-E39</f>
        <v/>
      </c>
      <c r="G39" s="14">
        <f>IF(D39=0,"",F39/D39)</f>
        <v/>
      </c>
    </row>
    <row r="40">
      <c r="A40" s="17" t="inlineStr">
        <is>
          <t>Maintenance contracts</t>
        </is>
      </c>
      <c r="B40" s="17" t="inlineStr">
        <is>
          <t>Feb 26</t>
        </is>
      </c>
      <c r="C40" s="17" t="inlineStr">
        <is>
          <t>Locked</t>
        </is>
      </c>
      <c r="D40" s="13" t="n">
        <v>42000</v>
      </c>
      <c r="E40" s="13" t="n">
        <v>15158</v>
      </c>
      <c r="F40" s="13">
        <f>D40-E40</f>
        <v/>
      </c>
      <c r="G40" s="14">
        <f>IF(D40=0,"",F40/D40)</f>
        <v/>
      </c>
    </row>
    <row r="41">
      <c r="A41" s="17" t="inlineStr">
        <is>
          <t>Maintenance contracts</t>
        </is>
      </c>
      <c r="B41" s="17" t="inlineStr">
        <is>
          <t>Mar 26</t>
        </is>
      </c>
      <c r="C41" s="17" t="inlineStr">
        <is>
          <t>Locked</t>
        </is>
      </c>
      <c r="D41" s="13" t="n">
        <v>42000</v>
      </c>
      <c r="E41" s="13" t="n">
        <v>15158</v>
      </c>
      <c r="F41" s="13">
        <f>D41-E41</f>
        <v/>
      </c>
      <c r="G41" s="14">
        <f>IF(D41=0,"",F41/D41)</f>
        <v/>
      </c>
    </row>
    <row r="42">
      <c r="A42" s="17" t="inlineStr">
        <is>
          <t>Installations</t>
        </is>
      </c>
      <c r="B42" s="17" t="inlineStr">
        <is>
          <t>Oct 24</t>
        </is>
      </c>
      <c r="C42" s="17" t="inlineStr">
        <is>
          <t>Locked</t>
        </is>
      </c>
      <c r="D42" s="13" t="n">
        <v>141600</v>
      </c>
      <c r="E42" s="13" t="n">
        <v>92430</v>
      </c>
      <c r="F42" s="13">
        <f>D42-E42</f>
        <v/>
      </c>
      <c r="G42" s="14">
        <f>IF(D42=0,"",F42/D42)</f>
        <v/>
      </c>
    </row>
    <row r="43">
      <c r="A43" s="17" t="inlineStr">
        <is>
          <t>Installations</t>
        </is>
      </c>
      <c r="B43" s="17" t="inlineStr">
        <is>
          <t>Nov 24</t>
        </is>
      </c>
      <c r="C43" s="17" t="inlineStr">
        <is>
          <t>Locked</t>
        </is>
      </c>
      <c r="D43" s="13" t="n">
        <v>147100</v>
      </c>
      <c r="E43" s="13" t="n">
        <v>89070</v>
      </c>
      <c r="F43" s="13">
        <f>D43-E43</f>
        <v/>
      </c>
      <c r="G43" s="14">
        <f>IF(D43=0,"",F43/D43)</f>
        <v/>
      </c>
    </row>
    <row r="44">
      <c r="A44" s="17" t="inlineStr">
        <is>
          <t>Installations</t>
        </is>
      </c>
      <c r="B44" s="17" t="inlineStr">
        <is>
          <t>Dec 24</t>
        </is>
      </c>
      <c r="C44" s="17" t="inlineStr">
        <is>
          <t>Locked</t>
        </is>
      </c>
      <c r="D44" s="13" t="n">
        <v>103700</v>
      </c>
      <c r="E44" s="13" t="n">
        <v>59908</v>
      </c>
      <c r="F44" s="13">
        <f>D44-E44</f>
        <v/>
      </c>
      <c r="G44" s="14">
        <f>IF(D44=0,"",F44/D44)</f>
        <v/>
      </c>
    </row>
    <row r="45">
      <c r="A45" s="17" t="inlineStr">
        <is>
          <t>Installations</t>
        </is>
      </c>
      <c r="B45" s="17" t="inlineStr">
        <is>
          <t>Jan 25</t>
        </is>
      </c>
      <c r="C45" s="17" t="inlineStr">
        <is>
          <t>Locked</t>
        </is>
      </c>
      <c r="D45" s="13" t="n">
        <v>100100</v>
      </c>
      <c r="E45" s="13" t="n">
        <v>54678</v>
      </c>
      <c r="F45" s="13">
        <f>D45-E45</f>
        <v/>
      </c>
      <c r="G45" s="14">
        <f>IF(D45=0,"",F45/D45)</f>
        <v/>
      </c>
    </row>
    <row r="46">
      <c r="A46" s="17" t="inlineStr">
        <is>
          <t>Installations</t>
        </is>
      </c>
      <c r="B46" s="17" t="inlineStr">
        <is>
          <t>Feb 25</t>
        </is>
      </c>
      <c r="C46" s="17" t="inlineStr">
        <is>
          <t>Locked</t>
        </is>
      </c>
      <c r="D46" s="13" t="n">
        <v>118600</v>
      </c>
      <c r="E46" s="13" t="n">
        <v>74966</v>
      </c>
      <c r="F46" s="13">
        <f>D46-E46</f>
        <v/>
      </c>
      <c r="G46" s="14">
        <f>IF(D46=0,"",F46/D46)</f>
        <v/>
      </c>
    </row>
    <row r="47">
      <c r="A47" s="17" t="inlineStr">
        <is>
          <t>Installations</t>
        </is>
      </c>
      <c r="B47" s="17" t="inlineStr">
        <is>
          <t>Mar 25</t>
        </is>
      </c>
      <c r="C47" s="17" t="inlineStr">
        <is>
          <t>Locked</t>
        </is>
      </c>
      <c r="D47" s="13" t="n">
        <v>96400</v>
      </c>
      <c r="E47" s="13" t="n">
        <v>61664</v>
      </c>
      <c r="F47" s="13">
        <f>D47-E47</f>
        <v/>
      </c>
      <c r="G47" s="14">
        <f>IF(D47=0,"",F47/D47)</f>
        <v/>
      </c>
    </row>
    <row r="48">
      <c r="A48" s="17" t="inlineStr">
        <is>
          <t>Installations</t>
        </is>
      </c>
      <c r="B48" s="17" t="inlineStr">
        <is>
          <t>Apr 25</t>
        </is>
      </c>
      <c r="C48" s="17" t="inlineStr">
        <is>
          <t>Locked</t>
        </is>
      </c>
      <c r="D48" s="13" t="n">
        <v>83900</v>
      </c>
      <c r="E48" s="13" t="n">
        <v>52264</v>
      </c>
      <c r="F48" s="13">
        <f>D48-E48</f>
        <v/>
      </c>
      <c r="G48" s="14">
        <f>IF(D48=0,"",F48/D48)</f>
        <v/>
      </c>
    </row>
    <row r="49">
      <c r="A49" s="17" t="inlineStr">
        <is>
          <t>Installations</t>
        </is>
      </c>
      <c r="B49" s="17" t="inlineStr">
        <is>
          <t>May 25</t>
        </is>
      </c>
      <c r="C49" s="17" t="inlineStr">
        <is>
          <t>Locked</t>
        </is>
      </c>
      <c r="D49" s="13" t="n">
        <v>89900</v>
      </c>
      <c r="E49" s="13" t="n">
        <v>59534</v>
      </c>
      <c r="F49" s="13">
        <f>D49-E49</f>
        <v/>
      </c>
      <c r="G49" s="14">
        <f>IF(D49=0,"",F49/D49)</f>
        <v/>
      </c>
    </row>
    <row r="50">
      <c r="A50" s="17" t="inlineStr">
        <is>
          <t>Installations</t>
        </is>
      </c>
      <c r="B50" s="17" t="inlineStr">
        <is>
          <t>Jun 25</t>
        </is>
      </c>
      <c r="C50" s="17" t="inlineStr">
        <is>
          <t>Locked</t>
        </is>
      </c>
      <c r="D50" s="13" t="n">
        <v>126300</v>
      </c>
      <c r="E50" s="13" t="n">
        <v>72976</v>
      </c>
      <c r="F50" s="13">
        <f>D50-E50</f>
        <v/>
      </c>
      <c r="G50" s="14">
        <f>IF(D50=0,"",F50/D50)</f>
        <v/>
      </c>
    </row>
    <row r="51">
      <c r="A51" s="17" t="inlineStr">
        <is>
          <t>Installations</t>
        </is>
      </c>
      <c r="B51" s="17" t="inlineStr">
        <is>
          <t>Jul 25</t>
        </is>
      </c>
      <c r="C51" s="17" t="inlineStr">
        <is>
          <t>Locked</t>
        </is>
      </c>
      <c r="D51" s="13" t="n">
        <v>152100</v>
      </c>
      <c r="E51" s="13" t="n">
        <v>96920</v>
      </c>
      <c r="F51" s="13">
        <f>D51-E51</f>
        <v/>
      </c>
      <c r="G51" s="14">
        <f>IF(D51=0,"",F51/D51)</f>
        <v/>
      </c>
    </row>
    <row r="52">
      <c r="A52" s="17" t="inlineStr">
        <is>
          <t>Installations</t>
        </is>
      </c>
      <c r="B52" s="17" t="inlineStr">
        <is>
          <t>Aug 25</t>
        </is>
      </c>
      <c r="C52" s="17" t="inlineStr">
        <is>
          <t>Locked</t>
        </is>
      </c>
      <c r="D52" s="13" t="n">
        <v>96500</v>
      </c>
      <c r="E52" s="13" t="n">
        <v>53590</v>
      </c>
      <c r="F52" s="13">
        <f>D52-E52</f>
        <v/>
      </c>
      <c r="G52" s="14">
        <f>IF(D52=0,"",F52/D52)</f>
        <v/>
      </c>
    </row>
    <row r="53">
      <c r="A53" s="17" t="inlineStr">
        <is>
          <t>Installations</t>
        </is>
      </c>
      <c r="B53" s="17" t="inlineStr">
        <is>
          <t>Sep 25</t>
        </is>
      </c>
      <c r="C53" s="17" t="inlineStr">
        <is>
          <t>Locked</t>
        </is>
      </c>
      <c r="D53" s="13" t="n">
        <v>84200</v>
      </c>
      <c r="E53" s="13" t="n">
        <v>55440</v>
      </c>
      <c r="F53" s="13">
        <f>D53-E53</f>
        <v/>
      </c>
      <c r="G53" s="14">
        <f>IF(D53=0,"",F53/D53)</f>
        <v/>
      </c>
    </row>
    <row r="54">
      <c r="A54" s="17" t="inlineStr">
        <is>
          <t>Installations</t>
        </is>
      </c>
      <c r="B54" s="17" t="inlineStr">
        <is>
          <t>Oct 25</t>
        </is>
      </c>
      <c r="C54" s="17" t="inlineStr">
        <is>
          <t>Locked</t>
        </is>
      </c>
      <c r="D54" s="13" t="n">
        <v>79300</v>
      </c>
      <c r="E54" s="13" t="n">
        <v>52288</v>
      </c>
      <c r="F54" s="13">
        <f>D54-E54</f>
        <v/>
      </c>
      <c r="G54" s="14">
        <f>IF(D54=0,"",F54/D54)</f>
        <v/>
      </c>
    </row>
    <row r="55">
      <c r="A55" s="17" t="inlineStr">
        <is>
          <t>Installations</t>
        </is>
      </c>
      <c r="B55" s="17" t="inlineStr">
        <is>
          <t>Nov 25</t>
        </is>
      </c>
      <c r="C55" s="17" t="inlineStr">
        <is>
          <t>Locked</t>
        </is>
      </c>
      <c r="D55" s="13" t="n">
        <v>126900</v>
      </c>
      <c r="E55" s="13" t="n">
        <v>87174</v>
      </c>
      <c r="F55" s="13">
        <f>D55-E55</f>
        <v/>
      </c>
      <c r="G55" s="14">
        <f>IF(D55=0,"",F55/D55)</f>
        <v/>
      </c>
    </row>
    <row r="56">
      <c r="A56" s="17" t="inlineStr">
        <is>
          <t>Installations</t>
        </is>
      </c>
      <c r="B56" s="17" t="inlineStr">
        <is>
          <t>Dec 25</t>
        </is>
      </c>
      <c r="C56" s="17" t="inlineStr">
        <is>
          <t>Locked</t>
        </is>
      </c>
      <c r="D56" s="13" t="n">
        <v>78100</v>
      </c>
      <c r="E56" s="13" t="n">
        <v>53408</v>
      </c>
      <c r="F56" s="13">
        <f>D56-E56</f>
        <v/>
      </c>
      <c r="G56" s="14">
        <f>IF(D56=0,"",F56/D56)</f>
        <v/>
      </c>
    </row>
    <row r="57">
      <c r="A57" s="17" t="inlineStr">
        <is>
          <t>Installations</t>
        </is>
      </c>
      <c r="B57" s="17" t="inlineStr">
        <is>
          <t>Jan 26</t>
        </is>
      </c>
      <c r="C57" s="17" t="inlineStr">
        <is>
          <t>Locked</t>
        </is>
      </c>
      <c r="D57" s="13" t="n">
        <v>109100</v>
      </c>
      <c r="E57" s="13" t="n">
        <v>74216</v>
      </c>
      <c r="F57" s="13">
        <f>D57-E57</f>
        <v/>
      </c>
      <c r="G57" s="14">
        <f>IF(D57=0,"",F57/D57)</f>
        <v/>
      </c>
    </row>
    <row r="58">
      <c r="A58" s="17" t="inlineStr">
        <is>
          <t>Installations</t>
        </is>
      </c>
      <c r="B58" s="17" t="inlineStr">
        <is>
          <t>Feb 26</t>
        </is>
      </c>
      <c r="C58" s="17" t="inlineStr">
        <is>
          <t>Locked</t>
        </is>
      </c>
      <c r="D58" s="13" t="n">
        <v>144800</v>
      </c>
      <c r="E58" s="13" t="n">
        <v>88896</v>
      </c>
      <c r="F58" s="13">
        <f>D58-E58</f>
        <v/>
      </c>
      <c r="G58" s="14">
        <f>IF(D58=0,"",F58/D58)</f>
        <v/>
      </c>
    </row>
    <row r="59">
      <c r="A59" s="17" t="inlineStr">
        <is>
          <t>Installations</t>
        </is>
      </c>
      <c r="B59" s="17" t="inlineStr">
        <is>
          <t>Mar 26</t>
        </is>
      </c>
      <c r="C59" s="17" t="inlineStr">
        <is>
          <t>Locked</t>
        </is>
      </c>
      <c r="D59" s="13" t="n">
        <v>144900</v>
      </c>
      <c r="E59" s="13" t="n">
        <v>94290</v>
      </c>
      <c r="F59" s="13">
        <f>D59-E59</f>
        <v/>
      </c>
      <c r="G59" s="14">
        <f>IF(D59=0,"",F59/D59)</f>
        <v/>
      </c>
    </row>
    <row r="60">
      <c r="A60" s="17" t="inlineStr">
        <is>
          <t>Call-outs and repairs</t>
        </is>
      </c>
      <c r="B60" s="17" t="inlineStr">
        <is>
          <t>Oct 24</t>
        </is>
      </c>
      <c r="C60" s="17" t="inlineStr">
        <is>
          <t>Locked</t>
        </is>
      </c>
      <c r="D60" s="13" t="n">
        <v>21764</v>
      </c>
      <c r="E60" s="13" t="n">
        <v>11484</v>
      </c>
      <c r="F60" s="13">
        <f>D60-E60</f>
        <v/>
      </c>
      <c r="G60" s="14">
        <f>IF(D60=0,"",F60/D60)</f>
        <v/>
      </c>
    </row>
    <row r="61">
      <c r="A61" s="17" t="inlineStr">
        <is>
          <t>Call-outs and repairs</t>
        </is>
      </c>
      <c r="B61" s="17" t="inlineStr">
        <is>
          <t>Nov 24</t>
        </is>
      </c>
      <c r="C61" s="17" t="inlineStr">
        <is>
          <t>Locked</t>
        </is>
      </c>
      <c r="D61" s="13" t="n">
        <v>25374</v>
      </c>
      <c r="E61" s="13" t="n">
        <v>13526</v>
      </c>
      <c r="F61" s="13">
        <f>D61-E61</f>
        <v/>
      </c>
      <c r="G61" s="14">
        <f>IF(D61=0,"",F61/D61)</f>
        <v/>
      </c>
    </row>
    <row r="62">
      <c r="A62" s="17" t="inlineStr">
        <is>
          <t>Call-outs and repairs</t>
        </is>
      </c>
      <c r="B62" s="17" t="inlineStr">
        <is>
          <t>Dec 24</t>
        </is>
      </c>
      <c r="C62" s="17" t="inlineStr">
        <is>
          <t>Locked</t>
        </is>
      </c>
      <c r="D62" s="13" t="n">
        <v>28056</v>
      </c>
      <c r="E62" s="13" t="n">
        <v>14988</v>
      </c>
      <c r="F62" s="13">
        <f>D62-E62</f>
        <v/>
      </c>
      <c r="G62" s="14">
        <f>IF(D62=0,"",F62/D62)</f>
        <v/>
      </c>
    </row>
    <row r="63">
      <c r="A63" s="17" t="inlineStr">
        <is>
          <t>Call-outs and repairs</t>
        </is>
      </c>
      <c r="B63" s="17" t="inlineStr">
        <is>
          <t>Jan 25</t>
        </is>
      </c>
      <c r="C63" s="17" t="inlineStr">
        <is>
          <t>Locked</t>
        </is>
      </c>
      <c r="D63" s="13" t="n">
        <v>29044</v>
      </c>
      <c r="E63" s="13" t="n">
        <v>15644</v>
      </c>
      <c r="F63" s="13">
        <f>D63-E63</f>
        <v/>
      </c>
      <c r="G63" s="14">
        <f>IF(D63=0,"",F63/D63)</f>
        <v/>
      </c>
    </row>
    <row r="64">
      <c r="A64" s="17" t="inlineStr">
        <is>
          <t>Call-outs and repairs</t>
        </is>
      </c>
      <c r="B64" s="17" t="inlineStr">
        <is>
          <t>Feb 25</t>
        </is>
      </c>
      <c r="C64" s="17" t="inlineStr">
        <is>
          <t>Locked</t>
        </is>
      </c>
      <c r="D64" s="13" t="n">
        <v>29290</v>
      </c>
      <c r="E64" s="13" t="n">
        <v>15600</v>
      </c>
      <c r="F64" s="13">
        <f>D64-E64</f>
        <v/>
      </c>
      <c r="G64" s="14">
        <f>IF(D64=0,"",F64/D64)</f>
        <v/>
      </c>
    </row>
    <row r="65">
      <c r="A65" s="17" t="inlineStr">
        <is>
          <t>Call-outs and repairs</t>
        </is>
      </c>
      <c r="B65" s="17" t="inlineStr">
        <is>
          <t>Mar 25</t>
        </is>
      </c>
      <c r="C65" s="17" t="inlineStr">
        <is>
          <t>Locked</t>
        </is>
      </c>
      <c r="D65" s="13" t="n">
        <v>22765</v>
      </c>
      <c r="E65" s="13" t="n">
        <v>12306</v>
      </c>
      <c r="F65" s="13">
        <f>D65-E65</f>
        <v/>
      </c>
      <c r="G65" s="14">
        <f>IF(D65=0,"",F65/D65)</f>
        <v/>
      </c>
    </row>
    <row r="66">
      <c r="A66" s="17" t="inlineStr">
        <is>
          <t>Call-outs and repairs</t>
        </is>
      </c>
      <c r="B66" s="17" t="inlineStr">
        <is>
          <t>Apr 25</t>
        </is>
      </c>
      <c r="C66" s="17" t="inlineStr">
        <is>
          <t>Locked</t>
        </is>
      </c>
      <c r="D66" s="13" t="n">
        <v>23665</v>
      </c>
      <c r="E66" s="13" t="n">
        <v>12762</v>
      </c>
      <c r="F66" s="13">
        <f>D66-E66</f>
        <v/>
      </c>
      <c r="G66" s="14">
        <f>IF(D66=0,"",F66/D66)</f>
        <v/>
      </c>
    </row>
    <row r="67">
      <c r="A67" s="17" t="inlineStr">
        <is>
          <t>Call-outs and repairs</t>
        </is>
      </c>
      <c r="B67" s="17" t="inlineStr">
        <is>
          <t>May 25</t>
        </is>
      </c>
      <c r="C67" s="17" t="inlineStr">
        <is>
          <t>Locked</t>
        </is>
      </c>
      <c r="D67" s="13" t="n">
        <v>23449</v>
      </c>
      <c r="E67" s="13" t="n">
        <v>12384</v>
      </c>
      <c r="F67" s="13">
        <f>D67-E67</f>
        <v/>
      </c>
      <c r="G67" s="14">
        <f>IF(D67=0,"",F67/D67)</f>
        <v/>
      </c>
    </row>
    <row r="68">
      <c r="A68" s="17" t="inlineStr">
        <is>
          <t>Call-outs and repairs</t>
        </is>
      </c>
      <c r="B68" s="17" t="inlineStr">
        <is>
          <t>Jun 25</t>
        </is>
      </c>
      <c r="C68" s="17" t="inlineStr">
        <is>
          <t>Locked</t>
        </is>
      </c>
      <c r="D68" s="13" t="n">
        <v>21245</v>
      </c>
      <c r="E68" s="13" t="n">
        <v>11162</v>
      </c>
      <c r="F68" s="13">
        <f>D68-E68</f>
        <v/>
      </c>
      <c r="G68" s="14">
        <f>IF(D68=0,"",F68/D68)</f>
        <v/>
      </c>
    </row>
    <row r="69">
      <c r="A69" s="17" t="inlineStr">
        <is>
          <t>Call-outs and repairs</t>
        </is>
      </c>
      <c r="B69" s="17" t="inlineStr">
        <is>
          <t>Jul 25</t>
        </is>
      </c>
      <c r="C69" s="17" t="inlineStr">
        <is>
          <t>Locked</t>
        </is>
      </c>
      <c r="D69" s="13" t="n">
        <v>19288</v>
      </c>
      <c r="E69" s="13" t="n">
        <v>9960</v>
      </c>
      <c r="F69" s="13">
        <f>D69-E69</f>
        <v/>
      </c>
      <c r="G69" s="14">
        <f>IF(D69=0,"",F69/D69)</f>
        <v/>
      </c>
    </row>
    <row r="70">
      <c r="A70" s="17" t="inlineStr">
        <is>
          <t>Call-outs and repairs</t>
        </is>
      </c>
      <c r="B70" s="17" t="inlineStr">
        <is>
          <t>Aug 25</t>
        </is>
      </c>
      <c r="C70" s="17" t="inlineStr">
        <is>
          <t>Locked</t>
        </is>
      </c>
      <c r="D70" s="13" t="n">
        <v>21418</v>
      </c>
      <c r="E70" s="13" t="n">
        <v>11222</v>
      </c>
      <c r="F70" s="13">
        <f>D70-E70</f>
        <v/>
      </c>
      <c r="G70" s="14">
        <f>IF(D70=0,"",F70/D70)</f>
        <v/>
      </c>
    </row>
    <row r="71">
      <c r="A71" s="17" t="inlineStr">
        <is>
          <t>Call-outs and repairs</t>
        </is>
      </c>
      <c r="B71" s="17" t="inlineStr">
        <is>
          <t>Sep 25</t>
        </is>
      </c>
      <c r="C71" s="17" t="inlineStr">
        <is>
          <t>Locked</t>
        </is>
      </c>
      <c r="D71" s="13" t="n">
        <v>21677</v>
      </c>
      <c r="E71" s="13" t="n">
        <v>11168</v>
      </c>
      <c r="F71" s="13">
        <f>D71-E71</f>
        <v/>
      </c>
      <c r="G71" s="14">
        <f>IF(D71=0,"",F71/D71)</f>
        <v/>
      </c>
    </row>
    <row r="72">
      <c r="A72" s="17" t="inlineStr">
        <is>
          <t>Call-outs and repairs</t>
        </is>
      </c>
      <c r="B72" s="17" t="inlineStr">
        <is>
          <t>Oct 25</t>
        </is>
      </c>
      <c r="C72" s="17" t="inlineStr">
        <is>
          <t>Locked</t>
        </is>
      </c>
      <c r="D72" s="13" t="n">
        <v>24166</v>
      </c>
      <c r="E72" s="13" t="n">
        <v>12648</v>
      </c>
      <c r="F72" s="13">
        <f>D72-E72</f>
        <v/>
      </c>
      <c r="G72" s="14">
        <f>IF(D72=0,"",F72/D72)</f>
        <v/>
      </c>
    </row>
    <row r="73">
      <c r="A73" s="17" t="inlineStr">
        <is>
          <t>Call-outs and repairs</t>
        </is>
      </c>
      <c r="B73" s="17" t="inlineStr">
        <is>
          <t>Nov 25</t>
        </is>
      </c>
      <c r="C73" s="17" t="inlineStr">
        <is>
          <t>Locked</t>
        </is>
      </c>
      <c r="D73" s="13" t="n">
        <v>27966</v>
      </c>
      <c r="E73" s="13" t="n">
        <v>14252</v>
      </c>
      <c r="F73" s="13">
        <f>D73-E73</f>
        <v/>
      </c>
      <c r="G73" s="14">
        <f>IF(D73=0,"",F73/D73)</f>
        <v/>
      </c>
    </row>
    <row r="74">
      <c r="A74" s="17" t="inlineStr">
        <is>
          <t>Call-outs and repairs</t>
        </is>
      </c>
      <c r="B74" s="17" t="inlineStr">
        <is>
          <t>Dec 25</t>
        </is>
      </c>
      <c r="C74" s="17" t="inlineStr">
        <is>
          <t>Locked</t>
        </is>
      </c>
      <c r="D74" s="13" t="n">
        <v>32083</v>
      </c>
      <c r="E74" s="13" t="n">
        <v>16702</v>
      </c>
      <c r="F74" s="13">
        <f>D74-E74</f>
        <v/>
      </c>
      <c r="G74" s="14">
        <f>IF(D74=0,"",F74/D74)</f>
        <v/>
      </c>
    </row>
    <row r="75">
      <c r="A75" s="17" t="inlineStr">
        <is>
          <t>Call-outs and repairs</t>
        </is>
      </c>
      <c r="B75" s="17" t="inlineStr">
        <is>
          <t>Jan 26</t>
        </is>
      </c>
      <c r="C75" s="17" t="inlineStr">
        <is>
          <t>Locked</t>
        </is>
      </c>
      <c r="D75" s="13" t="n">
        <v>34106</v>
      </c>
      <c r="E75" s="13" t="n">
        <v>17858</v>
      </c>
      <c r="F75" s="13">
        <f>D75-E75</f>
        <v/>
      </c>
      <c r="G75" s="14">
        <f>IF(D75=0,"",F75/D75)</f>
        <v/>
      </c>
    </row>
    <row r="76">
      <c r="A76" s="17" t="inlineStr">
        <is>
          <t>Call-outs and repairs</t>
        </is>
      </c>
      <c r="B76" s="17" t="inlineStr">
        <is>
          <t>Feb 26</t>
        </is>
      </c>
      <c r="C76" s="17" t="inlineStr">
        <is>
          <t>Locked</t>
        </is>
      </c>
      <c r="D76" s="13" t="n">
        <v>32108</v>
      </c>
      <c r="E76" s="13" t="n">
        <v>16608</v>
      </c>
      <c r="F76" s="13">
        <f>D76-E76</f>
        <v/>
      </c>
      <c r="G76" s="14">
        <f>IF(D76=0,"",F76/D76)</f>
        <v/>
      </c>
    </row>
    <row r="77">
      <c r="A77" s="17" t="inlineStr">
        <is>
          <t>Call-outs and repairs</t>
        </is>
      </c>
      <c r="B77" s="17" t="inlineStr">
        <is>
          <t>Mar 26</t>
        </is>
      </c>
      <c r="C77" s="17" t="inlineStr">
        <is>
          <t>Locked</t>
        </is>
      </c>
      <c r="D77" s="13" t="n">
        <v>26678</v>
      </c>
      <c r="E77" s="13" t="n">
        <v>13894</v>
      </c>
      <c r="F77" s="13">
        <f>D77-E77</f>
        <v/>
      </c>
      <c r="G77" s="14">
        <f>IF(D77=0,"",F77/D77)</f>
        <v/>
      </c>
    </row>
  </sheetData>
  <printOptions horizontalCentered="1"/>
  <pageMargins left="0.5" right="0.5" top="0.75" bottom="0.75" header="0.5" footer="0.5"/>
  <pageSetup orientation="landscape" paperSize="9" fitToHeight="0" fitToWidth="1"/>
  <headerFooter>
    <oddHeader>&amp;L&amp;"Roboto,Regular"&amp;8 Sample Electrical &amp;&amp; Air Pty Ltd&amp;R&amp;"Roboto,Regular"&amp;8 &amp;A</oddHeader>
    <oddFooter>&amp;L&amp;"Roboto,Regular"&amp;8 growth-trades.xlsx&amp;C&amp;"Roboto,Regular"&amp;8 Data retrieved 2pm, Tue 6 Oct 2026 · Generated 22 Oct 2026, 4:57pm&amp;R&amp;"Roboto,Regular"&amp;8 Page &amp;P of &amp;N</oddFooter>
    <evenHeader/>
    <evenFooter/>
    <firstHeader/>
    <firstFooter/>
  </headerFooter>
  <rowBreaks count="3" manualBreakCount="3">
    <brk id="23" min="0" max="16383" man="1"/>
    <brk id="41" min="0" max="16383" man="1"/>
    <brk id="59" min="0" max="16383" man="1"/>
  </rowBreaks>
  <drawing xmlns:r="http://schemas.openxmlformats.org/officeDocument/2006/relationships" r:id="rId1"/>
  <tableParts count="1">
    <tablePart xmlns:r="http://schemas.openxmlformats.org/officeDocument/2006/relationships" r:id="rId2"/>
  </tableParts>
</worksheet>
</file>

<file path=xl/worksheets/sheet4.xml><?xml version="1.0" encoding="utf-8"?>
<worksheet xmlns="http://schemas.openxmlformats.org/spreadsheetml/2006/main">
  <sheetPr>
    <outlinePr summaryBelow="1" summaryRight="1"/>
    <pageSetUpPr fitToPage="1"/>
  </sheetPr>
  <dimension ref="A1:F9"/>
  <sheetViews>
    <sheetView showGridLines="0" workbookViewId="0">
      <pane xSplit="1" ySplit="5" topLeftCell="B6" activePane="bottomRight" state="frozen"/>
      <selection pane="topRight"/>
      <selection pane="bottomLeft"/>
      <selection pane="bottomRight" activeCell="A1" sqref="A1"/>
    </sheetView>
  </sheetViews>
  <sheetFormatPr baseColWidth="8" defaultRowHeight="15"/>
  <cols>
    <col width="34" customWidth="1" min="1" max="1"/>
    <col width="16" customWidth="1" min="2" max="2"/>
    <col width="16" customWidth="1" min="3" max="3"/>
    <col width="16" customWidth="1" min="4" max="4"/>
    <col width="16" customWidth="1" min="5" max="5"/>
    <col width="16" customWidth="1" min="6" max="6"/>
  </cols>
  <sheetData>
    <row r="1">
      <c r="A1" s="1" t="inlineStr">
        <is>
          <t>Year to date Trades</t>
        </is>
      </c>
    </row>
    <row r="2">
      <c r="A2" s="2" t="inlineStr">
        <is>
          <t>Sample Electrical &amp; Air Pty Ltd · SAMPLE DATA (invented) · The Fourth Sheet · Made with Python (openpyxl)</t>
        </is>
      </c>
    </row>
    <row r="3">
      <c r="A3" s="2" t="inlineStr">
        <is>
          <t>Period: March 2026 · Data status: Mar 2026 locked (data retrieved 2pm, Tue 6 Oct 2026) · Generated 22 Oct 2026, 4:57pm</t>
        </is>
      </c>
    </row>
    <row r="4"/>
    <row r="5">
      <c r="A5" s="7" t="inlineStr">
        <is>
          <t>Line</t>
        </is>
      </c>
      <c r="B5" s="8" t="inlineStr">
        <is>
          <t>Year to date</t>
        </is>
      </c>
      <c r="C5" s="8" t="inlineStr">
        <is>
          <t>Same period last year</t>
        </is>
      </c>
      <c r="D5" s="8" t="inlineStr">
        <is>
          <t>Growth</t>
        </is>
      </c>
      <c r="E5" s="8" t="inlineStr">
        <is>
          <t>Gross margin $</t>
        </is>
      </c>
      <c r="F5" s="8" t="inlineStr">
        <is>
          <t>Gross margin %</t>
        </is>
      </c>
    </row>
    <row r="6">
      <c r="A6" s="17" t="inlineStr">
        <is>
          <t>Maintenance contracts</t>
        </is>
      </c>
      <c r="B6" s="13" t="n">
        <v>356000</v>
      </c>
      <c r="C6" s="13" t="n"/>
      <c r="D6" s="14">
        <f>IF(C6=0,"",B6/C6-1)</f>
        <v/>
      </c>
      <c r="E6" s="13" t="n">
        <v>227282</v>
      </c>
      <c r="F6" s="14">
        <f>IF(B6=0,"",E6/B6)</f>
        <v/>
      </c>
    </row>
    <row r="7">
      <c r="A7" s="17" t="inlineStr">
        <is>
          <t>Installations</t>
        </is>
      </c>
      <c r="B7" s="13" t="n">
        <v>1015900</v>
      </c>
      <c r="C7" s="13" t="n"/>
      <c r="D7" s="14">
        <f>IF(C7=0,"",B7/C7-1)</f>
        <v/>
      </c>
      <c r="E7" s="13" t="n">
        <v>359678</v>
      </c>
      <c r="F7" s="14">
        <f>IF(B7=0,"",E7/B7)</f>
        <v/>
      </c>
    </row>
    <row r="8">
      <c r="A8" s="17" t="inlineStr">
        <is>
          <t>Call-outs and repairs</t>
        </is>
      </c>
      <c r="B8" s="13" t="n">
        <v>239490</v>
      </c>
      <c r="C8" s="13" t="n"/>
      <c r="D8" s="14">
        <f>IF(C8=0,"",B8/C8-1)</f>
        <v/>
      </c>
      <c r="E8" s="13" t="n">
        <v>115178</v>
      </c>
      <c r="F8" s="14">
        <f>IF(B8=0,"",E8/B8)</f>
        <v/>
      </c>
    </row>
    <row r="9">
      <c r="A9" s="17" t="inlineStr">
        <is>
          <t>Total</t>
        </is>
      </c>
      <c r="B9" s="13" t="n">
        <v>1611390</v>
      </c>
      <c r="C9" s="13" t="n"/>
      <c r="D9" s="14">
        <f>IF(C9=0,"",B9/C9-1)</f>
        <v/>
      </c>
      <c r="E9" s="13" t="n">
        <v>702138</v>
      </c>
      <c r="F9" s="14">
        <f>IF(B9=0,"",E9/B9)</f>
        <v/>
      </c>
    </row>
  </sheetData>
  <printOptions horizontalCentered="1"/>
  <pageMargins left="0.5" right="0.5" top="0.75" bottom="0.75" header="0.5" footer="0.5"/>
  <pageSetup orientation="landscape" paperSize="9" fitToHeight="0" fitToWidth="1"/>
  <headerFooter>
    <oddHeader>&amp;L&amp;"Roboto,Regular"&amp;8 Sample Electrical &amp;&amp; Air Pty Ltd&amp;R&amp;"Roboto,Regular"&amp;8 &amp;A</oddHeader>
    <oddFooter>&amp;L&amp;"Roboto,Regular"&amp;8 growth-trades.xlsx&amp;C&amp;"Roboto,Regular"&amp;8 Data retrieved 2pm, Tue 6 Oct 2026 · Generated 22 Oct 2026, 4:57pm&amp;R&amp;"Roboto,Regular"&amp;8 Page &amp;P of &amp;N</oddFooter>
    <evenHeader/>
    <evenFooter/>
    <firstHeader/>
    <firstFooter/>
  </headerFooter>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2026-10-22T06:58:23Z</dcterms:created>
  <dcterms:modified xmlns:dcterms="http://purl.org/dc/terms/" xmlns:xsi="http://www.w3.org/2001/XMLSchema-instance" xsi:type="dcterms:W3CDTF">2026-10-22T06:58:23Z</dcterms:modified>
</cp:coreProperties>
</file>