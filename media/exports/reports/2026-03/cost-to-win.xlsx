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March_2026">'Report'!$B$9</definedName>
    <definedName name="March_last_year">'Report'!$B$10</definedName>
    <definedName name="Year_to_date_Jul_to_Mar_2026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'Data'!$A$6:$A$23</f>
            </numRef>
          </cat>
          <val>
            <numRef>
              <f>'Data'!$C$6:$C$23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3" headerRowCount="1">
  <autoFilter ref="A5:E23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$227 per new customer in March: 37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March 2026</t>
        </is>
      </c>
      <c r="B9" s="7">
        <f>Workings!B10</f>
        <v/>
      </c>
      <c r="C9" s="8" t="inlineStr">
        <is>
          <t>February $221</t>
        </is>
      </c>
    </row>
    <row r="10">
      <c r="A10" t="inlineStr">
        <is>
          <t>March last year</t>
        </is>
      </c>
      <c r="B10" s="7">
        <f>Workings!B18</f>
        <v/>
      </c>
      <c r="C10" s="8" t="inlineStr">
        <is>
          <t>34 new customers from $8,400</t>
        </is>
      </c>
    </row>
    <row r="11">
      <c r="A11" t="inlineStr">
        <is>
          <t>Year to date (Jul to Mar 2026)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37 new customers came from $8,400 of marketing in March, against 39 from $8,600 in February: $227 each, up from $221.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Worth knowing which channels brought this month's customers in: recording the source of each new customer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11" t="inlineStr">
        <is>
          <t>Cost to win a customer, March and February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Marketing spend (ledger)</t>
        </is>
      </c>
      <c r="B8" s="12" t="n">
        <v>8400</v>
      </c>
      <c r="C8" s="12" t="n">
        <v>8600</v>
      </c>
    </row>
    <row r="9">
      <c r="A9" t="inlineStr">
        <is>
          <t>New customers (first job ever)</t>
        </is>
      </c>
      <c r="B9" s="12" t="n">
        <v>37</v>
      </c>
      <c r="C9" s="12" t="n">
        <v>39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Mar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Mar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34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Mar 2026</t>
        </is>
      </c>
      <c r="B24" s="12" t="n">
        <v>75200</v>
      </c>
    </row>
    <row r="25">
      <c r="A25" t="inlineStr">
        <is>
          <t>New customers, Jul to Mar 2026</t>
        </is>
      </c>
      <c r="B25" s="12" t="n">
        <v>331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5" t="inlineStr">
        <is>
          <t>Jan 26</t>
        </is>
      </c>
      <c r="B21" s="15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5" t="inlineStr">
        <is>
          <t>Feb 26</t>
        </is>
      </c>
      <c r="B22" s="15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5" t="inlineStr">
        <is>
          <t>Mar 26</t>
        </is>
      </c>
      <c r="B23" s="15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