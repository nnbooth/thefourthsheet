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March">'Report'!$B$9</definedName>
    <definedName name="Median_wait_March">'Report'!$B$10</definedName>
    <definedName name="Enquiries_March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March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3" headerRowCount="1">
  <autoFilter ref="A5:G23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 ht="32" customHeight="1">
      <c r="A5" s="3" t="inlineStr">
        <is>
          <t>In short: 65.3% called back within 2 working hours in March (target 80.0%); median wait 68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March</t>
        </is>
      </c>
      <c r="B9" s="7">
        <f>Workings!B10</f>
        <v/>
      </c>
      <c r="C9" s="8" t="inlineStr">
        <is>
          <t>target 80.0% · February 61.6%</t>
        </is>
      </c>
    </row>
    <row r="10">
      <c r="A10" t="inlineStr">
        <is>
          <t>Median wait, March</t>
        </is>
      </c>
      <c r="B10" s="9">
        <f>Workings!B16</f>
        <v/>
      </c>
      <c r="C10" s="8" t="inlineStr">
        <is>
          <t>February 72 min (working minutes)</t>
        </is>
      </c>
    </row>
    <row r="11">
      <c r="A11" t="inlineStr">
        <is>
          <t>Enquiries, March</t>
        </is>
      </c>
      <c r="B11" s="9">
        <f>Workings!B25</f>
        <v/>
      </c>
      <c r="C11" s="8" t="inlineStr">
        <is>
          <t>February 112</t>
        </is>
      </c>
    </row>
    <row r="12"/>
    <row r="13">
      <c r="A13" s="10" t="inlineStr">
        <is>
          <t>Called back within 2 working hours, by channel, March 2026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65.3% of the 98 enquiries called back in March heard back within 2 working hours (target 80.0%), up from 61.6% in February. The median wait was 68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14 more enquiries would have needed a faster callback to reach the 80.0% target. Web form enquiries are the slowest: 55.2%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13" t="inlineStr">
        <is>
          <t>Callbacks within 2 working hours, March and February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Mar 26</t>
        </is>
      </c>
      <c r="C7" s="6" t="inlineStr">
        <is>
          <t>Feb 26</t>
        </is>
      </c>
    </row>
    <row r="8">
      <c r="A8" t="inlineStr">
        <is>
          <t>Called back</t>
        </is>
      </c>
      <c r="B8" s="14" t="n">
        <v>98</v>
      </c>
      <c r="C8" s="14" t="n">
        <v>112</v>
      </c>
    </row>
    <row r="9">
      <c r="A9" t="inlineStr">
        <is>
          <t>Within 2 working hours</t>
        </is>
      </c>
      <c r="B9" s="14" t="n">
        <v>64</v>
      </c>
      <c r="C9" s="14" t="n">
        <v>69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March and February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Mar 26</t>
        </is>
      </c>
      <c r="C15" s="6" t="inlineStr">
        <is>
          <t>Feb 26</t>
        </is>
      </c>
    </row>
    <row r="16">
      <c r="A16" t="inlineStr">
        <is>
          <t>Median wait (working minutes)</t>
        </is>
      </c>
      <c r="B16" s="14" t="n">
        <v>68</v>
      </c>
      <c r="C16" s="14" t="n">
        <v>72</v>
      </c>
    </row>
    <row r="17">
      <c r="A17" s="15" t="inlineStr">
        <is>
          <t>Enquiries called back</t>
        </is>
      </c>
      <c r="B17" s="17" t="n">
        <v>98</v>
      </c>
      <c r="C17" s="17" t="n">
        <v>112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Mar 26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Mar 26</t>
        </is>
      </c>
    </row>
    <row r="24">
      <c r="A24" t="inlineStr">
        <is>
          <t>Enquiries</t>
        </is>
      </c>
      <c r="B24" s="14" t="n">
        <v>98</v>
      </c>
    </row>
    <row r="25">
      <c r="A25" t="inlineStr">
        <is>
          <t>Called back</t>
        </is>
      </c>
      <c r="B25" s="14" t="n">
        <v>98</v>
      </c>
    </row>
    <row r="26">
      <c r="A26" t="inlineStr">
        <is>
          <t>Called back within 2 working hours</t>
        </is>
      </c>
      <c r="B26" s="14" t="n">
        <v>64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68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March 2026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Mar 2026</t>
        </is>
      </c>
    </row>
    <row r="35">
      <c r="A35" t="inlineStr">
        <is>
          <t>Called back</t>
        </is>
      </c>
      <c r="B35" s="14" t="n">
        <v>59</v>
      </c>
    </row>
    <row r="36">
      <c r="A36" t="inlineStr">
        <is>
          <t>Within 2 working hours</t>
        </is>
      </c>
      <c r="B36" s="14" t="n">
        <v>42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March 2026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Mar 2026</t>
        </is>
      </c>
    </row>
    <row r="43">
      <c r="A43" t="inlineStr">
        <is>
          <t>Called back</t>
        </is>
      </c>
      <c r="B43" s="14" t="n">
        <v>29</v>
      </c>
    </row>
    <row r="44">
      <c r="A44" t="inlineStr">
        <is>
          <t>Within 2 working hours</t>
        </is>
      </c>
      <c r="B44" s="14" t="n">
        <v>16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March 2026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Mar 2026</t>
        </is>
      </c>
    </row>
    <row r="51">
      <c r="A51" t="inlineStr">
        <is>
          <t>Called back</t>
        </is>
      </c>
      <c r="B51" s="14" t="n">
        <v>10</v>
      </c>
    </row>
    <row r="52">
      <c r="A52" t="inlineStr">
        <is>
          <t>Within 2 working hours</t>
        </is>
      </c>
      <c r="B52" s="14" t="n">
        <v>6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March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119</v>
      </c>
      <c r="D20" s="14" t="n">
        <v>119</v>
      </c>
      <c r="E20" s="14" t="n">
        <v>84</v>
      </c>
      <c r="F20" s="18">
        <f>IF(D20=0,"",E20/D20)</f>
        <v/>
      </c>
      <c r="G20" s="14" t="n">
        <v>69</v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109</v>
      </c>
      <c r="D21" s="14" t="n">
        <v>109</v>
      </c>
      <c r="E21" s="14" t="n">
        <v>73</v>
      </c>
      <c r="F21" s="18">
        <f>IF(D21=0,"",E21/D21)</f>
        <v/>
      </c>
      <c r="G21" s="14" t="n">
        <v>72</v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112</v>
      </c>
      <c r="D22" s="14" t="n">
        <v>112</v>
      </c>
      <c r="E22" s="14" t="n">
        <v>69</v>
      </c>
      <c r="F22" s="18">
        <f>IF(D22=0,"",E22/D22)</f>
        <v/>
      </c>
      <c r="G22" s="14" t="n">
        <v>72</v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98</v>
      </c>
      <c r="D23" s="14" t="n">
        <v>98</v>
      </c>
      <c r="E23" s="14" t="n">
        <v>64</v>
      </c>
      <c r="F23" s="18">
        <f>IF(D23=0,"",E23/D23)</f>
        <v/>
      </c>
      <c r="G23" s="14" t="n">
        <v>68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2026-10-22T06:58:25Z</dcterms:created>
  <dcterms:modified xmlns:dcterms="http://purl.org/dc/terms/" xmlns:xsi="http://www.w3.org/2001/XMLSchema-instance" xsi:type="dcterms:W3CDTF">2026-10-22T06:58:25Z</dcterms:modified>
</cp:coreProperties>
</file>