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March_against_March_last_year">'Report'!$B$16</definedName>
    <definedName name="Services_Year_to_date_Jul_to_Mar_2026">'Report'!$B$17</definedName>
    <definedName name="Services_Gross_margin_year_to_date">'Report'!$B$18</definedName>
    <definedName name="Services_March_against_March_last_year_2">'Report'!$B$28</definedName>
    <definedName name="Services_Year_to_date_Jul_to_Mar_2026_2">'Report'!$B$29</definedName>
    <definedName name="Services_Gross_margin_year_to_date_2">'Report'!$B$30</definedName>
    <definedName name="Services_March_against_March_last_year_3">'Report'!$B$40</definedName>
    <definedName name="Services_Year_to_date_Jul_to_Mar_2026_3">'Report'!$B$41</definedName>
    <definedName name="Services_Gross_margin_year_to_date_3">'Report'!$B$42</definedName>
    <definedName name="Services_March_against_March_last_year_4">'Report'!$B$52</definedName>
    <definedName name="Services_Year_to_date_Jul_to_Mar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Services'!$A$1:$G$77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Services'!$D$6:$D$23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Services'!$D$24:$D$41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Services'!$D$42:$D$59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Services'!$D$60:$D$77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77" headerRowCount="1">
  <autoFilter ref="A5:G7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March's client work made $80,495 gross margin (66.4%). Consultant time not charged to client work took $24,072 and overheads $51,560, leaving $4,863 profit before tax (4.0% of revenue). To cover overheads, client work needs a 62.4%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March against March last year</t>
        </is>
      </c>
      <c r="B16" s="9">
        <f>Workings!B27</f>
        <v/>
      </c>
      <c r="C16" s="10" t="inlineStr">
        <is>
          <t>$121,215 against $84,340</t>
        </is>
      </c>
    </row>
    <row r="17">
      <c r="A17" t="inlineStr">
        <is>
          <t>Year to date (Jul to Mar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$544,845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$810,325 this financial year to date (Jul to Mar 2026). Training makes the highest gross margin (76.4%); Projects the lowest (65.2%). The business needs 62.4%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65.2% gross margin, 25.2 points over the 40.0% target ($128,735 ahead on $511,425 this financial year to date). Training: 76.4% gross margin, 36.4 points over the 40.0% target ($26,100 ahead on $71,800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March against March last year</t>
        </is>
      </c>
      <c r="B28" s="9">
        <f>Workings!B51</f>
        <v/>
      </c>
      <c r="C28" s="10" t="inlineStr">
        <is>
          <t>$83,115 against $53,340</t>
        </is>
      </c>
    </row>
    <row r="29">
      <c r="A29" t="inlineStr">
        <is>
          <t>Year to date (Jul to Mar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$333,305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$511,425 this financial year to date, at a 65.2% gross margin (below the 67.2%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65.2% gross margin, 25.2 points over the 40.0% target ($128,735 ahead on $511,425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March against March last year</t>
        </is>
      </c>
      <c r="B40" s="9">
        <f>Workings!B75</f>
        <v/>
      </c>
      <c r="C40" s="10" t="inlineStr">
        <is>
          <t>$31,100 against $24,000</t>
        </is>
      </c>
    </row>
    <row r="41">
      <c r="A41" t="inlineStr">
        <is>
          <t>Year to date (Jul to Mar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$156,720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$227,100 this financial year to date, at a 69.0% gross margin (above the 67.2%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69.0% gross margin, 29.0 points over the 40.0% target ($65,880 ahead on $227,100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March against March last year</t>
        </is>
      </c>
      <c r="B52" s="9">
        <f>Workings!B99</f>
        <v/>
      </c>
      <c r="C52" s="10" t="inlineStr">
        <is>
          <t>$7,000 against $7,000</t>
        </is>
      </c>
    </row>
    <row r="53">
      <c r="A53" t="inlineStr">
        <is>
          <t>Year to date (Jul to Mar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$54,820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$71,800 this financial year to date, at a 76.4% gross margin (above the 67.2%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76.4% gross margin, 36.4 points over the 40.0% target ($26,100 ahead on $71,800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6" t="inlineStr">
        <is>
          <t>Services: From gross margin to profit, March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Mar 2026</t>
        </is>
      </c>
    </row>
    <row r="8">
      <c r="A8" t="inlineStr">
        <is>
          <t>Gross margin on client work</t>
        </is>
      </c>
      <c r="B8" s="13" t="n">
        <v>80495</v>
      </c>
    </row>
    <row r="9">
      <c r="A9" t="inlineStr">
        <is>
          <t>Consultant wages and on-costs</t>
        </is>
      </c>
      <c r="B9" s="13" t="n">
        <v>60192</v>
      </c>
    </row>
    <row r="10">
      <c r="A10" t="inlineStr">
        <is>
          <t>Consultant time charged to client work (at cost)</t>
        </is>
      </c>
      <c r="B10" s="13" t="n">
        <v>36120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51560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121215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March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March against March last year</t>
        </is>
      </c>
    </row>
    <row r="23">
      <c r="A23" s="12" t="inlineStr">
        <is>
          <t>March 2026 ÷ March 2025 − 1 (year on year)</t>
        </is>
      </c>
    </row>
    <row r="24">
      <c r="A24" s="7" t="inlineStr"/>
      <c r="B24" s="8" t="inlineStr">
        <is>
          <t>Mar</t>
        </is>
      </c>
    </row>
    <row r="25">
      <c r="A25" t="inlineStr">
        <is>
          <t>Revenue, Mar 2026</t>
        </is>
      </c>
      <c r="B25" s="13" t="n">
        <v>121215</v>
      </c>
    </row>
    <row r="26">
      <c r="A26" t="inlineStr">
        <is>
          <t>Revenue, Mar 2025</t>
        </is>
      </c>
      <c r="B26" s="13" t="n">
        <v>84340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Mar 2026)</t>
        </is>
      </c>
      <c r="B33" s="13" t="n">
        <v>810325</v>
      </c>
    </row>
    <row r="34">
      <c r="A34" t="inlineStr">
        <is>
          <t>Gross margin, year to date</t>
        </is>
      </c>
      <c r="B34" s="13" t="n">
        <v>544845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Mar 2026)</t>
        </is>
      </c>
      <c r="B41" s="13" t="n">
        <v>810325</v>
      </c>
    </row>
    <row r="42">
      <c r="A42" t="inlineStr">
        <is>
          <t>Gross margin, year to date</t>
        </is>
      </c>
      <c r="B42" s="13" t="n">
        <v>544845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March against March last year</t>
        </is>
      </c>
    </row>
    <row r="47">
      <c r="A47" s="12" t="inlineStr">
        <is>
          <t>March 2026 ÷ March 2025 − 1 (year on year)</t>
        </is>
      </c>
    </row>
    <row r="48">
      <c r="A48" s="7" t="inlineStr"/>
      <c r="B48" s="8" t="inlineStr">
        <is>
          <t>Mar</t>
        </is>
      </c>
    </row>
    <row r="49">
      <c r="A49" t="inlineStr">
        <is>
          <t>Revenue, Mar 2026</t>
        </is>
      </c>
      <c r="B49" s="13" t="n">
        <v>83115</v>
      </c>
    </row>
    <row r="50">
      <c r="A50" t="inlineStr">
        <is>
          <t>Revenue, Mar 2025</t>
        </is>
      </c>
      <c r="B50" s="13" t="n">
        <v>53340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Mar 2026)</t>
        </is>
      </c>
      <c r="B57" s="13" t="n">
        <v>511425</v>
      </c>
    </row>
    <row r="58">
      <c r="A58" t="inlineStr">
        <is>
          <t>Gross margin, year to date</t>
        </is>
      </c>
      <c r="B58" s="13" t="n">
        <v>333305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Mar 2026)</t>
        </is>
      </c>
      <c r="B65" s="13" t="n">
        <v>511425</v>
      </c>
    </row>
    <row r="66">
      <c r="A66" t="inlineStr">
        <is>
          <t>Gross margin, year to date</t>
        </is>
      </c>
      <c r="B66" s="13" t="n">
        <v>333305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March against March last year</t>
        </is>
      </c>
    </row>
    <row r="71">
      <c r="A71" s="12" t="inlineStr">
        <is>
          <t>March 2026 ÷ March 2025 − 1 (year on year)</t>
        </is>
      </c>
    </row>
    <row r="72">
      <c r="A72" s="7" t="inlineStr"/>
      <c r="B72" s="8" t="inlineStr">
        <is>
          <t>Mar</t>
        </is>
      </c>
    </row>
    <row r="73">
      <c r="A73" t="inlineStr">
        <is>
          <t>Revenue, Mar 2026</t>
        </is>
      </c>
      <c r="B73" s="13" t="n">
        <v>31100</v>
      </c>
    </row>
    <row r="74">
      <c r="A74" t="inlineStr">
        <is>
          <t>Revenue, Mar 2025</t>
        </is>
      </c>
      <c r="B74" s="13" t="n">
        <v>24000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Mar 2026)</t>
        </is>
      </c>
      <c r="B81" s="13" t="n">
        <v>227100</v>
      </c>
    </row>
    <row r="82">
      <c r="A82" t="inlineStr">
        <is>
          <t>Gross margin, year to date</t>
        </is>
      </c>
      <c r="B82" s="13" t="n">
        <v>156720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Mar 2026)</t>
        </is>
      </c>
      <c r="B89" s="13" t="n">
        <v>227100</v>
      </c>
    </row>
    <row r="90">
      <c r="A90" t="inlineStr">
        <is>
          <t>Gross margin, year to date</t>
        </is>
      </c>
      <c r="B90" s="13" t="n">
        <v>156720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March against March last year</t>
        </is>
      </c>
    </row>
    <row r="95">
      <c r="A95" s="12" t="inlineStr">
        <is>
          <t>March 2026 ÷ March 2025 − 1 (year on year)</t>
        </is>
      </c>
    </row>
    <row r="96">
      <c r="A96" s="7" t="inlineStr"/>
      <c r="B96" s="8" t="inlineStr">
        <is>
          <t>Mar</t>
        </is>
      </c>
    </row>
    <row r="97">
      <c r="A97" t="inlineStr">
        <is>
          <t>Revenue, Mar 2026</t>
        </is>
      </c>
      <c r="B97" s="13" t="n">
        <v>7000</v>
      </c>
    </row>
    <row r="98">
      <c r="A98" t="inlineStr">
        <is>
          <t>Revenue, Mar 2025</t>
        </is>
      </c>
      <c r="B98" s="13" t="n">
        <v>7000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Mar 2026)</t>
        </is>
      </c>
      <c r="B105" s="13" t="n">
        <v>71800</v>
      </c>
    </row>
    <row r="106">
      <c r="A106" t="inlineStr">
        <is>
          <t>Gross margin, year to date</t>
        </is>
      </c>
      <c r="B106" s="13" t="n">
        <v>54820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Mar 2026)</t>
        </is>
      </c>
      <c r="B113" s="13" t="n">
        <v>71800</v>
      </c>
    </row>
    <row r="114">
      <c r="A114" t="inlineStr">
        <is>
          <t>Gross margin, year to date</t>
        </is>
      </c>
      <c r="B114" s="13" t="n">
        <v>54820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All</t>
        </is>
      </c>
      <c r="B23" s="17" t="inlineStr">
        <is>
          <t>Mar 26</t>
        </is>
      </c>
      <c r="C23" s="17" t="inlineStr">
        <is>
          <t>Locked</t>
        </is>
      </c>
      <c r="D23" s="13" t="n">
        <v>121215</v>
      </c>
      <c r="E23" s="13" t="n">
        <v>40720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Oct 24</t>
        </is>
      </c>
      <c r="C24" s="17" t="inlineStr">
        <is>
          <t>Locked</t>
        </is>
      </c>
      <c r="D24" s="13" t="n">
        <v>77350</v>
      </c>
      <c r="E24" s="13" t="n">
        <v>27820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Nov 24</t>
        </is>
      </c>
      <c r="C25" s="17" t="inlineStr">
        <is>
          <t>Locked</t>
        </is>
      </c>
      <c r="D25" s="13" t="n">
        <v>96790</v>
      </c>
      <c r="E25" s="13" t="n">
        <v>34400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Dec 24</t>
        </is>
      </c>
      <c r="C26" s="17" t="inlineStr">
        <is>
          <t>Locked</t>
        </is>
      </c>
      <c r="D26" s="13" t="n">
        <v>103515</v>
      </c>
      <c r="E26" s="13" t="n">
        <v>36880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Jan 25</t>
        </is>
      </c>
      <c r="C27" s="17" t="inlineStr">
        <is>
          <t>Locked</t>
        </is>
      </c>
      <c r="D27" s="13" t="n">
        <v>73060</v>
      </c>
      <c r="E27" s="13" t="n">
        <v>26240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Feb 25</t>
        </is>
      </c>
      <c r="C28" s="17" t="inlineStr">
        <is>
          <t>Locked</t>
        </is>
      </c>
      <c r="D28" s="13" t="n">
        <v>92075</v>
      </c>
      <c r="E28" s="13" t="n">
        <v>34360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Mar 25</t>
        </is>
      </c>
      <c r="C29" s="17" t="inlineStr">
        <is>
          <t>Locked</t>
        </is>
      </c>
      <c r="D29" s="13" t="n">
        <v>53340</v>
      </c>
      <c r="E29" s="13" t="n">
        <v>21860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Apr 25</t>
        </is>
      </c>
      <c r="C30" s="17" t="inlineStr">
        <is>
          <t>Locked</t>
        </is>
      </c>
      <c r="D30" s="13" t="n">
        <v>40885</v>
      </c>
      <c r="E30" s="13" t="n">
        <v>17660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May 25</t>
        </is>
      </c>
      <c r="C31" s="17" t="inlineStr">
        <is>
          <t>Locked</t>
        </is>
      </c>
      <c r="D31" s="13" t="n">
        <v>65570</v>
      </c>
      <c r="E31" s="13" t="n">
        <v>23980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Jun 25</t>
        </is>
      </c>
      <c r="C32" s="17" t="inlineStr">
        <is>
          <t>Locked</t>
        </is>
      </c>
      <c r="D32" s="13" t="n">
        <v>70760</v>
      </c>
      <c r="E32" s="13" t="n">
        <v>26860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Jul 25</t>
        </is>
      </c>
      <c r="C33" s="17" t="inlineStr">
        <is>
          <t>Locked</t>
        </is>
      </c>
      <c r="D33" s="13" t="n">
        <v>71205</v>
      </c>
      <c r="E33" s="13" t="n">
        <v>25920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Aug 25</t>
        </is>
      </c>
      <c r="C34" s="17" t="inlineStr">
        <is>
          <t>Locked</t>
        </is>
      </c>
      <c r="D34" s="13" t="n">
        <v>42845</v>
      </c>
      <c r="E34" s="13" t="n">
        <v>13860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Sep 25</t>
        </is>
      </c>
      <c r="C35" s="17" t="inlineStr">
        <is>
          <t>Locked</t>
        </is>
      </c>
      <c r="D35" s="13" t="n">
        <v>42050</v>
      </c>
      <c r="E35" s="13" t="n">
        <v>13560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Oct 25</t>
        </is>
      </c>
      <c r="C36" s="17" t="inlineStr">
        <is>
          <t>Locked</t>
        </is>
      </c>
      <c r="D36" s="13" t="n">
        <v>50650</v>
      </c>
      <c r="E36" s="13" t="n">
        <v>18220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Nov 25</t>
        </is>
      </c>
      <c r="C37" s="17" t="inlineStr">
        <is>
          <t>Locked</t>
        </is>
      </c>
      <c r="D37" s="13" t="n">
        <v>51775</v>
      </c>
      <c r="E37" s="13" t="n">
        <v>18960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Dec 25</t>
        </is>
      </c>
      <c r="C38" s="17" t="inlineStr">
        <is>
          <t>Locked</t>
        </is>
      </c>
      <c r="D38" s="13" t="n">
        <v>32800</v>
      </c>
      <c r="E38" s="13" t="n">
        <v>12340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Jan 26</t>
        </is>
      </c>
      <c r="C39" s="17" t="inlineStr">
        <is>
          <t>Locked</t>
        </is>
      </c>
      <c r="D39" s="13" t="n">
        <v>66950</v>
      </c>
      <c r="E39" s="13" t="n">
        <v>22440</v>
      </c>
      <c r="F39" s="13">
        <f>D39-E39</f>
        <v/>
      </c>
      <c r="G39" s="14">
        <f>IF(D39=0,"",F39/D39)</f>
        <v/>
      </c>
    </row>
    <row r="40">
      <c r="A40" s="17" t="inlineStr">
        <is>
          <t>Projects</t>
        </is>
      </c>
      <c r="B40" s="17" t="inlineStr">
        <is>
          <t>Feb 26</t>
        </is>
      </c>
      <c r="C40" s="17" t="inlineStr">
        <is>
          <t>Locked</t>
        </is>
      </c>
      <c r="D40" s="13" t="n">
        <v>70035</v>
      </c>
      <c r="E40" s="13" t="n">
        <v>23440</v>
      </c>
      <c r="F40" s="13">
        <f>D40-E40</f>
        <v/>
      </c>
      <c r="G40" s="14">
        <f>IF(D40=0,"",F40/D40)</f>
        <v/>
      </c>
    </row>
    <row r="41">
      <c r="A41" s="17" t="inlineStr">
        <is>
          <t>Projects</t>
        </is>
      </c>
      <c r="B41" s="17" t="inlineStr">
        <is>
          <t>Mar 26</t>
        </is>
      </c>
      <c r="C41" s="17" t="inlineStr">
        <is>
          <t>Locked</t>
        </is>
      </c>
      <c r="D41" s="13" t="n">
        <v>83115</v>
      </c>
      <c r="E41" s="13" t="n">
        <v>29380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Oct 24</t>
        </is>
      </c>
      <c r="C42" s="17" t="inlineStr">
        <is>
          <t>Locked</t>
        </is>
      </c>
      <c r="D42" s="13" t="n">
        <v>16500</v>
      </c>
      <c r="E42" s="13" t="n">
        <v>4800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Nov 24</t>
        </is>
      </c>
      <c r="C43" s="17" t="inlineStr">
        <is>
          <t>Locked</t>
        </is>
      </c>
      <c r="D43" s="13" t="n">
        <v>16500</v>
      </c>
      <c r="E43" s="13" t="n">
        <v>4800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Dec 24</t>
        </is>
      </c>
      <c r="C44" s="17" t="inlineStr">
        <is>
          <t>Locked</t>
        </is>
      </c>
      <c r="D44" s="13" t="n">
        <v>16500</v>
      </c>
      <c r="E44" s="13" t="n">
        <v>5100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Jan 25</t>
        </is>
      </c>
      <c r="C45" s="17" t="inlineStr">
        <is>
          <t>Locked</t>
        </is>
      </c>
      <c r="D45" s="13" t="n">
        <v>16500</v>
      </c>
      <c r="E45" s="13" t="n">
        <v>4920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Feb 25</t>
        </is>
      </c>
      <c r="C46" s="17" t="inlineStr">
        <is>
          <t>Locked</t>
        </is>
      </c>
      <c r="D46" s="13" t="n">
        <v>16500</v>
      </c>
      <c r="E46" s="13" t="n">
        <v>5400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Mar 25</t>
        </is>
      </c>
      <c r="C47" s="17" t="inlineStr">
        <is>
          <t>Locked</t>
        </is>
      </c>
      <c r="D47" s="13" t="n">
        <v>24000</v>
      </c>
      <c r="E47" s="13" t="n">
        <v>7980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Apr 25</t>
        </is>
      </c>
      <c r="C48" s="17" t="inlineStr">
        <is>
          <t>Locked</t>
        </is>
      </c>
      <c r="D48" s="13" t="n">
        <v>24000</v>
      </c>
      <c r="E48" s="13" t="n">
        <v>7020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May 25</t>
        </is>
      </c>
      <c r="C49" s="17" t="inlineStr">
        <is>
          <t>Locked</t>
        </is>
      </c>
      <c r="D49" s="13" t="n">
        <v>24000</v>
      </c>
      <c r="E49" s="13" t="n">
        <v>8460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Jun 25</t>
        </is>
      </c>
      <c r="C50" s="17" t="inlineStr">
        <is>
          <t>Locked</t>
        </is>
      </c>
      <c r="D50" s="13" t="n">
        <v>24000</v>
      </c>
      <c r="E50" s="13" t="n">
        <v>7800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Jul 25</t>
        </is>
      </c>
      <c r="C51" s="17" t="inlineStr">
        <is>
          <t>Locked</t>
        </is>
      </c>
      <c r="D51" s="13" t="n">
        <v>17900</v>
      </c>
      <c r="E51" s="13" t="n">
        <v>5940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Aug 25</t>
        </is>
      </c>
      <c r="C52" s="17" t="inlineStr">
        <is>
          <t>Locked</t>
        </is>
      </c>
      <c r="D52" s="13" t="n">
        <v>17900</v>
      </c>
      <c r="E52" s="13" t="n">
        <v>5400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Sep 25</t>
        </is>
      </c>
      <c r="C53" s="17" t="inlineStr">
        <is>
          <t>Locked</t>
        </is>
      </c>
      <c r="D53" s="13" t="n">
        <v>17900</v>
      </c>
      <c r="E53" s="13" t="n">
        <v>5760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Oct 25</t>
        </is>
      </c>
      <c r="C54" s="17" t="inlineStr">
        <is>
          <t>Locked</t>
        </is>
      </c>
      <c r="D54" s="13" t="n">
        <v>17900</v>
      </c>
      <c r="E54" s="13" t="n">
        <v>5640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Nov 25</t>
        </is>
      </c>
      <c r="C55" s="17" t="inlineStr">
        <is>
          <t>Locked</t>
        </is>
      </c>
      <c r="D55" s="13" t="n">
        <v>31100</v>
      </c>
      <c r="E55" s="13" t="n">
        <v>9480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Dec 25</t>
        </is>
      </c>
      <c r="C56" s="17" t="inlineStr">
        <is>
          <t>Locked</t>
        </is>
      </c>
      <c r="D56" s="13" t="n">
        <v>31100</v>
      </c>
      <c r="E56" s="13" t="n">
        <v>9120</v>
      </c>
      <c r="F56" s="13">
        <f>D56-E56</f>
        <v/>
      </c>
      <c r="G56" s="14">
        <f>IF(D56=0,"",F56/D56)</f>
        <v/>
      </c>
    </row>
    <row r="57">
      <c r="A57" s="17" t="inlineStr">
        <is>
          <t>Retainers</t>
        </is>
      </c>
      <c r="B57" s="17" t="inlineStr">
        <is>
          <t>Jan 26</t>
        </is>
      </c>
      <c r="C57" s="17" t="inlineStr">
        <is>
          <t>Locked</t>
        </is>
      </c>
      <c r="D57" s="13" t="n">
        <v>31100</v>
      </c>
      <c r="E57" s="13" t="n">
        <v>9360</v>
      </c>
      <c r="F57" s="13">
        <f>D57-E57</f>
        <v/>
      </c>
      <c r="G57" s="14">
        <f>IF(D57=0,"",F57/D57)</f>
        <v/>
      </c>
    </row>
    <row r="58">
      <c r="A58" s="17" t="inlineStr">
        <is>
          <t>Retainers</t>
        </is>
      </c>
      <c r="B58" s="17" t="inlineStr">
        <is>
          <t>Feb 26</t>
        </is>
      </c>
      <c r="C58" s="17" t="inlineStr">
        <is>
          <t>Locked</t>
        </is>
      </c>
      <c r="D58" s="13" t="n">
        <v>31100</v>
      </c>
      <c r="E58" s="13" t="n">
        <v>10440</v>
      </c>
      <c r="F58" s="13">
        <f>D58-E58</f>
        <v/>
      </c>
      <c r="G58" s="14">
        <f>IF(D58=0,"",F58/D58)</f>
        <v/>
      </c>
    </row>
    <row r="59">
      <c r="A59" s="17" t="inlineStr">
        <is>
          <t>Retainers</t>
        </is>
      </c>
      <c r="B59" s="17" t="inlineStr">
        <is>
          <t>Mar 26</t>
        </is>
      </c>
      <c r="C59" s="17" t="inlineStr">
        <is>
          <t>Locked</t>
        </is>
      </c>
      <c r="D59" s="13" t="n">
        <v>31100</v>
      </c>
      <c r="E59" s="13" t="n">
        <v>9240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Oct 24</t>
        </is>
      </c>
      <c r="C60" s="17" t="inlineStr">
        <is>
          <t>Locked</t>
        </is>
      </c>
      <c r="D60" s="13" t="n">
        <v>9700</v>
      </c>
      <c r="E60" s="13" t="n">
        <v>2700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Nov 24</t>
        </is>
      </c>
      <c r="C61" s="17" t="inlineStr">
        <is>
          <t>Locked</t>
        </is>
      </c>
      <c r="D61" s="13" t="n">
        <v>5100</v>
      </c>
      <c r="E61" s="13" t="n">
        <v>840</v>
      </c>
      <c r="F61" s="13">
        <f>D61-E61</f>
        <v/>
      </c>
      <c r="G61" s="14">
        <f>IF(D61=0,"",F61/D61)</f>
        <v/>
      </c>
    </row>
    <row r="62">
      <c r="A62" s="17" t="inlineStr">
        <is>
          <t>Training</t>
        </is>
      </c>
      <c r="B62" s="17" t="inlineStr">
        <is>
          <t>Dec 24</t>
        </is>
      </c>
      <c r="C62" s="17" t="inlineStr">
        <is>
          <t>Locked</t>
        </is>
      </c>
      <c r="D62" s="13" t="n">
        <v>5700</v>
      </c>
      <c r="E62" s="13" t="n">
        <v>960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Jan 25</t>
        </is>
      </c>
      <c r="C63" s="17" t="inlineStr">
        <is>
          <t>Locked</t>
        </is>
      </c>
      <c r="D63" s="13" t="n">
        <v>7000</v>
      </c>
      <c r="E63" s="13" t="n">
        <v>2100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Feb 25</t>
        </is>
      </c>
      <c r="C64" s="17" t="inlineStr">
        <is>
          <t>Locked</t>
        </is>
      </c>
      <c r="D64" s="13" t="n">
        <v>12700</v>
      </c>
      <c r="E64" s="13" t="n">
        <v>3060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Mar 25</t>
        </is>
      </c>
      <c r="C65" s="17" t="inlineStr">
        <is>
          <t>Locked</t>
        </is>
      </c>
      <c r="D65" s="13" t="n">
        <v>7000</v>
      </c>
      <c r="E65" s="13" t="n">
        <v>2100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Apr 25</t>
        </is>
      </c>
      <c r="C66" s="17" t="inlineStr">
        <is>
          <t>Locked</t>
        </is>
      </c>
      <c r="D66" s="13" t="n">
        <v>5100</v>
      </c>
      <c r="E66" s="13" t="n">
        <v>840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May 25</t>
        </is>
      </c>
      <c r="C67" s="17" t="inlineStr">
        <is>
          <t>Locked</t>
        </is>
      </c>
      <c r="D67" s="13" t="n">
        <v>15400</v>
      </c>
      <c r="E67" s="13" t="n">
        <v>3660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Jun 25</t>
        </is>
      </c>
      <c r="C68" s="17" t="inlineStr">
        <is>
          <t>Locked</t>
        </is>
      </c>
      <c r="D68" s="13" t="n">
        <v>4300</v>
      </c>
      <c r="E68" s="13" t="n">
        <v>720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Jul 25</t>
        </is>
      </c>
      <c r="C69" s="17" t="inlineStr">
        <is>
          <t>Locked</t>
        </is>
      </c>
      <c r="D69" s="13" t="n">
        <v>5700</v>
      </c>
      <c r="E69" s="13" t="n">
        <v>960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Aug 25</t>
        </is>
      </c>
      <c r="C70" s="17" t="inlineStr">
        <is>
          <t>Locked</t>
        </is>
      </c>
      <c r="D70" s="13" t="n">
        <v>7000</v>
      </c>
      <c r="E70" s="13" t="n">
        <v>2100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Sep 25</t>
        </is>
      </c>
      <c r="C71" s="17" t="inlineStr">
        <is>
          <t>Locked</t>
        </is>
      </c>
      <c r="D71" s="13" t="n">
        <v>5700</v>
      </c>
      <c r="E71" s="13" t="n">
        <v>960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Oct 25</t>
        </is>
      </c>
      <c r="C72" s="17" t="inlineStr">
        <is>
          <t>Locked</t>
        </is>
      </c>
      <c r="D72" s="13" t="n">
        <v>10000</v>
      </c>
      <c r="E72" s="13" t="n">
        <v>1680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Nov 25</t>
        </is>
      </c>
      <c r="C73" s="17" t="inlineStr">
        <is>
          <t>Locked</t>
        </is>
      </c>
      <c r="D73" s="13" t="n">
        <v>9700</v>
      </c>
      <c r="E73" s="13" t="n">
        <v>2700</v>
      </c>
      <c r="F73" s="13">
        <f>D73-E73</f>
        <v/>
      </c>
      <c r="G73" s="14">
        <f>IF(D73=0,"",F73/D73)</f>
        <v/>
      </c>
    </row>
    <row r="74">
      <c r="A74" s="17" t="inlineStr">
        <is>
          <t>Training</t>
        </is>
      </c>
      <c r="B74" s="17" t="inlineStr">
        <is>
          <t>Dec 25</t>
        </is>
      </c>
      <c r="C74" s="17" t="inlineStr">
        <is>
          <t>Locked</t>
        </is>
      </c>
      <c r="D74" s="13" t="n">
        <v>12700</v>
      </c>
      <c r="E74" s="13" t="n">
        <v>3060</v>
      </c>
      <c r="F74" s="13">
        <f>D74-E74</f>
        <v/>
      </c>
      <c r="G74" s="14">
        <f>IF(D74=0,"",F74/D74)</f>
        <v/>
      </c>
    </row>
    <row r="75">
      <c r="A75" s="17" t="inlineStr">
        <is>
          <t>Training</t>
        </is>
      </c>
      <c r="B75" s="17" t="inlineStr">
        <is>
          <t>Jan 26</t>
        </is>
      </c>
      <c r="C75" s="17" t="inlineStr">
        <is>
          <t>Locked</t>
        </is>
      </c>
      <c r="D75" s="13" t="n">
        <v>4300</v>
      </c>
      <c r="E75" s="13" t="n">
        <v>720</v>
      </c>
      <c r="F75" s="13">
        <f>D75-E75</f>
        <v/>
      </c>
      <c r="G75" s="14">
        <f>IF(D75=0,"",F75/D75)</f>
        <v/>
      </c>
    </row>
    <row r="76">
      <c r="A76" s="17" t="inlineStr">
        <is>
          <t>Training</t>
        </is>
      </c>
      <c r="B76" s="17" t="inlineStr">
        <is>
          <t>Feb 26</t>
        </is>
      </c>
      <c r="C76" s="17" t="inlineStr">
        <is>
          <t>Locked</t>
        </is>
      </c>
      <c r="D76" s="13" t="n">
        <v>9700</v>
      </c>
      <c r="E76" s="13" t="n">
        <v>2700</v>
      </c>
      <c r="F76" s="13">
        <f>D76-E76</f>
        <v/>
      </c>
      <c r="G76" s="14">
        <f>IF(D76=0,"",F76/D76)</f>
        <v/>
      </c>
    </row>
    <row r="77">
      <c r="A77" s="17" t="inlineStr">
        <is>
          <t>Training</t>
        </is>
      </c>
      <c r="B77" s="17" t="inlineStr">
        <is>
          <t>Mar 26</t>
        </is>
      </c>
      <c r="C77" s="17" t="inlineStr">
        <is>
          <t>Locked</t>
        </is>
      </c>
      <c r="D77" s="13" t="n">
        <v>7000</v>
      </c>
      <c r="E77" s="13" t="n">
        <v>2100</v>
      </c>
      <c r="F77" s="13">
        <f>D77-E77</f>
        <v/>
      </c>
      <c r="G77" s="14">
        <f>IF(D77=0,"",F77/D77)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3" min="0" max="16383" man="1"/>
    <brk id="41" min="0" max="16383" man="1"/>
    <brk id="59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511425</v>
      </c>
      <c r="C6" s="13" t="n"/>
      <c r="D6" s="14">
        <f>IF(C6=0,"",B6/C6-1)</f>
        <v/>
      </c>
      <c r="E6" s="13" t="n">
        <v>333305</v>
      </c>
      <c r="F6" s="14">
        <f>IF(B6=0,"",E6/B6)</f>
        <v/>
      </c>
    </row>
    <row r="7">
      <c r="A7" s="17" t="inlineStr">
        <is>
          <t>Retainers</t>
        </is>
      </c>
      <c r="B7" s="13" t="n">
        <v>227100</v>
      </c>
      <c r="C7" s="13" t="n"/>
      <c r="D7" s="14">
        <f>IF(C7=0,"",B7/C7-1)</f>
        <v/>
      </c>
      <c r="E7" s="13" t="n">
        <v>156720</v>
      </c>
      <c r="F7" s="14">
        <f>IF(B7=0,"",E7/B7)</f>
        <v/>
      </c>
    </row>
    <row r="8">
      <c r="A8" s="17" t="inlineStr">
        <is>
          <t>Training</t>
        </is>
      </c>
      <c r="B8" s="13" t="n">
        <v>71800</v>
      </c>
      <c r="C8" s="13" t="n"/>
      <c r="D8" s="14">
        <f>IF(C8=0,"",B8/C8-1)</f>
        <v/>
      </c>
      <c r="E8" s="13" t="n">
        <v>54820</v>
      </c>
      <c r="F8" s="14">
        <f>IF(B8=0,"",E8/B8)</f>
        <v/>
      </c>
    </row>
    <row r="9">
      <c r="A9" s="17" t="inlineStr">
        <is>
          <t>Total</t>
        </is>
      </c>
      <c r="B9" s="13" t="n">
        <v>810325</v>
      </c>
      <c r="C9" s="13" t="n"/>
      <c r="D9" s="14">
        <f>IF(C9=0,"",B9/C9-1)</f>
        <v/>
      </c>
      <c r="E9" s="13" t="n">
        <v>544845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2026-10-22T06:58:23Z</dcterms:created>
  <dcterms:modified xmlns:dcterms="http://purl.org/dc/terms/" xmlns:xsi="http://www.w3.org/2001/XMLSchema-instance" xsi:type="dcterms:W3CDTF">2026-10-22T06:58:23Z</dcterms:modified>
</cp:coreProperties>
</file>