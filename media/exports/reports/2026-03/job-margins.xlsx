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March_All_jobs">'Report'!$B$16</definedName>
    <definedName name="Job_gross_margin_February_All_jobs">'Report'!$B$17</definedName>
    <definedName name="Gross_margin_jobs_need_to_break_even">'Report'!$B$18</definedName>
    <definedName name="Job_gross_margin_March_Maintenance_contracts">'Report'!$B$42</definedName>
    <definedName name="Job_gross_margin_February_Maintenance_contracts">'Report'!$B$43</definedName>
    <definedName name="Gross_margin_jobs_need_to_break_even_2">'Report'!$B$44</definedName>
    <definedName name="Job_gross_margin_March_Installations">'Report'!$B$80</definedName>
    <definedName name="Job_gross_margin_February_Installations">'Report'!$B$81</definedName>
    <definedName name="Gross_margin_jobs_need_to_break_even_3">'Report'!$B$82</definedName>
    <definedName name="Job_gross_margin_March_Call_outs_and_repairs">'Report'!$B$106</definedName>
    <definedName name="Job_gross_margin_February_Call_outs_and_repairs">'Report'!$B$107</definedName>
    <definedName name="Gross_margin_jobs_need_to_break_even_4">'Report'!$B$108</definedName>
    <definedName name="Technician_time_charged_March">'Report'!$B$109</definedName>
    <definedName name="Materials_charged_March">'Report'!$B$110</definedName>
    <definedName name="_xlnm.Print_Area" localSheetId="0">'Report'!$A$1:$D$135</definedName>
    <definedName name="_xlnm.Print_Area" localSheetId="1">'Workings'!$A$1:$C$522</definedName>
    <definedName name="_xlnm.Print_Titles" localSheetId="3">'Data'!$5:$5</definedName>
    <definedName name="_xlnm.Print_Area" localSheetId="3">'Data'!$A$1:$G$77</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March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38.9%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March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'Report'!$A$48:$A$60</f>
            </numRef>
          </cat>
          <val>
            <numRef>
              <f>'Report'!$B$48:$B$60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38.9%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March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Pt>
            <idx val="4"/>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'Report'!$A$86:$A$90</f>
            </numRef>
          </cat>
          <val>
            <numRef>
              <f>'Report'!$B$86:$B$90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38.9%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1635"/>
          <min val="0"/>
        </scaling>
        <delete val="1"/>
        <axPos val="l"/>
        <numFmt formatCode="0.0%" sourceLinked="0"/>
        <majorTickMark val="none"/>
        <minorTickMark val="none"/>
        <crossAx val="10"/>
      </valAx>
      <valAx>
        <axId val="500"/>
        <scaling>
          <orientation val="minMax"/>
          <max val="0.5163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March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'Report'!$A$114:$A$119</f>
            </numRef>
          </cat>
          <val>
            <numRef>
              <f>'Report'!$B$114:$B$119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38.9%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784499999999999"/>
          <min val="0"/>
        </scaling>
        <delete val="1"/>
        <axPos val="l"/>
        <numFmt formatCode="0.0%" sourceLinked="0"/>
        <majorTickMark val="none"/>
        <minorTickMark val="none"/>
        <crossAx val="10"/>
      </valAx>
      <valAx>
        <axId val="500"/>
        <scaling>
          <orientation val="minMax"/>
          <max val="0.5784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'Data'!$B$6:$B$23</f>
            </numRef>
          </cat>
          <val>
            <numRef>
              <f>'Data'!$D$6:$D$23</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'Data'!$B$6:$B$23</f>
            </numRef>
          </cat>
          <val>
            <numRef>
              <f>'Data'!$D$24:$D$41</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'Data'!$B$6:$B$23</f>
            </numRef>
          </cat>
          <val>
            <numRef>
              <f>'Data'!$D$42:$D$59</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'Data'!$B$6:$B$23</f>
            </numRef>
          </cat>
          <val>
            <numRef>
              <f>'Data'!$D$60:$D$77</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44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84</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112</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77" headerRowCount="1">
  <autoFilter ref="A5:G77"/>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7"/>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ht="32" customHeight="1">
      <c r="A5" s="3" t="inlineStr">
        <is>
          <t>In short: Jobs made a 42.2% gross margin in March: maintenance contracts the most (63.9%), installations the least (34.9%).</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March's jobs made $90,236 gross margin (42.2%). Technician time not charged to jobs took $23,895 and overheads $59,200, leaving $7,141 profit before tax (3.3% of revenue). To cover overheads, jobs need a 38.9%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March · All jobs</t>
        </is>
      </c>
      <c r="B16" s="9">
        <f>Workings!B28</f>
        <v/>
      </c>
      <c r="C16" s="10" t="inlineStr">
        <is>
          <t>target 35.0%</t>
        </is>
      </c>
    </row>
    <row r="17">
      <c r="A17" t="inlineStr">
        <is>
          <t>Job gross margin, February · All jobs</t>
        </is>
      </c>
      <c r="B17" s="9">
        <f>Workings!C37</f>
        <v/>
      </c>
      <c r="C17" s="10" t="inlineStr">
        <is>
          <t>target 35.0%</t>
        </is>
      </c>
    </row>
    <row r="18">
      <c r="A18" t="inlineStr">
        <is>
          <t>Gross margin jobs need to break even</t>
        </is>
      </c>
      <c r="B18" s="9">
        <f>Workings!B53</f>
        <v/>
      </c>
      <c r="C18" s="10" t="inlineStr">
        <is>
          <t>covers overheads and time not charged (March)</t>
        </is>
      </c>
    </row>
    <row r="19"/>
    <row r="20">
      <c r="A20" s="11" t="inlineStr">
        <is>
          <t>Job gross margin by type of job, March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March maintenance contracts made a 63.9% job gross margin, installations made a 34.9% job gross margin, call-outs and repairs made a 47.9% job gross margin (technician time at $68 an hour, wages and all on-costs). Jobs need 38.9% just to cover overheads.</t>
        </is>
      </c>
    </row>
    <row r="36"/>
    <row r="37">
      <c r="A37" s="5" t="inlineStr">
        <is>
          <t>What you'd do about it</t>
        </is>
      </c>
    </row>
    <row r="38" ht="45" customHeight="1">
      <c r="A38" s="4" t="inlineStr">
        <is>
          <t>Installations: 34.9% gross margin, 0.1 points under the 35.0% target: about $105 on $144,900 of revenue in March. It's below the 38.9% needed to cover overheads, too. Maintenance contracts: 63.9% gross margin, 28.9 points over the 35.0% target ($12,142 ahead on $42,000 in March).</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March · Maintenance contracts</t>
        </is>
      </c>
      <c r="B42" s="9">
        <f>Workings!B90</f>
        <v/>
      </c>
      <c r="C42" s="10" t="inlineStr">
        <is>
          <t>target 35.0%</t>
        </is>
      </c>
    </row>
    <row r="43">
      <c r="A43" t="inlineStr">
        <is>
          <t>Job gross margin, February · Maintenance contracts</t>
        </is>
      </c>
      <c r="B43" s="9">
        <f>Workings!B99</f>
        <v/>
      </c>
      <c r="C43" s="10" t="inlineStr">
        <is>
          <t>target 35.0%</t>
        </is>
      </c>
    </row>
    <row r="44">
      <c r="A44" t="inlineStr">
        <is>
          <t>Gross margin jobs need to break even</t>
        </is>
      </c>
      <c r="B44" s="9">
        <f>Workings!B115</f>
        <v/>
      </c>
      <c r="C44" s="10" t="inlineStr">
        <is>
          <t>covers overheads and time not charged (March)</t>
        </is>
      </c>
    </row>
    <row r="45"/>
    <row r="46">
      <c r="A46" s="11" t="inlineStr">
        <is>
          <t>Job gross margin on each maintenance contract, March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Milton office tower</t>
        </is>
      </c>
      <c r="B57" s="9">
        <f>Workings!B246</f>
        <v/>
      </c>
      <c r="C57" s="12">
        <f>Workings!B245</f>
        <v/>
      </c>
    </row>
    <row r="58">
      <c r="A58" t="inlineStr">
        <is>
          <t>West End brewery</t>
        </is>
      </c>
      <c r="B58" s="9">
        <f>Workings!B259</f>
        <v/>
      </c>
      <c r="C58" s="12">
        <f>Workings!B258</f>
        <v/>
      </c>
    </row>
    <row r="59">
      <c r="A59" t="inlineStr">
        <is>
          <t>Rocklea factory</t>
        </is>
      </c>
      <c r="B59" s="9">
        <f>Workings!B272</f>
        <v/>
      </c>
      <c r="C59" s="12">
        <f>Workings!B271</f>
        <v/>
      </c>
    </row>
    <row r="60">
      <c r="A60" t="inlineStr">
        <is>
          <t>Kangaroo Point townhouses</t>
        </is>
      </c>
      <c r="B60" s="9">
        <f>Workings!B285</f>
        <v/>
      </c>
      <c r="C60" s="12">
        <f>Workings!B284</f>
        <v/>
      </c>
    </row>
    <row r="61"/>
    <row r="62"/>
    <row r="63"/>
    <row r="64"/>
    <row r="65"/>
    <row r="66"/>
    <row r="67"/>
    <row r="68"/>
    <row r="69"/>
    <row r="70"/>
    <row r="71"/>
    <row r="72">
      <c r="A72" s="5" t="inlineStr">
        <is>
          <t>What it shows</t>
        </is>
      </c>
    </row>
    <row r="73" ht="30" customHeight="1">
      <c r="A73" s="4" t="inlineStr">
        <is>
          <t>All 13 contracts made more than the 35.0% job gross margin target. The thinnest was Kangaroo Point townhouses at 62.9% job gross margin: 14.0 h of technician time on a $2,700 monthly fee.</t>
        </is>
      </c>
    </row>
    <row r="74"/>
    <row r="75">
      <c r="A75" s="5" t="inlineStr">
        <is>
          <t>What you'd do about it</t>
        </is>
      </c>
    </row>
    <row r="76" ht="45" customHeight="1">
      <c r="A76" s="4" t="inlineStr">
        <is>
          <t>The thinnest, Kangaroo Point townhouses: 62.9% gross margin, 27.9 points over the 35.0% target ($753 ahead on $2,700 in March). All maintenance contracts: 63.9% gross margin, 28.9 points over the 35.0% target ($12,142 ahead on $42,000 in March).</t>
        </is>
      </c>
    </row>
    <row r="77"/>
    <row r="78">
      <c r="A78" s="6" t="inlineStr">
        <is>
          <t>Type of job: Installations</t>
        </is>
      </c>
    </row>
    <row r="79">
      <c r="A79" s="7" t="inlineStr">
        <is>
          <t>Headline number</t>
        </is>
      </c>
      <c r="B79" s="8" t="inlineStr">
        <is>
          <t>Value</t>
        </is>
      </c>
      <c r="C79" s="8" t="inlineStr">
        <is>
          <t>Compared with</t>
        </is>
      </c>
    </row>
    <row r="80">
      <c r="A80" t="inlineStr">
        <is>
          <t>Job gross margin, March · Installations</t>
        </is>
      </c>
      <c r="B80" s="9">
        <f>Workings!B294</f>
        <v/>
      </c>
      <c r="C80" s="10" t="inlineStr">
        <is>
          <t>target 35.0%</t>
        </is>
      </c>
    </row>
    <row r="81">
      <c r="A81" t="inlineStr">
        <is>
          <t>Job gross margin, February · Installations</t>
        </is>
      </c>
      <c r="B81" s="9">
        <f>Workings!C303</f>
        <v/>
      </c>
      <c r="C81" s="10" t="inlineStr">
        <is>
          <t>target 35.0%</t>
        </is>
      </c>
    </row>
    <row r="82">
      <c r="A82" t="inlineStr">
        <is>
          <t>Gross margin jobs need to break even</t>
        </is>
      </c>
      <c r="B82" s="9">
        <f>Workings!B319</f>
        <v/>
      </c>
      <c r="C82" s="10" t="inlineStr">
        <is>
          <t>covers overheads and time not charged (March)</t>
        </is>
      </c>
    </row>
    <row r="83"/>
    <row r="84">
      <c r="A84" s="11" t="inlineStr">
        <is>
          <t>Job gross margin on each installation invoiced in March 2026</t>
        </is>
      </c>
    </row>
    <row r="85">
      <c r="A85" s="7" t="inlineStr"/>
      <c r="B85" s="8" t="inlineStr">
        <is>
          <t>Gross margin %</t>
        </is>
      </c>
      <c r="C85" s="8" t="inlineStr">
        <is>
          <t>Gross margin $</t>
        </is>
      </c>
    </row>
    <row r="86">
      <c r="A86" t="inlineStr">
        <is>
          <t>Logan Central house LED lighting</t>
        </is>
      </c>
      <c r="B86" s="9">
        <f>Workings!B333</f>
        <v/>
      </c>
      <c r="C86" s="12">
        <f>Workings!B332</f>
        <v/>
      </c>
    </row>
    <row r="87">
      <c r="A87" t="inlineStr">
        <is>
          <t>Chermside school switchboard upgrade</t>
        </is>
      </c>
      <c r="B87" s="9">
        <f>Workings!B346</f>
        <v/>
      </c>
      <c r="C87" s="12">
        <f>Workings!B345</f>
        <v/>
      </c>
    </row>
    <row r="88">
      <c r="A88" t="inlineStr">
        <is>
          <t>Ashgrove townhouses switchboard upgrade</t>
        </is>
      </c>
      <c r="B88" s="9">
        <f>Workings!B359</f>
        <v/>
      </c>
      <c r="C88" s="12">
        <f>Workings!B358</f>
        <v/>
      </c>
    </row>
    <row r="89">
      <c r="A89" t="inlineStr">
        <is>
          <t>Northgate townhouses switchboard upgrade</t>
        </is>
      </c>
      <c r="B89" s="9">
        <f>Workings!B372</f>
        <v/>
      </c>
      <c r="C89" s="12">
        <f>Workings!B371</f>
        <v/>
      </c>
    </row>
    <row r="90">
      <c r="A90" t="inlineStr">
        <is>
          <t>Rocklea school switchboard upgrade</t>
        </is>
      </c>
      <c r="B90" s="9">
        <f>Workings!B385</f>
        <v/>
      </c>
      <c r="C90" s="12">
        <f>Workings!B384</f>
        <v/>
      </c>
    </row>
    <row r="91"/>
    <row r="92"/>
    <row r="93"/>
    <row r="94"/>
    <row r="95"/>
    <row r="96"/>
    <row r="97"/>
    <row r="98">
      <c r="A98" s="5" t="inlineStr">
        <is>
          <t>What it shows</t>
        </is>
      </c>
    </row>
    <row r="99" ht="60" customHeight="1">
      <c r="A99" s="4" t="inlineStr">
        <is>
          <t>3 of the 5 installation jobs invoiced in March made less than the 35.0% job gross margin target. The Rocklea school switchboard upgrade made a 25.8% job gross margin: 107.0 h of technician time ($7,276) and $2,700 of subcontractors on a $29,900 job. Jobs need 38.9% gross margin just to cover overheads.</t>
        </is>
      </c>
    </row>
    <row r="100"/>
    <row r="101">
      <c r="A101" s="5" t="inlineStr">
        <is>
          <t>What you'd do about it</t>
        </is>
      </c>
    </row>
    <row r="102" ht="60" customHeight="1">
      <c r="A102" s="4" t="inlineStr">
        <is>
          <t>3 installations under the 35.0% target, worth about $4,258 between them on $76,800 of revenue. The biggest gap, Rocklea school switchboard upgrade: 25.8% gross margin, 9.2 points under the 35.0% target: about $2,741 on $29,900 of revenue in March. It's below the 38.9% needed to cover overheads, too.</t>
        </is>
      </c>
    </row>
    <row r="103"/>
    <row r="104">
      <c r="A104" s="6" t="inlineStr">
        <is>
          <t>Type of job: Call-outs and repairs</t>
        </is>
      </c>
    </row>
    <row r="105">
      <c r="A105" s="7" t="inlineStr">
        <is>
          <t>Headline number</t>
        </is>
      </c>
      <c r="B105" s="8" t="inlineStr">
        <is>
          <t>Value</t>
        </is>
      </c>
      <c r="C105" s="8" t="inlineStr">
        <is>
          <t>Compared with</t>
        </is>
      </c>
    </row>
    <row r="106">
      <c r="A106" t="inlineStr">
        <is>
          <t>Job gross margin, March · Call-outs and repairs</t>
        </is>
      </c>
      <c r="B106" s="9">
        <f>Workings!B394</f>
        <v/>
      </c>
      <c r="C106" s="10" t="inlineStr">
        <is>
          <t>target 35.0%</t>
        </is>
      </c>
    </row>
    <row r="107">
      <c r="A107" t="inlineStr">
        <is>
          <t>Job gross margin, February · Call-outs and repairs</t>
        </is>
      </c>
      <c r="B107" s="9">
        <f>Workings!C403</f>
        <v/>
      </c>
      <c r="C107" s="10" t="inlineStr">
        <is>
          <t>target 35.0%</t>
        </is>
      </c>
    </row>
    <row r="108">
      <c r="A108" t="inlineStr">
        <is>
          <t>Gross margin jobs need to break even</t>
        </is>
      </c>
      <c r="B108" s="9">
        <f>Workings!B419</f>
        <v/>
      </c>
      <c r="C108" s="10" t="inlineStr">
        <is>
          <t>covers overheads and time not charged (March)</t>
        </is>
      </c>
    </row>
    <row r="109">
      <c r="A109" t="inlineStr">
        <is>
          <t>Technician time charged, March</t>
        </is>
      </c>
      <c r="B109" s="12">
        <f>Workings!B426</f>
        <v/>
      </c>
      <c r="C109" s="10" t="inlineStr">
        <is>
          <t>70.6% of call-out revenue</t>
        </is>
      </c>
    </row>
    <row r="110">
      <c r="A110" t="inlineStr">
        <is>
          <t>Materials charged, March</t>
        </is>
      </c>
      <c r="B110" s="12">
        <f>Workings!B442</f>
        <v/>
      </c>
      <c r="C110" s="10" t="inlineStr">
        <is>
          <t>$6,040 at cost, plus 30%</t>
        </is>
      </c>
    </row>
    <row r="111"/>
    <row r="112">
      <c r="A112" s="11" t="inlineStr">
        <is>
          <t>Job gross margin on call-outs by length, March 2026</t>
        </is>
      </c>
    </row>
    <row r="113">
      <c r="A113" s="7" t="inlineStr"/>
      <c r="B113" s="8" t="inlineStr">
        <is>
          <t>Gross margin %</t>
        </is>
      </c>
      <c r="C113" s="8" t="inlineStr">
        <is>
          <t>Gross margin $</t>
        </is>
      </c>
    </row>
    <row r="114">
      <c r="A114" t="inlineStr">
        <is>
          <t>1-hour call-outs (6)</t>
        </is>
      </c>
      <c r="B114" s="9">
        <f>Workings!B457</f>
        <v/>
      </c>
      <c r="C114" s="12">
        <f>Workings!B456</f>
        <v/>
      </c>
    </row>
    <row r="115">
      <c r="A115" t="inlineStr">
        <is>
          <t>1.5-hour call-outs (7)</t>
        </is>
      </c>
      <c r="B115" s="9">
        <f>Workings!B470</f>
        <v/>
      </c>
      <c r="C115" s="12">
        <f>Workings!B469</f>
        <v/>
      </c>
    </row>
    <row r="116">
      <c r="A116" t="inlineStr">
        <is>
          <t>2-hour call-outs (11)</t>
        </is>
      </c>
      <c r="B116" s="9">
        <f>Workings!B483</f>
        <v/>
      </c>
      <c r="C116" s="12">
        <f>Workings!B482</f>
        <v/>
      </c>
    </row>
    <row r="117">
      <c r="A117" t="inlineStr">
        <is>
          <t>2.5-hour call-outs (4)</t>
        </is>
      </c>
      <c r="B117" s="9">
        <f>Workings!B496</f>
        <v/>
      </c>
      <c r="C117" s="12">
        <f>Workings!B495</f>
        <v/>
      </c>
    </row>
    <row r="118">
      <c r="A118" t="inlineStr">
        <is>
          <t>3-hour call-outs (9)</t>
        </is>
      </c>
      <c r="B118" s="9">
        <f>Workings!B509</f>
        <v/>
      </c>
      <c r="C118" s="12">
        <f>Workings!B508</f>
        <v/>
      </c>
    </row>
    <row r="119">
      <c r="A119" t="inlineStr">
        <is>
          <t>4-hour call-outs (10)</t>
        </is>
      </c>
      <c r="B119" s="9">
        <f>Workings!B522</f>
        <v/>
      </c>
      <c r="C119" s="12">
        <f>Workings!B521</f>
        <v/>
      </c>
    </row>
    <row r="120"/>
    <row r="121"/>
    <row r="122"/>
    <row r="123"/>
    <row r="124"/>
    <row r="125"/>
    <row r="126"/>
    <row r="127"/>
    <row r="128">
      <c r="A128" s="5" t="inlineStr">
        <is>
          <t>What it shows</t>
        </is>
      </c>
    </row>
    <row r="129" ht="60" customHeight="1">
      <c r="A129" s="4" t="inlineStr">
        <is>
          <t>47 call-outs in March billed $18,826 of technician time and $7,852 of materials ($6,040 at cost plus 30%), and made a 47.9% job gross margin between them. Gross margins run from 40.7% to 50.3% by length: the hourly rate covers technician time comfortably, so the gross margin mostly moves with how much material goes on the van.</t>
        </is>
      </c>
    </row>
    <row r="130"/>
    <row r="131">
      <c r="A131" s="5" t="inlineStr">
        <is>
          <t>What you'd do about it</t>
        </is>
      </c>
    </row>
    <row r="132" ht="30" customHeight="1">
      <c r="A132" s="4" t="inlineStr">
        <is>
          <t>All call-outs: 47.9% gross margin, 12.9 points over the 35.0% target ($3,447 ahead on $26,678 in March).</t>
        </is>
      </c>
    </row>
    <row r="133"/>
    <row r="134">
      <c r="A134" s="6" t="inlineStr">
        <is>
          <t>Every type of job at once</t>
        </is>
      </c>
    </row>
    <row r="135">
      <c r="A135" s="13" t="inlineStr">
        <is>
          <t>Job gross margin by month: every month is on the Data sheet.</t>
        </is>
      </c>
    </row>
    <row r="136"/>
    <row r="137"/>
  </sheetData>
  <mergeCells count="12">
    <mergeCell ref="A102:D102"/>
    <mergeCell ref="A5:D5"/>
    <mergeCell ref="A132:D132"/>
    <mergeCell ref="A9:D9"/>
    <mergeCell ref="A6:D6"/>
    <mergeCell ref="A12:D12"/>
    <mergeCell ref="A35:D35"/>
    <mergeCell ref="A38:D38"/>
    <mergeCell ref="A73:D73"/>
    <mergeCell ref="A129:D129"/>
    <mergeCell ref="A99:D99"/>
    <mergeCell ref="A76:D7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1" min="0" max="16383" man="1"/>
    <brk id="97" min="0" max="16383" man="1"/>
    <brk id="111"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25"/>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c r="A5" s="6" t="inlineStr">
        <is>
          <t>Trades: From gross margin to profit, March 2026</t>
        </is>
      </c>
    </row>
    <row r="6">
      <c r="A6" s="13" t="inlineStr">
        <is>
          <t>Gross margin on the work − time not charged − overheads = profit before tax</t>
        </is>
      </c>
    </row>
    <row r="7">
      <c r="A7" s="7" t="inlineStr"/>
      <c r="B7" s="8" t="inlineStr">
        <is>
          <t>Mar 2026</t>
        </is>
      </c>
    </row>
    <row r="8">
      <c r="A8" t="inlineStr">
        <is>
          <t>Gross margin on jobs</t>
        </is>
      </c>
      <c r="B8" s="14" t="n">
        <v>90236</v>
      </c>
    </row>
    <row r="9">
      <c r="A9" t="inlineStr">
        <is>
          <t>Technician wages and on-costs</t>
        </is>
      </c>
      <c r="B9" s="14" t="n">
        <v>79587</v>
      </c>
    </row>
    <row r="10">
      <c r="A10" t="inlineStr">
        <is>
          <t>Technician time charged to jobs (at cost)</t>
        </is>
      </c>
      <c r="B10" s="14" t="n">
        <v>55692</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59200</v>
      </c>
    </row>
    <row r="14">
      <c r="A14" t="inlineStr">
        <is>
          <t>Profit before tax (the P&amp;L)</t>
        </is>
      </c>
      <c r="B14" s="14">
        <f>B12-B13</f>
        <v/>
      </c>
    </row>
    <row r="15">
      <c r="A15" t="inlineStr">
        <is>
          <t>Revenue</t>
        </is>
      </c>
      <c r="B15" s="14" t="n">
        <v>213578</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March 2026 P&amp;L (locked). Wages include their on-costs: super (12%) and leave as it's earned. No payroll tax: wages are under Queensland's $1.3 million threshold.</t>
        </is>
      </c>
    </row>
    <row r="20"/>
    <row r="21"/>
    <row r="22">
      <c r="A22" s="6" t="inlineStr">
        <is>
          <t>Trades, all lines: gross margin, March and February</t>
        </is>
      </c>
    </row>
    <row r="23">
      <c r="A23" s="13" t="inlineStr">
        <is>
          <t>Revenue less direct cost, over revenue. Before overheads.</t>
        </is>
      </c>
    </row>
    <row r="24">
      <c r="A24" s="7" t="inlineStr"/>
      <c r="B24" s="8" t="inlineStr">
        <is>
          <t>Mar 26</t>
        </is>
      </c>
      <c r="C24" s="8" t="inlineStr">
        <is>
          <t>Feb 26</t>
        </is>
      </c>
    </row>
    <row r="25">
      <c r="A25" t="inlineStr">
        <is>
          <t>Revenue</t>
        </is>
      </c>
      <c r="B25" s="14" t="n">
        <v>213578</v>
      </c>
      <c r="C25" s="14" t="n">
        <v>218908</v>
      </c>
    </row>
    <row r="26">
      <c r="A26" t="inlineStr">
        <is>
          <t>Direct cost</t>
        </is>
      </c>
      <c r="B26" s="14" t="n">
        <v>123342</v>
      </c>
      <c r="C26" s="14" t="n">
        <v>120662</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March and February</t>
        </is>
      </c>
    </row>
    <row r="32">
      <c r="A32" s="13" t="inlineStr">
        <is>
          <t>Revenue less direct cost, over revenue. Before overheads.</t>
        </is>
      </c>
    </row>
    <row r="33">
      <c r="A33" s="7" t="inlineStr"/>
      <c r="B33" s="8" t="inlineStr">
        <is>
          <t>Mar 26</t>
        </is>
      </c>
      <c r="C33" s="8" t="inlineStr">
        <is>
          <t>Feb 26</t>
        </is>
      </c>
    </row>
    <row r="34">
      <c r="A34" t="inlineStr">
        <is>
          <t>Revenue</t>
        </is>
      </c>
      <c r="B34" s="14" t="n">
        <v>213578</v>
      </c>
      <c r="C34" s="14" t="n">
        <v>218908</v>
      </c>
    </row>
    <row r="35">
      <c r="A35" t="inlineStr">
        <is>
          <t>Direct cost</t>
        </is>
      </c>
      <c r="B35" s="14" t="n">
        <v>123342</v>
      </c>
      <c r="C35" s="14" t="n">
        <v>120662</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March 2026</t>
        </is>
      </c>
    </row>
    <row r="41">
      <c r="A41" s="13" t="inlineStr">
        <is>
          <t>Gross margin on the work − time not charged − overheads = profit before tax</t>
        </is>
      </c>
    </row>
    <row r="42">
      <c r="A42" s="7" t="inlineStr"/>
      <c r="B42" s="8" t="inlineStr">
        <is>
          <t>Mar 2026</t>
        </is>
      </c>
    </row>
    <row r="43">
      <c r="A43" t="inlineStr">
        <is>
          <t>Gross margin on jobs</t>
        </is>
      </c>
      <c r="B43" s="14" t="n">
        <v>90236</v>
      </c>
    </row>
    <row r="44">
      <c r="A44" t="inlineStr">
        <is>
          <t>Technician wages and on-costs</t>
        </is>
      </c>
      <c r="B44" s="14" t="n">
        <v>79587</v>
      </c>
    </row>
    <row r="45">
      <c r="A45" t="inlineStr">
        <is>
          <t>Technician time charged to jobs (at cost)</t>
        </is>
      </c>
      <c r="B45" s="14" t="n">
        <v>55692</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59200</v>
      </c>
    </row>
    <row r="49">
      <c r="A49" t="inlineStr">
        <is>
          <t>Profit before tax (the P&amp;L)</t>
        </is>
      </c>
      <c r="B49" s="14">
        <f>B47-B48</f>
        <v/>
      </c>
    </row>
    <row r="50">
      <c r="A50" t="inlineStr">
        <is>
          <t>Revenue</t>
        </is>
      </c>
      <c r="B50" s="14" t="n">
        <v>213578</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March 2026 P&amp;L (locked). Wages include their on-costs: super (12%) and leave as it's earned. No payroll tax: wages are under Queensland's $1.3 million threshold.</t>
        </is>
      </c>
    </row>
    <row r="55"/>
    <row r="56"/>
    <row r="57">
      <c r="A57" s="6" t="inlineStr">
        <is>
          <t>Maintenance contracts, March</t>
        </is>
      </c>
    </row>
    <row r="58">
      <c r="A58" s="13" t="inlineStr">
        <is>
          <t>Revenue less direct cost (materials, subcontractors, technician time at cost)</t>
        </is>
      </c>
    </row>
    <row r="59">
      <c r="A59" s="7" t="inlineStr"/>
      <c r="B59" s="8" t="inlineStr">
        <is>
          <t>Mar 2026</t>
        </is>
      </c>
    </row>
    <row r="60">
      <c r="A60" t="inlineStr">
        <is>
          <t>Revenue</t>
        </is>
      </c>
      <c r="B60" s="14" t="n">
        <v>42000</v>
      </c>
    </row>
    <row r="61">
      <c r="A61" t="inlineStr">
        <is>
          <t>Direct cost</t>
        </is>
      </c>
      <c r="B61" s="14" t="n">
        <v>15158</v>
      </c>
    </row>
    <row r="62">
      <c r="A62" t="inlineStr">
        <is>
          <t>Gross margin</t>
        </is>
      </c>
      <c r="B62" s="14">
        <f>B60-B61</f>
        <v/>
      </c>
    </row>
    <row r="63">
      <c r="A63" s="16" t="inlineStr">
        <is>
          <t>Gross margin %</t>
        </is>
      </c>
      <c r="B63" s="17">
        <f>B62/B60</f>
        <v/>
      </c>
    </row>
    <row r="64"/>
    <row r="65"/>
    <row r="66">
      <c r="A66" s="6" t="inlineStr">
        <is>
          <t>Installations, March</t>
        </is>
      </c>
    </row>
    <row r="67">
      <c r="A67" s="13" t="inlineStr">
        <is>
          <t>Revenue less direct cost (materials, subcontractors, technician time at cost)</t>
        </is>
      </c>
    </row>
    <row r="68">
      <c r="A68" s="7" t="inlineStr"/>
      <c r="B68" s="8" t="inlineStr">
        <is>
          <t>Mar 2026</t>
        </is>
      </c>
    </row>
    <row r="69">
      <c r="A69" t="inlineStr">
        <is>
          <t>Revenue</t>
        </is>
      </c>
      <c r="B69" s="14" t="n">
        <v>144900</v>
      </c>
    </row>
    <row r="70">
      <c r="A70" t="inlineStr">
        <is>
          <t>Direct cost</t>
        </is>
      </c>
      <c r="B70" s="14" t="n">
        <v>94290</v>
      </c>
    </row>
    <row r="71">
      <c r="A71" t="inlineStr">
        <is>
          <t>Gross margin</t>
        </is>
      </c>
      <c r="B71" s="14">
        <f>B69-B70</f>
        <v/>
      </c>
    </row>
    <row r="72">
      <c r="A72" s="16" t="inlineStr">
        <is>
          <t>Gross margin %</t>
        </is>
      </c>
      <c r="B72" s="17">
        <f>B71/B69</f>
        <v/>
      </c>
    </row>
    <row r="73"/>
    <row r="74"/>
    <row r="75">
      <c r="A75" s="6" t="inlineStr">
        <is>
          <t>Call-outs and repairs, March</t>
        </is>
      </c>
    </row>
    <row r="76">
      <c r="A76" s="13" t="inlineStr">
        <is>
          <t>Revenue less direct cost (materials, subcontractors, technician time at cost)</t>
        </is>
      </c>
    </row>
    <row r="77">
      <c r="A77" s="7" t="inlineStr"/>
      <c r="B77" s="8" t="inlineStr">
        <is>
          <t>Mar 2026</t>
        </is>
      </c>
    </row>
    <row r="78">
      <c r="A78" t="inlineStr">
        <is>
          <t>Revenue</t>
        </is>
      </c>
      <c r="B78" s="14" t="n">
        <v>26678</v>
      </c>
    </row>
    <row r="79">
      <c r="A79" t="inlineStr">
        <is>
          <t>Direct cost</t>
        </is>
      </c>
      <c r="B79" s="14" t="n">
        <v>13894</v>
      </c>
    </row>
    <row r="80">
      <c r="A80" t="inlineStr">
        <is>
          <t>Gross margin</t>
        </is>
      </c>
      <c r="B80" s="14">
        <f>B78-B79</f>
        <v/>
      </c>
    </row>
    <row r="81">
      <c r="A81" s="16" t="inlineStr">
        <is>
          <t>Gross margin %</t>
        </is>
      </c>
      <c r="B81" s="17">
        <f>B80/B78</f>
        <v/>
      </c>
    </row>
    <row r="82"/>
    <row r="83"/>
    <row r="84">
      <c r="A84" s="6" t="inlineStr">
        <is>
          <t>Trades, Maintenance contracts: gross margin, March and February</t>
        </is>
      </c>
    </row>
    <row r="85">
      <c r="A85" s="13" t="inlineStr">
        <is>
          <t>Revenue less direct cost, over revenue. Before overheads.</t>
        </is>
      </c>
    </row>
    <row r="86">
      <c r="A86" s="7" t="inlineStr"/>
      <c r="B86" s="8" t="inlineStr">
        <is>
          <t>Mar 26</t>
        </is>
      </c>
      <c r="C86" s="8" t="inlineStr">
        <is>
          <t>Feb 26</t>
        </is>
      </c>
    </row>
    <row r="87">
      <c r="A87" t="inlineStr">
        <is>
          <t>Revenue</t>
        </is>
      </c>
      <c r="B87" s="14" t="n">
        <v>42000</v>
      </c>
      <c r="C87" s="14" t="n">
        <v>42000</v>
      </c>
    </row>
    <row r="88">
      <c r="A88" t="inlineStr">
        <is>
          <t>Direct cost</t>
        </is>
      </c>
      <c r="B88" s="14" t="n">
        <v>15158</v>
      </c>
      <c r="C88" s="14" t="n">
        <v>15158</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March and February</t>
        </is>
      </c>
    </row>
    <row r="94">
      <c r="A94" s="13" t="inlineStr">
        <is>
          <t>Revenue less direct cost, over revenue. Before overheads.</t>
        </is>
      </c>
    </row>
    <row r="95">
      <c r="A95" s="7" t="inlineStr"/>
      <c r="B95" s="8" t="inlineStr">
        <is>
          <t>Mar 26</t>
        </is>
      </c>
      <c r="C95" s="8" t="inlineStr">
        <is>
          <t>Feb 26</t>
        </is>
      </c>
    </row>
    <row r="96">
      <c r="A96" t="inlineStr">
        <is>
          <t>Revenue</t>
        </is>
      </c>
      <c r="B96" s="14" t="n">
        <v>42000</v>
      </c>
      <c r="C96" s="14" t="n">
        <v>42000</v>
      </c>
    </row>
    <row r="97">
      <c r="A97" t="inlineStr">
        <is>
          <t>Direct cost</t>
        </is>
      </c>
      <c r="B97" s="14" t="n">
        <v>15158</v>
      </c>
      <c r="C97" s="14" t="n">
        <v>15158</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March 2026</t>
        </is>
      </c>
    </row>
    <row r="103">
      <c r="A103" s="13" t="inlineStr">
        <is>
          <t>Gross margin on the work − time not charged − overheads = profit before tax</t>
        </is>
      </c>
    </row>
    <row r="104">
      <c r="A104" s="7" t="inlineStr"/>
      <c r="B104" s="8" t="inlineStr">
        <is>
          <t>Mar 2026</t>
        </is>
      </c>
    </row>
    <row r="105">
      <c r="A105" t="inlineStr">
        <is>
          <t>Gross margin on jobs</t>
        </is>
      </c>
      <c r="B105" s="14" t="n">
        <v>90236</v>
      </c>
    </row>
    <row r="106">
      <c r="A106" t="inlineStr">
        <is>
          <t>Technician wages and on-costs</t>
        </is>
      </c>
      <c r="B106" s="14" t="n">
        <v>79587</v>
      </c>
    </row>
    <row r="107">
      <c r="A107" t="inlineStr">
        <is>
          <t>Technician time charged to jobs (at cost)</t>
        </is>
      </c>
      <c r="B107" s="14" t="n">
        <v>55692</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59200</v>
      </c>
    </row>
    <row r="111">
      <c r="A111" t="inlineStr">
        <is>
          <t>Profit before tax (the P&amp;L)</t>
        </is>
      </c>
      <c r="B111" s="14">
        <f>B109-B110</f>
        <v/>
      </c>
    </row>
    <row r="112">
      <c r="A112" t="inlineStr">
        <is>
          <t>Revenue</t>
        </is>
      </c>
      <c r="B112" s="14" t="n">
        <v>213578</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March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Milton office tower</t>
        </is>
      </c>
    </row>
    <row r="237">
      <c r="A237" s="13" t="inlineStr">
        <is>
          <t>Job gross margin ÷ revenue for this job (before overheads)</t>
        </is>
      </c>
    </row>
    <row r="238">
      <c r="A238" s="7" t="inlineStr"/>
      <c r="B238" s="8" t="inlineStr">
        <is>
          <t>This job</t>
        </is>
      </c>
    </row>
    <row r="239">
      <c r="A239" t="inlineStr">
        <is>
          <t>Revenue</t>
        </is>
      </c>
      <c r="B239" s="14" t="n">
        <v>4700</v>
      </c>
    </row>
    <row r="240">
      <c r="A240" t="inlineStr">
        <is>
          <t>Materials</t>
        </is>
      </c>
      <c r="B240" s="14" t="n">
        <v>-90</v>
      </c>
    </row>
    <row r="241">
      <c r="A241" t="inlineStr">
        <is>
          <t>Subcontractors</t>
        </is>
      </c>
      <c r="B241" s="14" t="n">
        <v>0</v>
      </c>
    </row>
    <row r="242">
      <c r="A242" t="inlineStr">
        <is>
          <t>Technician hours</t>
        </is>
      </c>
      <c r="B242" s="18" t="n">
        <v>24</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West End brewery</t>
        </is>
      </c>
    </row>
    <row r="250">
      <c r="A250" s="13" t="inlineStr">
        <is>
          <t>Job gross margin ÷ revenue for this job (before overheads)</t>
        </is>
      </c>
    </row>
    <row r="251">
      <c r="A251" s="7" t="inlineStr"/>
      <c r="B251" s="8" t="inlineStr">
        <is>
          <t>This job</t>
        </is>
      </c>
    </row>
    <row r="252">
      <c r="A252" t="inlineStr">
        <is>
          <t>Revenue</t>
        </is>
      </c>
      <c r="B252" s="14" t="n">
        <v>2900</v>
      </c>
    </row>
    <row r="253">
      <c r="A253" t="inlineStr">
        <is>
          <t>Materials</t>
        </is>
      </c>
      <c r="B253" s="14" t="n">
        <v>-50</v>
      </c>
    </row>
    <row r="254">
      <c r="A254" t="inlineStr">
        <is>
          <t>Subcontractors</t>
        </is>
      </c>
      <c r="B254" s="14" t="n">
        <v>0</v>
      </c>
    </row>
    <row r="255">
      <c r="A255" t="inlineStr">
        <is>
          <t>Technician hours</t>
        </is>
      </c>
      <c r="B255" s="18" t="n">
        <v>15</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Rocklea factory</t>
        </is>
      </c>
    </row>
    <row r="263">
      <c r="A263" s="13" t="inlineStr">
        <is>
          <t>Job gross margin ÷ revenue for this job (before overheads)</t>
        </is>
      </c>
    </row>
    <row r="264">
      <c r="A264" s="7" t="inlineStr"/>
      <c r="B264" s="8" t="inlineStr">
        <is>
          <t>This job</t>
        </is>
      </c>
    </row>
    <row r="265">
      <c r="A265" t="inlineStr">
        <is>
          <t>Revenue</t>
        </is>
      </c>
      <c r="B265" s="14" t="n">
        <v>4350</v>
      </c>
    </row>
    <row r="266">
      <c r="A266" t="inlineStr">
        <is>
          <t>Materials</t>
        </is>
      </c>
      <c r="B266" s="14" t="n">
        <v>-110</v>
      </c>
    </row>
    <row r="267">
      <c r="A267" t="inlineStr">
        <is>
          <t>Subcontractors</t>
        </is>
      </c>
      <c r="B267" s="14" t="n">
        <v>0</v>
      </c>
    </row>
    <row r="268">
      <c r="A268" t="inlineStr">
        <is>
          <t>Technician hours</t>
        </is>
      </c>
      <c r="B268" s="18" t="n">
        <v>22</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Kangaroo Point townhouses</t>
        </is>
      </c>
    </row>
    <row r="276">
      <c r="A276" s="13" t="inlineStr">
        <is>
          <t>Job gross margin ÷ revenue for this job (before overheads)</t>
        </is>
      </c>
    </row>
    <row r="277">
      <c r="A277" s="7" t="inlineStr"/>
      <c r="B277" s="8" t="inlineStr">
        <is>
          <t>This job</t>
        </is>
      </c>
    </row>
    <row r="278">
      <c r="A278" t="inlineStr">
        <is>
          <t>Revenue</t>
        </is>
      </c>
      <c r="B278" s="14" t="n">
        <v>2700</v>
      </c>
    </row>
    <row r="279">
      <c r="A279" t="inlineStr">
        <is>
          <t>Materials</t>
        </is>
      </c>
      <c r="B279" s="14" t="n">
        <v>-50</v>
      </c>
    </row>
    <row r="280">
      <c r="A280" t="inlineStr">
        <is>
          <t>Subcontractors</t>
        </is>
      </c>
      <c r="B280" s="14" t="n">
        <v>0</v>
      </c>
    </row>
    <row r="281">
      <c r="A281" t="inlineStr">
        <is>
          <t>Technician hours</t>
        </is>
      </c>
      <c r="B281" s="18" t="n">
        <v>14</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Trades, Installations: gross margin, March and February</t>
        </is>
      </c>
    </row>
    <row r="289">
      <c r="A289" s="13" t="inlineStr">
        <is>
          <t>Revenue less direct cost, over revenue. Before overheads.</t>
        </is>
      </c>
    </row>
    <row r="290">
      <c r="A290" s="7" t="inlineStr"/>
      <c r="B290" s="8" t="inlineStr">
        <is>
          <t>Mar 26</t>
        </is>
      </c>
      <c r="C290" s="8" t="inlineStr">
        <is>
          <t>Feb 26</t>
        </is>
      </c>
    </row>
    <row r="291">
      <c r="A291" t="inlineStr">
        <is>
          <t>Revenue</t>
        </is>
      </c>
      <c r="B291" s="14" t="n">
        <v>144900</v>
      </c>
      <c r="C291" s="14" t="n">
        <v>144800</v>
      </c>
    </row>
    <row r="292">
      <c r="A292" t="inlineStr">
        <is>
          <t>Direct cost</t>
        </is>
      </c>
      <c r="B292" s="14" t="n">
        <v>94290</v>
      </c>
      <c r="C292" s="14" t="n">
        <v>88896</v>
      </c>
    </row>
    <row r="293">
      <c r="A293" t="inlineStr">
        <is>
          <t>Gross margin</t>
        </is>
      </c>
      <c r="B293" s="14">
        <f>B291-B292</f>
        <v/>
      </c>
      <c r="C293" s="14">
        <f>C291-C292</f>
        <v/>
      </c>
    </row>
    <row r="294">
      <c r="A294" s="16" t="inlineStr">
        <is>
          <t>Gross margin %</t>
        </is>
      </c>
      <c r="B294" s="17">
        <f>B293/B291</f>
        <v/>
      </c>
      <c r="C294" s="17">
        <f>C293/C291</f>
        <v/>
      </c>
    </row>
    <row r="295"/>
    <row r="296"/>
    <row r="297">
      <c r="A297" s="6" t="inlineStr">
        <is>
          <t>Trades, Installations: gross margin, March and February</t>
        </is>
      </c>
    </row>
    <row r="298">
      <c r="A298" s="13" t="inlineStr">
        <is>
          <t>Revenue less direct cost, over revenue. Before overheads.</t>
        </is>
      </c>
    </row>
    <row r="299">
      <c r="A299" s="7" t="inlineStr"/>
      <c r="B299" s="8" t="inlineStr">
        <is>
          <t>Mar 26</t>
        </is>
      </c>
      <c r="C299" s="8" t="inlineStr">
        <is>
          <t>Feb 26</t>
        </is>
      </c>
    </row>
    <row r="300">
      <c r="A300" t="inlineStr">
        <is>
          <t>Revenue</t>
        </is>
      </c>
      <c r="B300" s="14" t="n">
        <v>144900</v>
      </c>
      <c r="C300" s="14" t="n">
        <v>144800</v>
      </c>
    </row>
    <row r="301">
      <c r="A301" t="inlineStr">
        <is>
          <t>Direct cost</t>
        </is>
      </c>
      <c r="B301" s="14" t="n">
        <v>94290</v>
      </c>
      <c r="C301" s="14" t="n">
        <v>88896</v>
      </c>
    </row>
    <row r="302">
      <c r="A302" t="inlineStr">
        <is>
          <t>Gross margin</t>
        </is>
      </c>
      <c r="B302" s="14">
        <f>B300-B301</f>
        <v/>
      </c>
      <c r="C302" s="14">
        <f>C300-C301</f>
        <v/>
      </c>
    </row>
    <row r="303">
      <c r="A303" s="16" t="inlineStr">
        <is>
          <t>Gross margin %</t>
        </is>
      </c>
      <c r="B303" s="17">
        <f>B302/B300</f>
        <v/>
      </c>
      <c r="C303" s="17">
        <f>C302/C300</f>
        <v/>
      </c>
    </row>
    <row r="304"/>
    <row r="305"/>
    <row r="306">
      <c r="A306" s="6" t="inlineStr">
        <is>
          <t>Trades: From gross margin to profit, March 2026</t>
        </is>
      </c>
    </row>
    <row r="307">
      <c r="A307" s="13" t="inlineStr">
        <is>
          <t>Gross margin on the work − time not charged − overheads = profit before tax</t>
        </is>
      </c>
    </row>
    <row r="308">
      <c r="A308" s="7" t="inlineStr"/>
      <c r="B308" s="8" t="inlineStr">
        <is>
          <t>Mar 2026</t>
        </is>
      </c>
    </row>
    <row r="309">
      <c r="A309" t="inlineStr">
        <is>
          <t>Gross margin on jobs</t>
        </is>
      </c>
      <c r="B309" s="14" t="n">
        <v>90236</v>
      </c>
    </row>
    <row r="310">
      <c r="A310" t="inlineStr">
        <is>
          <t>Technician wages and on-costs</t>
        </is>
      </c>
      <c r="B310" s="14" t="n">
        <v>79587</v>
      </c>
    </row>
    <row r="311">
      <c r="A311" t="inlineStr">
        <is>
          <t>Technician time charged to jobs (at cost)</t>
        </is>
      </c>
      <c r="B311" s="14" t="n">
        <v>55692</v>
      </c>
    </row>
    <row r="312">
      <c r="A312" t="inlineStr">
        <is>
          <t>Technician time not charged to jobs</t>
        </is>
      </c>
      <c r="B312" s="14">
        <f>B310-B311</f>
        <v/>
      </c>
    </row>
    <row r="313">
      <c r="A313" t="inlineStr">
        <is>
          <t>Gross profit (the P&amp;L)</t>
        </is>
      </c>
      <c r="B313" s="14">
        <f>B309-B312</f>
        <v/>
      </c>
    </row>
    <row r="314">
      <c r="A314" t="inlineStr">
        <is>
          <t>Overheads (operating expenses, depreciation, interest)</t>
        </is>
      </c>
      <c r="B314" s="14" t="n">
        <v>59200</v>
      </c>
    </row>
    <row r="315">
      <c r="A315" t="inlineStr">
        <is>
          <t>Profit before tax (the P&amp;L)</t>
        </is>
      </c>
      <c r="B315" s="14">
        <f>B313-B314</f>
        <v/>
      </c>
    </row>
    <row r="316">
      <c r="A316" t="inlineStr">
        <is>
          <t>Revenue</t>
        </is>
      </c>
      <c r="B316" s="14" t="n">
        <v>213578</v>
      </c>
    </row>
    <row r="317">
      <c r="A317" t="inlineStr">
        <is>
          <t>Gross margin on jobs, %</t>
        </is>
      </c>
      <c r="B317" s="15">
        <f>B309/B316</f>
        <v/>
      </c>
    </row>
    <row r="318">
      <c r="A318" t="inlineStr">
        <is>
          <t>Profit before tax, % of revenue</t>
        </is>
      </c>
      <c r="B318" s="15">
        <f>B315/B316</f>
        <v/>
      </c>
    </row>
    <row r="319">
      <c r="A319" s="16" t="inlineStr">
        <is>
          <t>Gross margin jobs need just to cover overheads and time not charged</t>
        </is>
      </c>
      <c r="B319" s="17">
        <f>(B312+B314)/B316</f>
        <v/>
      </c>
    </row>
    <row r="320">
      <c r="A320" s="2" t="inlineStr">
        <is>
          <t>Ties to the March 2026 P&amp;L (locked). Wages include their on-costs: super (12%) and leave as it's earned. No payroll tax: wages are under Queensland's $1.3 million threshold.</t>
        </is>
      </c>
    </row>
    <row r="321"/>
    <row r="322"/>
    <row r="323">
      <c r="A323" s="6" t="inlineStr">
        <is>
          <t>Logan Central house LED lighting</t>
        </is>
      </c>
    </row>
    <row r="324">
      <c r="A324" s="13" t="inlineStr">
        <is>
          <t>Job gross margin ÷ revenue for this job (before overheads)</t>
        </is>
      </c>
    </row>
    <row r="325">
      <c r="A325" s="7" t="inlineStr"/>
      <c r="B325" s="8" t="inlineStr">
        <is>
          <t>This job</t>
        </is>
      </c>
    </row>
    <row r="326">
      <c r="A326" t="inlineStr">
        <is>
          <t>Revenue</t>
        </is>
      </c>
      <c r="B326" s="14" t="n">
        <v>40800</v>
      </c>
    </row>
    <row r="327">
      <c r="A327" t="inlineStr">
        <is>
          <t>Materials</t>
        </is>
      </c>
      <c r="B327" s="14" t="n">
        <v>-12900</v>
      </c>
    </row>
    <row r="328">
      <c r="A328" t="inlineStr">
        <is>
          <t>Subcontractors</t>
        </is>
      </c>
      <c r="B328" s="14" t="n">
        <v>0</v>
      </c>
    </row>
    <row r="329">
      <c r="A329" t="inlineStr">
        <is>
          <t>Technician hours</t>
        </is>
      </c>
      <c r="B329" s="18" t="n">
        <v>141</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Chermside school switchboard upgrade</t>
        </is>
      </c>
    </row>
    <row r="337">
      <c r="A337" s="13" t="inlineStr">
        <is>
          <t>Job gross margin ÷ revenue for this job (before overheads)</t>
        </is>
      </c>
    </row>
    <row r="338">
      <c r="A338" s="7" t="inlineStr"/>
      <c r="B338" s="8" t="inlineStr">
        <is>
          <t>This job</t>
        </is>
      </c>
    </row>
    <row r="339">
      <c r="A339" t="inlineStr">
        <is>
          <t>Revenue</t>
        </is>
      </c>
      <c r="B339" s="14" t="n">
        <v>27300</v>
      </c>
    </row>
    <row r="340">
      <c r="A340" t="inlineStr">
        <is>
          <t>Materials</t>
        </is>
      </c>
      <c r="B340" s="14" t="n">
        <v>-8900</v>
      </c>
    </row>
    <row r="341">
      <c r="A341" t="inlineStr">
        <is>
          <t>Subcontractors</t>
        </is>
      </c>
      <c r="B341" s="14" t="n">
        <v>-2400</v>
      </c>
    </row>
    <row r="342">
      <c r="A342" t="inlineStr">
        <is>
          <t>Technician hours</t>
        </is>
      </c>
      <c r="B342" s="18" t="n">
        <v>93</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Ashgrove townhouses switchboard upgrade</t>
        </is>
      </c>
    </row>
    <row r="350">
      <c r="A350" s="13" t="inlineStr">
        <is>
          <t>Job gross margin ÷ revenue for this job (before overheads)</t>
        </is>
      </c>
    </row>
    <row r="351">
      <c r="A351" s="7" t="inlineStr"/>
      <c r="B351" s="8" t="inlineStr">
        <is>
          <t>This job</t>
        </is>
      </c>
    </row>
    <row r="352">
      <c r="A352" t="inlineStr">
        <is>
          <t>Revenue</t>
        </is>
      </c>
      <c r="B352" s="14" t="n">
        <v>25600</v>
      </c>
    </row>
    <row r="353">
      <c r="A353" t="inlineStr">
        <is>
          <t>Materials</t>
        </is>
      </c>
      <c r="B353" s="14" t="n">
        <v>-9000</v>
      </c>
    </row>
    <row r="354">
      <c r="A354" t="inlineStr">
        <is>
          <t>Subcontractors</t>
        </is>
      </c>
      <c r="B354" s="14" t="n">
        <v>-2300</v>
      </c>
    </row>
    <row r="355">
      <c r="A355" t="inlineStr">
        <is>
          <t>Technician hours</t>
        </is>
      </c>
      <c r="B355" s="18" t="n">
        <v>81.5</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Northgate townhouses switchboard upgrade</t>
        </is>
      </c>
    </row>
    <row r="363">
      <c r="A363" s="13" t="inlineStr">
        <is>
          <t>Job gross margin ÷ revenue for this job (before overheads)</t>
        </is>
      </c>
    </row>
    <row r="364">
      <c r="A364" s="7" t="inlineStr"/>
      <c r="B364" s="8" t="inlineStr">
        <is>
          <t>This job</t>
        </is>
      </c>
    </row>
    <row r="365">
      <c r="A365" t="inlineStr">
        <is>
          <t>Revenue</t>
        </is>
      </c>
      <c r="B365" s="14" t="n">
        <v>21300</v>
      </c>
    </row>
    <row r="366">
      <c r="A366" t="inlineStr">
        <is>
          <t>Materials</t>
        </is>
      </c>
      <c r="B366" s="14" t="n">
        <v>-8500</v>
      </c>
    </row>
    <row r="367">
      <c r="A367" t="inlineStr">
        <is>
          <t>Subcontractors</t>
        </is>
      </c>
      <c r="B367" s="14" t="n">
        <v>-1900</v>
      </c>
    </row>
    <row r="368">
      <c r="A368" t="inlineStr">
        <is>
          <t>Technician hours</t>
        </is>
      </c>
      <c r="B368" s="18" t="n">
        <v>70</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Rocklea school switchboard upgrade</t>
        </is>
      </c>
    </row>
    <row r="376">
      <c r="A376" s="13" t="inlineStr">
        <is>
          <t>Job gross margin ÷ revenue for this job (before overheads)</t>
        </is>
      </c>
    </row>
    <row r="377">
      <c r="A377" s="7" t="inlineStr"/>
      <c r="B377" s="8" t="inlineStr">
        <is>
          <t>This job</t>
        </is>
      </c>
    </row>
    <row r="378">
      <c r="A378" t="inlineStr">
        <is>
          <t>Revenue</t>
        </is>
      </c>
      <c r="B378" s="14" t="n">
        <v>29900</v>
      </c>
    </row>
    <row r="379">
      <c r="A379" t="inlineStr">
        <is>
          <t>Materials</t>
        </is>
      </c>
      <c r="B379" s="14" t="n">
        <v>-12200</v>
      </c>
    </row>
    <row r="380">
      <c r="A380" t="inlineStr">
        <is>
          <t>Subcontractors</t>
        </is>
      </c>
      <c r="B380" s="14" t="n">
        <v>-2700</v>
      </c>
    </row>
    <row r="381">
      <c r="A381" t="inlineStr">
        <is>
          <t>Technician hours</t>
        </is>
      </c>
      <c r="B381" s="18" t="n">
        <v>107</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Trades, Call-outs and repairs: gross margin, March and February</t>
        </is>
      </c>
    </row>
    <row r="389">
      <c r="A389" s="13" t="inlineStr">
        <is>
          <t>Revenue less direct cost, over revenue. Before overheads.</t>
        </is>
      </c>
    </row>
    <row r="390">
      <c r="A390" s="7" t="inlineStr"/>
      <c r="B390" s="8" t="inlineStr">
        <is>
          <t>Mar 26</t>
        </is>
      </c>
      <c r="C390" s="8" t="inlineStr">
        <is>
          <t>Feb 26</t>
        </is>
      </c>
    </row>
    <row r="391">
      <c r="A391" t="inlineStr">
        <is>
          <t>Revenue</t>
        </is>
      </c>
      <c r="B391" s="14" t="n">
        <v>26678</v>
      </c>
      <c r="C391" s="14" t="n">
        <v>32108</v>
      </c>
    </row>
    <row r="392">
      <c r="A392" t="inlineStr">
        <is>
          <t>Direct cost</t>
        </is>
      </c>
      <c r="B392" s="14" t="n">
        <v>13894</v>
      </c>
      <c r="C392" s="14" t="n">
        <v>16608</v>
      </c>
    </row>
    <row r="393">
      <c r="A393" t="inlineStr">
        <is>
          <t>Gross margin</t>
        </is>
      </c>
      <c r="B393" s="14">
        <f>B391-B392</f>
        <v/>
      </c>
      <c r="C393" s="14">
        <f>C391-C392</f>
        <v/>
      </c>
    </row>
    <row r="394">
      <c r="A394" s="16" t="inlineStr">
        <is>
          <t>Gross margin %</t>
        </is>
      </c>
      <c r="B394" s="17">
        <f>B393/B391</f>
        <v/>
      </c>
      <c r="C394" s="17">
        <f>C393/C391</f>
        <v/>
      </c>
    </row>
    <row r="395"/>
    <row r="396"/>
    <row r="397">
      <c r="A397" s="6" t="inlineStr">
        <is>
          <t>Trades, Call-outs and repairs: gross margin, March and February</t>
        </is>
      </c>
    </row>
    <row r="398">
      <c r="A398" s="13" t="inlineStr">
        <is>
          <t>Revenue less direct cost, over revenue. Before overheads.</t>
        </is>
      </c>
    </row>
    <row r="399">
      <c r="A399" s="7" t="inlineStr"/>
      <c r="B399" s="8" t="inlineStr">
        <is>
          <t>Mar 26</t>
        </is>
      </c>
      <c r="C399" s="8" t="inlineStr">
        <is>
          <t>Feb 26</t>
        </is>
      </c>
    </row>
    <row r="400">
      <c r="A400" t="inlineStr">
        <is>
          <t>Revenue</t>
        </is>
      </c>
      <c r="B400" s="14" t="n">
        <v>26678</v>
      </c>
      <c r="C400" s="14" t="n">
        <v>32108</v>
      </c>
    </row>
    <row r="401">
      <c r="A401" t="inlineStr">
        <is>
          <t>Direct cost</t>
        </is>
      </c>
      <c r="B401" s="14" t="n">
        <v>13894</v>
      </c>
      <c r="C401" s="14" t="n">
        <v>16608</v>
      </c>
    </row>
    <row r="402">
      <c r="A402" t="inlineStr">
        <is>
          <t>Gross margin</t>
        </is>
      </c>
      <c r="B402" s="14">
        <f>B400-B401</f>
        <v/>
      </c>
      <c r="C402" s="14">
        <f>C400-C401</f>
        <v/>
      </c>
    </row>
    <row r="403">
      <c r="A403" s="16" t="inlineStr">
        <is>
          <t>Gross margin %</t>
        </is>
      </c>
      <c r="B403" s="17">
        <f>B402/B400</f>
        <v/>
      </c>
      <c r="C403" s="17">
        <f>C402/C400</f>
        <v/>
      </c>
    </row>
    <row r="404"/>
    <row r="405"/>
    <row r="406">
      <c r="A406" s="6" t="inlineStr">
        <is>
          <t>Trades: From gross margin to profit, March 2026</t>
        </is>
      </c>
    </row>
    <row r="407">
      <c r="A407" s="13" t="inlineStr">
        <is>
          <t>Gross margin on the work − time not charged − overheads = profit before tax</t>
        </is>
      </c>
    </row>
    <row r="408">
      <c r="A408" s="7" t="inlineStr"/>
      <c r="B408" s="8" t="inlineStr">
        <is>
          <t>Mar 2026</t>
        </is>
      </c>
    </row>
    <row r="409">
      <c r="A409" t="inlineStr">
        <is>
          <t>Gross margin on jobs</t>
        </is>
      </c>
      <c r="B409" s="14" t="n">
        <v>90236</v>
      </c>
    </row>
    <row r="410">
      <c r="A410" t="inlineStr">
        <is>
          <t>Technician wages and on-costs</t>
        </is>
      </c>
      <c r="B410" s="14" t="n">
        <v>79587</v>
      </c>
    </row>
    <row r="411">
      <c r="A411" t="inlineStr">
        <is>
          <t>Technician time charged to jobs (at cost)</t>
        </is>
      </c>
      <c r="B411" s="14" t="n">
        <v>55692</v>
      </c>
    </row>
    <row r="412">
      <c r="A412" t="inlineStr">
        <is>
          <t>Technician time not charged to jobs</t>
        </is>
      </c>
      <c r="B412" s="14">
        <f>B410-B411</f>
        <v/>
      </c>
    </row>
    <row r="413">
      <c r="A413" t="inlineStr">
        <is>
          <t>Gross profit (the P&amp;L)</t>
        </is>
      </c>
      <c r="B413" s="14">
        <f>B409-B412</f>
        <v/>
      </c>
    </row>
    <row r="414">
      <c r="A414" t="inlineStr">
        <is>
          <t>Overheads (operating expenses, depreciation, interest)</t>
        </is>
      </c>
      <c r="B414" s="14" t="n">
        <v>59200</v>
      </c>
    </row>
    <row r="415">
      <c r="A415" t="inlineStr">
        <is>
          <t>Profit before tax (the P&amp;L)</t>
        </is>
      </c>
      <c r="B415" s="14">
        <f>B413-B414</f>
        <v/>
      </c>
    </row>
    <row r="416">
      <c r="A416" t="inlineStr">
        <is>
          <t>Revenue</t>
        </is>
      </c>
      <c r="B416" s="14" t="n">
        <v>213578</v>
      </c>
    </row>
    <row r="417">
      <c r="A417" t="inlineStr">
        <is>
          <t>Gross margin on jobs, %</t>
        </is>
      </c>
      <c r="B417" s="15">
        <f>B409/B416</f>
        <v/>
      </c>
    </row>
    <row r="418">
      <c r="A418" t="inlineStr">
        <is>
          <t>Profit before tax, % of revenue</t>
        </is>
      </c>
      <c r="B418" s="15">
        <f>B415/B416</f>
        <v/>
      </c>
    </row>
    <row r="419">
      <c r="A419" s="16" t="inlineStr">
        <is>
          <t>Gross margin jobs need just to cover overheads and time not charged</t>
        </is>
      </c>
      <c r="B419" s="17">
        <f>(B412+B414)/B416</f>
        <v/>
      </c>
    </row>
    <row r="420">
      <c r="A420" s="2" t="inlineStr">
        <is>
          <t>Ties to the March 2026 P&amp;L (locked). Wages include their on-costs: super (12%) and leave as it's earned. No payroll tax: wages are under Queensland's $1.3 million threshold.</t>
        </is>
      </c>
    </row>
    <row r="421"/>
    <row r="422"/>
    <row r="423">
      <c r="A423" s="6" t="inlineStr">
        <is>
          <t>Call-out revenue, March</t>
        </is>
      </c>
    </row>
    <row r="424">
      <c r="A424" s="13" t="inlineStr">
        <is>
          <t>Technician time charged at $163/hour + materials charged at cost × 1.3</t>
        </is>
      </c>
    </row>
    <row r="425">
      <c r="A425" s="7" t="inlineStr"/>
      <c r="B425" s="8" t="inlineStr">
        <is>
          <t>Mar 2026</t>
        </is>
      </c>
    </row>
    <row r="426">
      <c r="A426" t="inlineStr">
        <is>
          <t>Technician time charged ($163/hour)</t>
        </is>
      </c>
      <c r="B426" s="14" t="n">
        <v>18826</v>
      </c>
    </row>
    <row r="427">
      <c r="A427" t="inlineStr">
        <is>
          <t>Materials at cost</t>
        </is>
      </c>
      <c r="B427" s="14" t="n">
        <v>6040</v>
      </c>
    </row>
    <row r="428">
      <c r="A428" t="inlineStr">
        <is>
          <t>Mark-up on materials</t>
        </is>
      </c>
      <c r="B428" s="15" t="n">
        <v>0.3</v>
      </c>
    </row>
    <row r="429">
      <c r="A429" t="inlineStr">
        <is>
          <t>Materials charged (cost × 1.3)</t>
        </is>
      </c>
      <c r="B429" s="14">
        <f>B427*(1+B428)</f>
        <v/>
      </c>
    </row>
    <row r="430">
      <c r="A430" t="inlineStr">
        <is>
          <t>Materials charged (as invoiced, rounded per call-out)</t>
        </is>
      </c>
      <c r="B430" s="14" t="n">
        <v>7852</v>
      </c>
    </row>
    <row r="431">
      <c r="A431" t="inlineStr">
        <is>
          <t>Call-out revenue</t>
        </is>
      </c>
      <c r="B431" s="14">
        <f>B426+B430</f>
        <v/>
      </c>
    </row>
    <row r="432">
      <c r="A432" s="16" t="inlineStr">
        <is>
          <t>Technician time, % of call-out revenue</t>
        </is>
      </c>
      <c r="B432" s="17">
        <f>B426/B431</f>
        <v/>
      </c>
    </row>
    <row r="433"/>
    <row r="434"/>
    <row r="435">
      <c r="A435" s="6" t="inlineStr">
        <is>
          <t>Call-out revenue, March</t>
        </is>
      </c>
    </row>
    <row r="436">
      <c r="A436" s="13" t="inlineStr">
        <is>
          <t>Technician time charged at $163/hour + materials charged at cost × 1.3</t>
        </is>
      </c>
    </row>
    <row r="437">
      <c r="A437" s="7" t="inlineStr"/>
      <c r="B437" s="8" t="inlineStr">
        <is>
          <t>Mar 2026</t>
        </is>
      </c>
    </row>
    <row r="438">
      <c r="A438" t="inlineStr">
        <is>
          <t>Technician time charged ($163/hour)</t>
        </is>
      </c>
      <c r="B438" s="14" t="n">
        <v>18826</v>
      </c>
    </row>
    <row r="439">
      <c r="A439" t="inlineStr">
        <is>
          <t>Materials at cost</t>
        </is>
      </c>
      <c r="B439" s="14" t="n">
        <v>6040</v>
      </c>
    </row>
    <row r="440">
      <c r="A440" t="inlineStr">
        <is>
          <t>Mark-up on materials</t>
        </is>
      </c>
      <c r="B440" s="15" t="n">
        <v>0.3</v>
      </c>
    </row>
    <row r="441">
      <c r="A441" t="inlineStr">
        <is>
          <t>Materials charged (cost × 1.3)</t>
        </is>
      </c>
      <c r="B441" s="14">
        <f>B439*(1+B440)</f>
        <v/>
      </c>
    </row>
    <row r="442">
      <c r="A442" t="inlineStr">
        <is>
          <t>Materials charged (as invoiced, rounded per call-out)</t>
        </is>
      </c>
      <c r="B442" s="14" t="n">
        <v>7852</v>
      </c>
    </row>
    <row r="443">
      <c r="A443" t="inlineStr">
        <is>
          <t>Call-out revenue</t>
        </is>
      </c>
      <c r="B443" s="14">
        <f>B438+B442</f>
        <v/>
      </c>
    </row>
    <row r="444">
      <c r="A444" s="16" t="inlineStr">
        <is>
          <t>Technician time, % of call-out revenue</t>
        </is>
      </c>
      <c r="B444" s="17">
        <f>B438/B443</f>
        <v/>
      </c>
    </row>
    <row r="445"/>
    <row r="446"/>
    <row r="447">
      <c r="A447" s="6" t="inlineStr">
        <is>
          <t>1-hour call-outs (6)</t>
        </is>
      </c>
    </row>
    <row r="448">
      <c r="A448" s="13" t="inlineStr">
        <is>
          <t>Call-outs of this length in March, added together</t>
        </is>
      </c>
    </row>
    <row r="449">
      <c r="A449" s="7" t="inlineStr"/>
      <c r="B449" s="8" t="inlineStr">
        <is>
          <t>Mar 2026</t>
        </is>
      </c>
    </row>
    <row r="450">
      <c r="A450" t="inlineStr">
        <is>
          <t>Call-outs</t>
        </is>
      </c>
      <c r="B450" s="14" t="n">
        <v>6</v>
      </c>
    </row>
    <row r="451">
      <c r="A451" t="inlineStr">
        <is>
          <t>Technician time charged ($163/hour)</t>
        </is>
      </c>
      <c r="B451" s="14" t="n">
        <v>978</v>
      </c>
    </row>
    <row r="452">
      <c r="A452" t="inlineStr">
        <is>
          <t>Materials charged (cost × 1.3)</t>
        </is>
      </c>
      <c r="B452" s="14" t="n">
        <v>975</v>
      </c>
    </row>
    <row r="453">
      <c r="A453" t="inlineStr">
        <is>
          <t>Revenue</t>
        </is>
      </c>
      <c r="B453" s="14">
        <f>B451+B452</f>
        <v/>
      </c>
    </row>
    <row r="454">
      <c r="A454" t="inlineStr">
        <is>
          <t>Materials at cost</t>
        </is>
      </c>
      <c r="B454" s="14" t="n">
        <v>-750</v>
      </c>
    </row>
    <row r="455">
      <c r="A455" t="inlineStr">
        <is>
          <t>Technician time at cost</t>
        </is>
      </c>
      <c r="B455" s="14" t="n">
        <v>-408</v>
      </c>
    </row>
    <row r="456">
      <c r="A456" t="inlineStr">
        <is>
          <t>Job gross margin</t>
        </is>
      </c>
      <c r="B456" s="14">
        <f>B453+B454+B455</f>
        <v/>
      </c>
    </row>
    <row r="457">
      <c r="A457" s="16" t="inlineStr">
        <is>
          <t>Job gross margin %</t>
        </is>
      </c>
      <c r="B457" s="17">
        <f>B456/B453</f>
        <v/>
      </c>
    </row>
    <row r="458"/>
    <row r="459"/>
    <row r="460">
      <c r="A460" s="6" t="inlineStr">
        <is>
          <t>1.5-hour call-outs (7)</t>
        </is>
      </c>
    </row>
    <row r="461">
      <c r="A461" s="13" t="inlineStr">
        <is>
          <t>Call-outs of this length in March, added together</t>
        </is>
      </c>
    </row>
    <row r="462">
      <c r="A462" s="7" t="inlineStr"/>
      <c r="B462" s="8" t="inlineStr">
        <is>
          <t>Mar 2026</t>
        </is>
      </c>
    </row>
    <row r="463">
      <c r="A463" t="inlineStr">
        <is>
          <t>Call-outs</t>
        </is>
      </c>
      <c r="B463" s="14" t="n">
        <v>7</v>
      </c>
    </row>
    <row r="464">
      <c r="A464" t="inlineStr">
        <is>
          <t>Technician time charged ($163/hour)</t>
        </is>
      </c>
      <c r="B464" s="14" t="n">
        <v>1711</v>
      </c>
    </row>
    <row r="465">
      <c r="A465" t="inlineStr">
        <is>
          <t>Materials charged (cost × 1.3)</t>
        </is>
      </c>
      <c r="B465" s="14" t="n">
        <v>1235</v>
      </c>
    </row>
    <row r="466">
      <c r="A466" t="inlineStr">
        <is>
          <t>Revenue</t>
        </is>
      </c>
      <c r="B466" s="14">
        <f>B464+B465</f>
        <v/>
      </c>
    </row>
    <row r="467">
      <c r="A467" t="inlineStr">
        <is>
          <t>Materials at cost</t>
        </is>
      </c>
      <c r="B467" s="14" t="n">
        <v>-950</v>
      </c>
    </row>
    <row r="468">
      <c r="A468" t="inlineStr">
        <is>
          <t>Technician time at cost</t>
        </is>
      </c>
      <c r="B468" s="14" t="n">
        <v>-714</v>
      </c>
    </row>
    <row r="469">
      <c r="A469" t="inlineStr">
        <is>
          <t>Job gross margin</t>
        </is>
      </c>
      <c r="B469" s="14">
        <f>B466+B467+B468</f>
        <v/>
      </c>
    </row>
    <row r="470">
      <c r="A470" s="16" t="inlineStr">
        <is>
          <t>Job gross margin %</t>
        </is>
      </c>
      <c r="B470" s="17">
        <f>B469/B466</f>
        <v/>
      </c>
    </row>
    <row r="471"/>
    <row r="472"/>
    <row r="473">
      <c r="A473" s="6" t="inlineStr">
        <is>
          <t>2-hour call-outs (11)</t>
        </is>
      </c>
    </row>
    <row r="474">
      <c r="A474" s="13" t="inlineStr">
        <is>
          <t>Call-outs of this length in March, added together</t>
        </is>
      </c>
    </row>
    <row r="475">
      <c r="A475" s="7" t="inlineStr"/>
      <c r="B475" s="8" t="inlineStr">
        <is>
          <t>Mar 2026</t>
        </is>
      </c>
    </row>
    <row r="476">
      <c r="A476" t="inlineStr">
        <is>
          <t>Call-outs</t>
        </is>
      </c>
      <c r="B476" s="14" t="n">
        <v>11</v>
      </c>
    </row>
    <row r="477">
      <c r="A477" t="inlineStr">
        <is>
          <t>Technician time charged ($163/hour)</t>
        </is>
      </c>
      <c r="B477" s="14" t="n">
        <v>3586</v>
      </c>
    </row>
    <row r="478">
      <c r="A478" t="inlineStr">
        <is>
          <t>Materials charged (cost × 1.3)</t>
        </is>
      </c>
      <c r="B478" s="14" t="n">
        <v>1326</v>
      </c>
    </row>
    <row r="479">
      <c r="A479" t="inlineStr">
        <is>
          <t>Revenue</t>
        </is>
      </c>
      <c r="B479" s="14">
        <f>B477+B478</f>
        <v/>
      </c>
    </row>
    <row r="480">
      <c r="A480" t="inlineStr">
        <is>
          <t>Materials at cost</t>
        </is>
      </c>
      <c r="B480" s="14" t="n">
        <v>-1020</v>
      </c>
    </row>
    <row r="481">
      <c r="A481" t="inlineStr">
        <is>
          <t>Technician time at cost</t>
        </is>
      </c>
      <c r="B481" s="14" t="n">
        <v>-1496</v>
      </c>
    </row>
    <row r="482">
      <c r="A482" t="inlineStr">
        <is>
          <t>Job gross margin</t>
        </is>
      </c>
      <c r="B482" s="14">
        <f>B479+B480+B481</f>
        <v/>
      </c>
    </row>
    <row r="483">
      <c r="A483" s="16" t="inlineStr">
        <is>
          <t>Job gross margin %</t>
        </is>
      </c>
      <c r="B483" s="17">
        <f>B482/B479</f>
        <v/>
      </c>
    </row>
    <row r="484"/>
    <row r="485"/>
    <row r="486">
      <c r="A486" s="6" t="inlineStr">
        <is>
          <t>2.5-hour call-outs (4)</t>
        </is>
      </c>
    </row>
    <row r="487">
      <c r="A487" s="13" t="inlineStr">
        <is>
          <t>Call-outs of this length in March, added together</t>
        </is>
      </c>
    </row>
    <row r="488">
      <c r="A488" s="7" t="inlineStr"/>
      <c r="B488" s="8" t="inlineStr">
        <is>
          <t>Mar 2026</t>
        </is>
      </c>
    </row>
    <row r="489">
      <c r="A489" t="inlineStr">
        <is>
          <t>Call-outs</t>
        </is>
      </c>
      <c r="B489" s="14" t="n">
        <v>4</v>
      </c>
    </row>
    <row r="490">
      <c r="A490" t="inlineStr">
        <is>
          <t>Technician time charged ($163/hour)</t>
        </is>
      </c>
      <c r="B490" s="14" t="n">
        <v>1630</v>
      </c>
    </row>
    <row r="491">
      <c r="A491" t="inlineStr">
        <is>
          <t>Materials charged (cost × 1.3)</t>
        </is>
      </c>
      <c r="B491" s="14" t="n">
        <v>754</v>
      </c>
    </row>
    <row r="492">
      <c r="A492" t="inlineStr">
        <is>
          <t>Revenue</t>
        </is>
      </c>
      <c r="B492" s="14">
        <f>B490+B491</f>
        <v/>
      </c>
    </row>
    <row r="493">
      <c r="A493" t="inlineStr">
        <is>
          <t>Materials at cost</t>
        </is>
      </c>
      <c r="B493" s="14" t="n">
        <v>-580</v>
      </c>
    </row>
    <row r="494">
      <c r="A494" t="inlineStr">
        <is>
          <t>Technician time at cost</t>
        </is>
      </c>
      <c r="B494" s="14" t="n">
        <v>-680</v>
      </c>
    </row>
    <row r="495">
      <c r="A495" t="inlineStr">
        <is>
          <t>Job gross margin</t>
        </is>
      </c>
      <c r="B495" s="14">
        <f>B492+B493+B494</f>
        <v/>
      </c>
    </row>
    <row r="496">
      <c r="A496" s="16" t="inlineStr">
        <is>
          <t>Job gross margin %</t>
        </is>
      </c>
      <c r="B496" s="17">
        <f>B495/B492</f>
        <v/>
      </c>
    </row>
    <row r="497"/>
    <row r="498"/>
    <row r="499">
      <c r="A499" s="6" t="inlineStr">
        <is>
          <t>3-hour call-outs (9)</t>
        </is>
      </c>
    </row>
    <row r="500">
      <c r="A500" s="13" t="inlineStr">
        <is>
          <t>Call-outs of this length in March, added together</t>
        </is>
      </c>
    </row>
    <row r="501">
      <c r="A501" s="7" t="inlineStr"/>
      <c r="B501" s="8" t="inlineStr">
        <is>
          <t>Mar 2026</t>
        </is>
      </c>
    </row>
    <row r="502">
      <c r="A502" t="inlineStr">
        <is>
          <t>Call-outs</t>
        </is>
      </c>
      <c r="B502" s="14" t="n">
        <v>9</v>
      </c>
    </row>
    <row r="503">
      <c r="A503" t="inlineStr">
        <is>
          <t>Technician time charged ($163/hour)</t>
        </is>
      </c>
      <c r="B503" s="14" t="n">
        <v>4401</v>
      </c>
    </row>
    <row r="504">
      <c r="A504" t="inlineStr">
        <is>
          <t>Materials charged (cost × 1.3)</t>
        </is>
      </c>
      <c r="B504" s="14" t="n">
        <v>1638</v>
      </c>
    </row>
    <row r="505">
      <c r="A505" t="inlineStr">
        <is>
          <t>Revenue</t>
        </is>
      </c>
      <c r="B505" s="14">
        <f>B503+B504</f>
        <v/>
      </c>
    </row>
    <row r="506">
      <c r="A506" t="inlineStr">
        <is>
          <t>Materials at cost</t>
        </is>
      </c>
      <c r="B506" s="14" t="n">
        <v>-1260</v>
      </c>
    </row>
    <row r="507">
      <c r="A507" t="inlineStr">
        <is>
          <t>Technician time at cost</t>
        </is>
      </c>
      <c r="B507" s="14" t="n">
        <v>-1836</v>
      </c>
    </row>
    <row r="508">
      <c r="A508" t="inlineStr">
        <is>
          <t>Job gross margin</t>
        </is>
      </c>
      <c r="B508" s="14">
        <f>B505+B506+B507</f>
        <v/>
      </c>
    </row>
    <row r="509">
      <c r="A509" s="16" t="inlineStr">
        <is>
          <t>Job gross margin %</t>
        </is>
      </c>
      <c r="B509" s="17">
        <f>B508/B505</f>
        <v/>
      </c>
    </row>
    <row r="510"/>
    <row r="511"/>
    <row r="512">
      <c r="A512" s="6" t="inlineStr">
        <is>
          <t>4-hour call-outs (10)</t>
        </is>
      </c>
    </row>
    <row r="513">
      <c r="A513" s="13" t="inlineStr">
        <is>
          <t>Call-outs of this length in March, added together</t>
        </is>
      </c>
    </row>
    <row r="514">
      <c r="A514" s="7" t="inlineStr"/>
      <c r="B514" s="8" t="inlineStr">
        <is>
          <t>Mar 2026</t>
        </is>
      </c>
    </row>
    <row r="515">
      <c r="A515" t="inlineStr">
        <is>
          <t>Call-outs</t>
        </is>
      </c>
      <c r="B515" s="14" t="n">
        <v>10</v>
      </c>
    </row>
    <row r="516">
      <c r="A516" t="inlineStr">
        <is>
          <t>Technician time charged ($163/hour)</t>
        </is>
      </c>
      <c r="B516" s="14" t="n">
        <v>6520</v>
      </c>
    </row>
    <row r="517">
      <c r="A517" t="inlineStr">
        <is>
          <t>Materials charged (cost × 1.3)</t>
        </is>
      </c>
      <c r="B517" s="14" t="n">
        <v>1924</v>
      </c>
    </row>
    <row r="518">
      <c r="A518" t="inlineStr">
        <is>
          <t>Revenue</t>
        </is>
      </c>
      <c r="B518" s="14">
        <f>B516+B517</f>
        <v/>
      </c>
    </row>
    <row r="519">
      <c r="A519" t="inlineStr">
        <is>
          <t>Materials at cost</t>
        </is>
      </c>
      <c r="B519" s="14" t="n">
        <v>-1480</v>
      </c>
    </row>
    <row r="520">
      <c r="A520" t="inlineStr">
        <is>
          <t>Technician time at cost</t>
        </is>
      </c>
      <c r="B520" s="14" t="n">
        <v>-2720</v>
      </c>
    </row>
    <row r="521">
      <c r="A521" t="inlineStr">
        <is>
          <t>Job gross margin</t>
        </is>
      </c>
      <c r="B521" s="14">
        <f>B518+B519+B520</f>
        <v/>
      </c>
    </row>
    <row r="522">
      <c r="A522" s="16" t="inlineStr">
        <is>
          <t>Job gross margin %</t>
        </is>
      </c>
      <c r="B522" s="17">
        <f>B521/B518</f>
        <v/>
      </c>
    </row>
    <row r="523"/>
    <row r="524"/>
    <row r="525"/>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05" min="0" max="16383" man="1"/>
    <brk id="335" min="0" max="16383" man="1"/>
    <brk id="361" min="0" max="16383" man="1"/>
    <brk id="387" min="0" max="16383" man="1"/>
    <brk id="405" min="0" max="16383" man="1"/>
    <brk id="434" min="0" max="16383" man="1"/>
    <brk id="459" min="0" max="16383" man="1"/>
    <brk id="485" min="0" max="16383" man="1"/>
    <brk id="511"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March 2026: Target 35.0%</t>
        </is>
      </c>
    </row>
    <row r="4">
      <c r="B4" t="n">
        <v>0.35</v>
      </c>
      <c r="C4" t="n">
        <v>0</v>
      </c>
    </row>
    <row r="5">
      <c r="B5" t="n">
        <v>0.35</v>
      </c>
      <c r="C5" t="n">
        <v>1</v>
      </c>
    </row>
    <row r="6"/>
    <row r="7">
      <c r="A7" t="inlineStr">
        <is>
          <t>Report: Job gross margin by type of job, March 2026: Break-even 38.9%</t>
        </is>
      </c>
    </row>
    <row r="8">
      <c r="B8" t="n">
        <v>0.389</v>
      </c>
      <c r="C8" t="n">
        <v>0</v>
      </c>
    </row>
    <row r="9">
      <c r="B9" t="n">
        <v>0.389</v>
      </c>
      <c r="C9" t="n">
        <v>1</v>
      </c>
    </row>
    <row r="10"/>
    <row r="11">
      <c r="A11" t="inlineStr">
        <is>
          <t>Report: Job gross margin on each maintenance contract, March 2026: Target 35.0%</t>
        </is>
      </c>
    </row>
    <row r="12">
      <c r="B12" t="n">
        <v>0.35</v>
      </c>
      <c r="C12" t="n">
        <v>0</v>
      </c>
    </row>
    <row r="13">
      <c r="B13" t="n">
        <v>0.35</v>
      </c>
      <c r="C13" t="n">
        <v>1</v>
      </c>
    </row>
    <row r="14"/>
    <row r="15">
      <c r="A15" t="inlineStr">
        <is>
          <t>Report: Job gross margin on each maintenance contract, March 2026: Break-even 38.9%</t>
        </is>
      </c>
    </row>
    <row r="16">
      <c r="B16" t="n">
        <v>0.389</v>
      </c>
      <c r="C16" t="n">
        <v>0</v>
      </c>
    </row>
    <row r="17">
      <c r="B17" t="n">
        <v>0.389</v>
      </c>
      <c r="C17" t="n">
        <v>1</v>
      </c>
    </row>
    <row r="18"/>
    <row r="19">
      <c r="A19" t="inlineStr">
        <is>
          <t>Report: Job gross margin on each installation invoiced in March 2026: Target 35.0%</t>
        </is>
      </c>
    </row>
    <row r="20">
      <c r="B20" t="n">
        <v>0.35</v>
      </c>
      <c r="C20" t="n">
        <v>0</v>
      </c>
    </row>
    <row r="21">
      <c r="B21" t="n">
        <v>0.35</v>
      </c>
      <c r="C21" t="n">
        <v>1</v>
      </c>
    </row>
    <row r="22"/>
    <row r="23">
      <c r="A23" t="inlineStr">
        <is>
          <t>Report: Job gross margin on each installation invoiced in March 2026: Break-even 38.9%</t>
        </is>
      </c>
    </row>
    <row r="24">
      <c r="B24" t="n">
        <v>0.389</v>
      </c>
      <c r="C24" t="n">
        <v>0</v>
      </c>
    </row>
    <row r="25">
      <c r="B25" t="n">
        <v>0.389</v>
      </c>
      <c r="C25" t="n">
        <v>1</v>
      </c>
    </row>
    <row r="26"/>
    <row r="27">
      <c r="A27" t="inlineStr">
        <is>
          <t>Report: Job gross margin on call-outs by length, March 2026: Target 35.0%</t>
        </is>
      </c>
    </row>
    <row r="28">
      <c r="B28" t="n">
        <v>0.35</v>
      </c>
      <c r="C28" t="n">
        <v>0</v>
      </c>
    </row>
    <row r="29">
      <c r="B29" t="n">
        <v>0.35</v>
      </c>
      <c r="C29" t="n">
        <v>1</v>
      </c>
    </row>
    <row r="30"/>
    <row r="31">
      <c r="A31" t="inlineStr">
        <is>
          <t>Report: Job gross margin on call-outs by length, March 2026: Break-even 38.9%</t>
        </is>
      </c>
    </row>
    <row r="32">
      <c r="B32" t="n">
        <v>0.389</v>
      </c>
      <c r="C32" t="n">
        <v>0</v>
      </c>
    </row>
    <row r="33">
      <c r="B33" t="n">
        <v>0.389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7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March 2026 · Data status: Mar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Maintenance contracts</t>
        </is>
      </c>
      <c r="B24" s="19" t="inlineStr">
        <is>
          <t>Oct 24</t>
        </is>
      </c>
      <c r="C24" s="19" t="inlineStr">
        <is>
          <t>Locked</t>
        </is>
      </c>
      <c r="D24" s="14" t="n">
        <v>27650</v>
      </c>
      <c r="E24" s="14" t="n">
        <v>10420</v>
      </c>
      <c r="F24" s="14">
        <f>D24-E24</f>
        <v/>
      </c>
      <c r="G24" s="15">
        <f>IF(D24=0,"",F24/D24)</f>
        <v/>
      </c>
    </row>
    <row r="25">
      <c r="A25" s="19" t="inlineStr">
        <is>
          <t>Maintenance contracts</t>
        </is>
      </c>
      <c r="B25" s="19" t="inlineStr">
        <is>
          <t>Nov 24</t>
        </is>
      </c>
      <c r="C25" s="19" t="inlineStr">
        <is>
          <t>Locked</t>
        </is>
      </c>
      <c r="D25" s="14" t="n">
        <v>27650</v>
      </c>
      <c r="E25" s="14" t="n">
        <v>10420</v>
      </c>
      <c r="F25" s="14">
        <f>D25-E25</f>
        <v/>
      </c>
      <c r="G25" s="15">
        <f>IF(D25=0,"",F25/D25)</f>
        <v/>
      </c>
    </row>
    <row r="26">
      <c r="A26" s="19" t="inlineStr">
        <is>
          <t>Maintenance contracts</t>
        </is>
      </c>
      <c r="B26" s="19" t="inlineStr">
        <is>
          <t>Dec 24</t>
        </is>
      </c>
      <c r="C26" s="19" t="inlineStr">
        <is>
          <t>Locked</t>
        </is>
      </c>
      <c r="D26" s="14" t="n">
        <v>27650</v>
      </c>
      <c r="E26" s="14" t="n">
        <v>10420</v>
      </c>
      <c r="F26" s="14">
        <f>D26-E26</f>
        <v/>
      </c>
      <c r="G26" s="15">
        <f>IF(D26=0,"",F26/D26)</f>
        <v/>
      </c>
    </row>
    <row r="27">
      <c r="A27" s="19" t="inlineStr">
        <is>
          <t>Maintenance contracts</t>
        </is>
      </c>
      <c r="B27" s="19" t="inlineStr">
        <is>
          <t>Jan 25</t>
        </is>
      </c>
      <c r="C27" s="19" t="inlineStr">
        <is>
          <t>Locked</t>
        </is>
      </c>
      <c r="D27" s="14" t="n">
        <v>27650</v>
      </c>
      <c r="E27" s="14" t="n">
        <v>10420</v>
      </c>
      <c r="F27" s="14">
        <f>D27-E27</f>
        <v/>
      </c>
      <c r="G27" s="15">
        <f>IF(D27=0,"",F27/D27)</f>
        <v/>
      </c>
    </row>
    <row r="28">
      <c r="A28" s="19" t="inlineStr">
        <is>
          <t>Maintenance contracts</t>
        </is>
      </c>
      <c r="B28" s="19" t="inlineStr">
        <is>
          <t>Feb 25</t>
        </is>
      </c>
      <c r="C28" s="19" t="inlineStr">
        <is>
          <t>Locked</t>
        </is>
      </c>
      <c r="D28" s="14" t="n">
        <v>31300</v>
      </c>
      <c r="E28" s="14" t="n">
        <v>11782</v>
      </c>
      <c r="F28" s="14">
        <f>D28-E28</f>
        <v/>
      </c>
      <c r="G28" s="15">
        <f>IF(D28=0,"",F28/D28)</f>
        <v/>
      </c>
    </row>
    <row r="29">
      <c r="A29" s="19" t="inlineStr">
        <is>
          <t>Maintenance contracts</t>
        </is>
      </c>
      <c r="B29" s="19" t="inlineStr">
        <is>
          <t>Mar 25</t>
        </is>
      </c>
      <c r="C29" s="19" t="inlineStr">
        <is>
          <t>Locked</t>
        </is>
      </c>
      <c r="D29" s="14" t="n">
        <v>31300</v>
      </c>
      <c r="E29" s="14" t="n">
        <v>11782</v>
      </c>
      <c r="F29" s="14">
        <f>D29-E29</f>
        <v/>
      </c>
      <c r="G29" s="15">
        <f>IF(D29=0,"",F29/D29)</f>
        <v/>
      </c>
    </row>
    <row r="30">
      <c r="A30" s="19" t="inlineStr">
        <is>
          <t>Maintenance contracts</t>
        </is>
      </c>
      <c r="B30" s="19" t="inlineStr">
        <is>
          <t>Apr 25</t>
        </is>
      </c>
      <c r="C30" s="19" t="inlineStr">
        <is>
          <t>Locked</t>
        </is>
      </c>
      <c r="D30" s="14" t="n">
        <v>31300</v>
      </c>
      <c r="E30" s="14" t="n">
        <v>11782</v>
      </c>
      <c r="F30" s="14">
        <f>D30-E30</f>
        <v/>
      </c>
      <c r="G30" s="15">
        <f>IF(D30=0,"",F30/D30)</f>
        <v/>
      </c>
    </row>
    <row r="31">
      <c r="A31" s="19" t="inlineStr">
        <is>
          <t>Maintenance contracts</t>
        </is>
      </c>
      <c r="B31" s="19" t="inlineStr">
        <is>
          <t>May 25</t>
        </is>
      </c>
      <c r="C31" s="19" t="inlineStr">
        <is>
          <t>Locked</t>
        </is>
      </c>
      <c r="D31" s="14" t="n">
        <v>31300</v>
      </c>
      <c r="E31" s="14" t="n">
        <v>11782</v>
      </c>
      <c r="F31" s="14">
        <f>D31-E31</f>
        <v/>
      </c>
      <c r="G31" s="15">
        <f>IF(D31=0,"",F31/D31)</f>
        <v/>
      </c>
    </row>
    <row r="32">
      <c r="A32" s="19" t="inlineStr">
        <is>
          <t>Maintenance contracts</t>
        </is>
      </c>
      <c r="B32" s="19" t="inlineStr">
        <is>
          <t>Jun 25</t>
        </is>
      </c>
      <c r="C32" s="19" t="inlineStr">
        <is>
          <t>Locked</t>
        </is>
      </c>
      <c r="D32" s="14" t="n">
        <v>35720</v>
      </c>
      <c r="E32" s="14" t="n">
        <v>13446</v>
      </c>
      <c r="F32" s="14">
        <f>D32-E32</f>
        <v/>
      </c>
      <c r="G32" s="15">
        <f>IF(D32=0,"",F32/D32)</f>
        <v/>
      </c>
    </row>
    <row r="33">
      <c r="A33" s="19" t="inlineStr">
        <is>
          <t>Maintenance contracts</t>
        </is>
      </c>
      <c r="B33" s="19" t="inlineStr">
        <is>
          <t>Jul 25</t>
        </is>
      </c>
      <c r="C33" s="19" t="inlineStr">
        <is>
          <t>Locked</t>
        </is>
      </c>
      <c r="D33" s="14" t="n">
        <v>37200</v>
      </c>
      <c r="E33" s="14" t="n">
        <v>13446</v>
      </c>
      <c r="F33" s="14">
        <f>D33-E33</f>
        <v/>
      </c>
      <c r="G33" s="15">
        <f>IF(D33=0,"",F33/D33)</f>
        <v/>
      </c>
    </row>
    <row r="34">
      <c r="A34" s="19" t="inlineStr">
        <is>
          <t>Maintenance contracts</t>
        </is>
      </c>
      <c r="B34" s="19" t="inlineStr">
        <is>
          <t>Aug 25</t>
        </is>
      </c>
      <c r="C34" s="19" t="inlineStr">
        <is>
          <t>Locked</t>
        </is>
      </c>
      <c r="D34" s="14" t="n">
        <v>37200</v>
      </c>
      <c r="E34" s="14" t="n">
        <v>13446</v>
      </c>
      <c r="F34" s="14">
        <f>D34-E34</f>
        <v/>
      </c>
      <c r="G34" s="15">
        <f>IF(D34=0,"",F34/D34)</f>
        <v/>
      </c>
    </row>
    <row r="35">
      <c r="A35" s="19" t="inlineStr">
        <is>
          <t>Maintenance contracts</t>
        </is>
      </c>
      <c r="B35" s="19" t="inlineStr">
        <is>
          <t>Sep 25</t>
        </is>
      </c>
      <c r="C35" s="19" t="inlineStr">
        <is>
          <t>Locked</t>
        </is>
      </c>
      <c r="D35" s="14" t="n">
        <v>37200</v>
      </c>
      <c r="E35" s="14" t="n">
        <v>13446</v>
      </c>
      <c r="F35" s="14">
        <f>D35-E35</f>
        <v/>
      </c>
      <c r="G35" s="15">
        <f>IF(D35=0,"",F35/D35)</f>
        <v/>
      </c>
    </row>
    <row r="36">
      <c r="A36" s="19" t="inlineStr">
        <is>
          <t>Maintenance contracts</t>
        </is>
      </c>
      <c r="B36" s="19" t="inlineStr">
        <is>
          <t>Oct 25</t>
        </is>
      </c>
      <c r="C36" s="19" t="inlineStr">
        <is>
          <t>Locked</t>
        </is>
      </c>
      <c r="D36" s="14" t="n">
        <v>40100</v>
      </c>
      <c r="E36" s="14" t="n">
        <v>14516</v>
      </c>
      <c r="F36" s="14">
        <f>D36-E36</f>
        <v/>
      </c>
      <c r="G36" s="15">
        <f>IF(D36=0,"",F36/D36)</f>
        <v/>
      </c>
    </row>
    <row r="37">
      <c r="A37" s="19" t="inlineStr">
        <is>
          <t>Maintenance contracts</t>
        </is>
      </c>
      <c r="B37" s="19" t="inlineStr">
        <is>
          <t>Nov 25</t>
        </is>
      </c>
      <c r="C37" s="19" t="inlineStr">
        <is>
          <t>Locked</t>
        </is>
      </c>
      <c r="D37" s="14" t="n">
        <v>40100</v>
      </c>
      <c r="E37" s="14" t="n">
        <v>14516</v>
      </c>
      <c r="F37" s="14">
        <f>D37-E37</f>
        <v/>
      </c>
      <c r="G37" s="15">
        <f>IF(D37=0,"",F37/D37)</f>
        <v/>
      </c>
    </row>
    <row r="38">
      <c r="A38" s="19" t="inlineStr">
        <is>
          <t>Maintenance contracts</t>
        </is>
      </c>
      <c r="B38" s="19" t="inlineStr">
        <is>
          <t>Dec 25</t>
        </is>
      </c>
      <c r="C38" s="19" t="inlineStr">
        <is>
          <t>Locked</t>
        </is>
      </c>
      <c r="D38" s="14" t="n">
        <v>40100</v>
      </c>
      <c r="E38" s="14" t="n">
        <v>14516</v>
      </c>
      <c r="F38" s="14">
        <f>D38-E38</f>
        <v/>
      </c>
      <c r="G38" s="15">
        <f>IF(D38=0,"",F38/D38)</f>
        <v/>
      </c>
    </row>
    <row r="39">
      <c r="A39" s="19" t="inlineStr">
        <is>
          <t>Maintenance contracts</t>
        </is>
      </c>
      <c r="B39" s="19" t="inlineStr">
        <is>
          <t>Jan 26</t>
        </is>
      </c>
      <c r="C39" s="19" t="inlineStr">
        <is>
          <t>Locked</t>
        </is>
      </c>
      <c r="D39" s="14" t="n">
        <v>40100</v>
      </c>
      <c r="E39" s="14" t="n">
        <v>14516</v>
      </c>
      <c r="F39" s="14">
        <f>D39-E39</f>
        <v/>
      </c>
      <c r="G39" s="15">
        <f>IF(D39=0,"",F39/D39)</f>
        <v/>
      </c>
    </row>
    <row r="40">
      <c r="A40" s="19" t="inlineStr">
        <is>
          <t>Maintenance contracts</t>
        </is>
      </c>
      <c r="B40" s="19" t="inlineStr">
        <is>
          <t>Feb 26</t>
        </is>
      </c>
      <c r="C40" s="19" t="inlineStr">
        <is>
          <t>Locked</t>
        </is>
      </c>
      <c r="D40" s="14" t="n">
        <v>42000</v>
      </c>
      <c r="E40" s="14" t="n">
        <v>15158</v>
      </c>
      <c r="F40" s="14">
        <f>D40-E40</f>
        <v/>
      </c>
      <c r="G40" s="15">
        <f>IF(D40=0,"",F40/D40)</f>
        <v/>
      </c>
    </row>
    <row r="41">
      <c r="A41" s="19" t="inlineStr">
        <is>
          <t>Maintenance contracts</t>
        </is>
      </c>
      <c r="B41" s="19" t="inlineStr">
        <is>
          <t>Mar 26</t>
        </is>
      </c>
      <c r="C41" s="19" t="inlineStr">
        <is>
          <t>Locked</t>
        </is>
      </c>
      <c r="D41" s="14" t="n">
        <v>42000</v>
      </c>
      <c r="E41" s="14" t="n">
        <v>15158</v>
      </c>
      <c r="F41" s="14">
        <f>D41-E41</f>
        <v/>
      </c>
      <c r="G41" s="15">
        <f>IF(D41=0,"",F41/D41)</f>
        <v/>
      </c>
    </row>
    <row r="42">
      <c r="A42" s="19" t="inlineStr">
        <is>
          <t>Installations</t>
        </is>
      </c>
      <c r="B42" s="19" t="inlineStr">
        <is>
          <t>Oct 24</t>
        </is>
      </c>
      <c r="C42" s="19" t="inlineStr">
        <is>
          <t>Locked</t>
        </is>
      </c>
      <c r="D42" s="14" t="n">
        <v>141600</v>
      </c>
      <c r="E42" s="14" t="n">
        <v>92430</v>
      </c>
      <c r="F42" s="14">
        <f>D42-E42</f>
        <v/>
      </c>
      <c r="G42" s="15">
        <f>IF(D42=0,"",F42/D42)</f>
        <v/>
      </c>
    </row>
    <row r="43">
      <c r="A43" s="19" t="inlineStr">
        <is>
          <t>Installations</t>
        </is>
      </c>
      <c r="B43" s="19" t="inlineStr">
        <is>
          <t>Nov 24</t>
        </is>
      </c>
      <c r="C43" s="19" t="inlineStr">
        <is>
          <t>Locked</t>
        </is>
      </c>
      <c r="D43" s="14" t="n">
        <v>147100</v>
      </c>
      <c r="E43" s="14" t="n">
        <v>89070</v>
      </c>
      <c r="F43" s="14">
        <f>D43-E43</f>
        <v/>
      </c>
      <c r="G43" s="15">
        <f>IF(D43=0,"",F43/D43)</f>
        <v/>
      </c>
    </row>
    <row r="44">
      <c r="A44" s="19" t="inlineStr">
        <is>
          <t>Installations</t>
        </is>
      </c>
      <c r="B44" s="19" t="inlineStr">
        <is>
          <t>Dec 24</t>
        </is>
      </c>
      <c r="C44" s="19" t="inlineStr">
        <is>
          <t>Locked</t>
        </is>
      </c>
      <c r="D44" s="14" t="n">
        <v>103700</v>
      </c>
      <c r="E44" s="14" t="n">
        <v>59908</v>
      </c>
      <c r="F44" s="14">
        <f>D44-E44</f>
        <v/>
      </c>
      <c r="G44" s="15">
        <f>IF(D44=0,"",F44/D44)</f>
        <v/>
      </c>
    </row>
    <row r="45">
      <c r="A45" s="19" t="inlineStr">
        <is>
          <t>Installations</t>
        </is>
      </c>
      <c r="B45" s="19" t="inlineStr">
        <is>
          <t>Jan 25</t>
        </is>
      </c>
      <c r="C45" s="19" t="inlineStr">
        <is>
          <t>Locked</t>
        </is>
      </c>
      <c r="D45" s="14" t="n">
        <v>100100</v>
      </c>
      <c r="E45" s="14" t="n">
        <v>54678</v>
      </c>
      <c r="F45" s="14">
        <f>D45-E45</f>
        <v/>
      </c>
      <c r="G45" s="15">
        <f>IF(D45=0,"",F45/D45)</f>
        <v/>
      </c>
    </row>
    <row r="46">
      <c r="A46" s="19" t="inlineStr">
        <is>
          <t>Installations</t>
        </is>
      </c>
      <c r="B46" s="19" t="inlineStr">
        <is>
          <t>Feb 25</t>
        </is>
      </c>
      <c r="C46" s="19" t="inlineStr">
        <is>
          <t>Locked</t>
        </is>
      </c>
      <c r="D46" s="14" t="n">
        <v>118600</v>
      </c>
      <c r="E46" s="14" t="n">
        <v>74966</v>
      </c>
      <c r="F46" s="14">
        <f>D46-E46</f>
        <v/>
      </c>
      <c r="G46" s="15">
        <f>IF(D46=0,"",F46/D46)</f>
        <v/>
      </c>
    </row>
    <row r="47">
      <c r="A47" s="19" t="inlineStr">
        <is>
          <t>Installations</t>
        </is>
      </c>
      <c r="B47" s="19" t="inlineStr">
        <is>
          <t>Mar 25</t>
        </is>
      </c>
      <c r="C47" s="19" t="inlineStr">
        <is>
          <t>Locked</t>
        </is>
      </c>
      <c r="D47" s="14" t="n">
        <v>96400</v>
      </c>
      <c r="E47" s="14" t="n">
        <v>61664</v>
      </c>
      <c r="F47" s="14">
        <f>D47-E47</f>
        <v/>
      </c>
      <c r="G47" s="15">
        <f>IF(D47=0,"",F47/D47)</f>
        <v/>
      </c>
    </row>
    <row r="48">
      <c r="A48" s="19" t="inlineStr">
        <is>
          <t>Installations</t>
        </is>
      </c>
      <c r="B48" s="19" t="inlineStr">
        <is>
          <t>Apr 25</t>
        </is>
      </c>
      <c r="C48" s="19" t="inlineStr">
        <is>
          <t>Locked</t>
        </is>
      </c>
      <c r="D48" s="14" t="n">
        <v>83900</v>
      </c>
      <c r="E48" s="14" t="n">
        <v>52264</v>
      </c>
      <c r="F48" s="14">
        <f>D48-E48</f>
        <v/>
      </c>
      <c r="G48" s="15">
        <f>IF(D48=0,"",F48/D48)</f>
        <v/>
      </c>
    </row>
    <row r="49">
      <c r="A49" s="19" t="inlineStr">
        <is>
          <t>Installations</t>
        </is>
      </c>
      <c r="B49" s="19" t="inlineStr">
        <is>
          <t>May 25</t>
        </is>
      </c>
      <c r="C49" s="19" t="inlineStr">
        <is>
          <t>Locked</t>
        </is>
      </c>
      <c r="D49" s="14" t="n">
        <v>89900</v>
      </c>
      <c r="E49" s="14" t="n">
        <v>59534</v>
      </c>
      <c r="F49" s="14">
        <f>D49-E49</f>
        <v/>
      </c>
      <c r="G49" s="15">
        <f>IF(D49=0,"",F49/D49)</f>
        <v/>
      </c>
    </row>
    <row r="50">
      <c r="A50" s="19" t="inlineStr">
        <is>
          <t>Installations</t>
        </is>
      </c>
      <c r="B50" s="19" t="inlineStr">
        <is>
          <t>Jun 25</t>
        </is>
      </c>
      <c r="C50" s="19" t="inlineStr">
        <is>
          <t>Locked</t>
        </is>
      </c>
      <c r="D50" s="14" t="n">
        <v>126300</v>
      </c>
      <c r="E50" s="14" t="n">
        <v>72976</v>
      </c>
      <c r="F50" s="14">
        <f>D50-E50</f>
        <v/>
      </c>
      <c r="G50" s="15">
        <f>IF(D50=0,"",F50/D50)</f>
        <v/>
      </c>
    </row>
    <row r="51">
      <c r="A51" s="19" t="inlineStr">
        <is>
          <t>Installations</t>
        </is>
      </c>
      <c r="B51" s="19" t="inlineStr">
        <is>
          <t>Jul 25</t>
        </is>
      </c>
      <c r="C51" s="19" t="inlineStr">
        <is>
          <t>Locked</t>
        </is>
      </c>
      <c r="D51" s="14" t="n">
        <v>152100</v>
      </c>
      <c r="E51" s="14" t="n">
        <v>96920</v>
      </c>
      <c r="F51" s="14">
        <f>D51-E51</f>
        <v/>
      </c>
      <c r="G51" s="15">
        <f>IF(D51=0,"",F51/D51)</f>
        <v/>
      </c>
    </row>
    <row r="52">
      <c r="A52" s="19" t="inlineStr">
        <is>
          <t>Installations</t>
        </is>
      </c>
      <c r="B52" s="19" t="inlineStr">
        <is>
          <t>Aug 25</t>
        </is>
      </c>
      <c r="C52" s="19" t="inlineStr">
        <is>
          <t>Locked</t>
        </is>
      </c>
      <c r="D52" s="14" t="n">
        <v>96500</v>
      </c>
      <c r="E52" s="14" t="n">
        <v>53590</v>
      </c>
      <c r="F52" s="14">
        <f>D52-E52</f>
        <v/>
      </c>
      <c r="G52" s="15">
        <f>IF(D52=0,"",F52/D52)</f>
        <v/>
      </c>
    </row>
    <row r="53">
      <c r="A53" s="19" t="inlineStr">
        <is>
          <t>Installations</t>
        </is>
      </c>
      <c r="B53" s="19" t="inlineStr">
        <is>
          <t>Sep 25</t>
        </is>
      </c>
      <c r="C53" s="19" t="inlineStr">
        <is>
          <t>Locked</t>
        </is>
      </c>
      <c r="D53" s="14" t="n">
        <v>84200</v>
      </c>
      <c r="E53" s="14" t="n">
        <v>55440</v>
      </c>
      <c r="F53" s="14">
        <f>D53-E53</f>
        <v/>
      </c>
      <c r="G53" s="15">
        <f>IF(D53=0,"",F53/D53)</f>
        <v/>
      </c>
    </row>
    <row r="54">
      <c r="A54" s="19" t="inlineStr">
        <is>
          <t>Installations</t>
        </is>
      </c>
      <c r="B54" s="19" t="inlineStr">
        <is>
          <t>Oct 25</t>
        </is>
      </c>
      <c r="C54" s="19" t="inlineStr">
        <is>
          <t>Locked</t>
        </is>
      </c>
      <c r="D54" s="14" t="n">
        <v>79300</v>
      </c>
      <c r="E54" s="14" t="n">
        <v>52288</v>
      </c>
      <c r="F54" s="14">
        <f>D54-E54</f>
        <v/>
      </c>
      <c r="G54" s="15">
        <f>IF(D54=0,"",F54/D54)</f>
        <v/>
      </c>
    </row>
    <row r="55">
      <c r="A55" s="19" t="inlineStr">
        <is>
          <t>Installations</t>
        </is>
      </c>
      <c r="B55" s="19" t="inlineStr">
        <is>
          <t>Nov 25</t>
        </is>
      </c>
      <c r="C55" s="19" t="inlineStr">
        <is>
          <t>Locked</t>
        </is>
      </c>
      <c r="D55" s="14" t="n">
        <v>126900</v>
      </c>
      <c r="E55" s="14" t="n">
        <v>87174</v>
      </c>
      <c r="F55" s="14">
        <f>D55-E55</f>
        <v/>
      </c>
      <c r="G55" s="15">
        <f>IF(D55=0,"",F55/D55)</f>
        <v/>
      </c>
    </row>
    <row r="56">
      <c r="A56" s="19" t="inlineStr">
        <is>
          <t>Installations</t>
        </is>
      </c>
      <c r="B56" s="19" t="inlineStr">
        <is>
          <t>Dec 25</t>
        </is>
      </c>
      <c r="C56" s="19" t="inlineStr">
        <is>
          <t>Locked</t>
        </is>
      </c>
      <c r="D56" s="14" t="n">
        <v>78100</v>
      </c>
      <c r="E56" s="14" t="n">
        <v>53408</v>
      </c>
      <c r="F56" s="14">
        <f>D56-E56</f>
        <v/>
      </c>
      <c r="G56" s="15">
        <f>IF(D56=0,"",F56/D56)</f>
        <v/>
      </c>
    </row>
    <row r="57">
      <c r="A57" s="19" t="inlineStr">
        <is>
          <t>Installations</t>
        </is>
      </c>
      <c r="B57" s="19" t="inlineStr">
        <is>
          <t>Jan 26</t>
        </is>
      </c>
      <c r="C57" s="19" t="inlineStr">
        <is>
          <t>Locked</t>
        </is>
      </c>
      <c r="D57" s="14" t="n">
        <v>109100</v>
      </c>
      <c r="E57" s="14" t="n">
        <v>74216</v>
      </c>
      <c r="F57" s="14">
        <f>D57-E57</f>
        <v/>
      </c>
      <c r="G57" s="15">
        <f>IF(D57=0,"",F57/D57)</f>
        <v/>
      </c>
    </row>
    <row r="58">
      <c r="A58" s="19" t="inlineStr">
        <is>
          <t>Installations</t>
        </is>
      </c>
      <c r="B58" s="19" t="inlineStr">
        <is>
          <t>Feb 26</t>
        </is>
      </c>
      <c r="C58" s="19" t="inlineStr">
        <is>
          <t>Locked</t>
        </is>
      </c>
      <c r="D58" s="14" t="n">
        <v>144800</v>
      </c>
      <c r="E58" s="14" t="n">
        <v>88896</v>
      </c>
      <c r="F58" s="14">
        <f>D58-E58</f>
        <v/>
      </c>
      <c r="G58" s="15">
        <f>IF(D58=0,"",F58/D58)</f>
        <v/>
      </c>
    </row>
    <row r="59">
      <c r="A59" s="19" t="inlineStr">
        <is>
          <t>Installations</t>
        </is>
      </c>
      <c r="B59" s="19" t="inlineStr">
        <is>
          <t>Mar 26</t>
        </is>
      </c>
      <c r="C59" s="19" t="inlineStr">
        <is>
          <t>Locked</t>
        </is>
      </c>
      <c r="D59" s="14" t="n">
        <v>144900</v>
      </c>
      <c r="E59" s="14" t="n">
        <v>94290</v>
      </c>
      <c r="F59" s="14">
        <f>D59-E59</f>
        <v/>
      </c>
      <c r="G59" s="15">
        <f>IF(D59=0,"",F59/D59)</f>
        <v/>
      </c>
    </row>
    <row r="60">
      <c r="A60" s="19" t="inlineStr">
        <is>
          <t>Call-outs and repairs</t>
        </is>
      </c>
      <c r="B60" s="19" t="inlineStr">
        <is>
          <t>Oct 24</t>
        </is>
      </c>
      <c r="C60" s="19" t="inlineStr">
        <is>
          <t>Locked</t>
        </is>
      </c>
      <c r="D60" s="14" t="n">
        <v>21764</v>
      </c>
      <c r="E60" s="14" t="n">
        <v>11484</v>
      </c>
      <c r="F60" s="14">
        <f>D60-E60</f>
        <v/>
      </c>
      <c r="G60" s="15">
        <f>IF(D60=0,"",F60/D60)</f>
        <v/>
      </c>
    </row>
    <row r="61">
      <c r="A61" s="19" t="inlineStr">
        <is>
          <t>Call-outs and repairs</t>
        </is>
      </c>
      <c r="B61" s="19" t="inlineStr">
        <is>
          <t>Nov 24</t>
        </is>
      </c>
      <c r="C61" s="19" t="inlineStr">
        <is>
          <t>Locked</t>
        </is>
      </c>
      <c r="D61" s="14" t="n">
        <v>25374</v>
      </c>
      <c r="E61" s="14" t="n">
        <v>13526</v>
      </c>
      <c r="F61" s="14">
        <f>D61-E61</f>
        <v/>
      </c>
      <c r="G61" s="15">
        <f>IF(D61=0,"",F61/D61)</f>
        <v/>
      </c>
    </row>
    <row r="62">
      <c r="A62" s="19" t="inlineStr">
        <is>
          <t>Call-outs and repairs</t>
        </is>
      </c>
      <c r="B62" s="19" t="inlineStr">
        <is>
          <t>Dec 24</t>
        </is>
      </c>
      <c r="C62" s="19" t="inlineStr">
        <is>
          <t>Locked</t>
        </is>
      </c>
      <c r="D62" s="14" t="n">
        <v>28056</v>
      </c>
      <c r="E62" s="14" t="n">
        <v>14988</v>
      </c>
      <c r="F62" s="14">
        <f>D62-E62</f>
        <v/>
      </c>
      <c r="G62" s="15">
        <f>IF(D62=0,"",F62/D62)</f>
        <v/>
      </c>
    </row>
    <row r="63">
      <c r="A63" s="19" t="inlineStr">
        <is>
          <t>Call-outs and repairs</t>
        </is>
      </c>
      <c r="B63" s="19" t="inlineStr">
        <is>
          <t>Jan 25</t>
        </is>
      </c>
      <c r="C63" s="19" t="inlineStr">
        <is>
          <t>Locked</t>
        </is>
      </c>
      <c r="D63" s="14" t="n">
        <v>29044</v>
      </c>
      <c r="E63" s="14" t="n">
        <v>15644</v>
      </c>
      <c r="F63" s="14">
        <f>D63-E63</f>
        <v/>
      </c>
      <c r="G63" s="15">
        <f>IF(D63=0,"",F63/D63)</f>
        <v/>
      </c>
    </row>
    <row r="64">
      <c r="A64" s="19" t="inlineStr">
        <is>
          <t>Call-outs and repairs</t>
        </is>
      </c>
      <c r="B64" s="19" t="inlineStr">
        <is>
          <t>Feb 25</t>
        </is>
      </c>
      <c r="C64" s="19" t="inlineStr">
        <is>
          <t>Locked</t>
        </is>
      </c>
      <c r="D64" s="14" t="n">
        <v>29290</v>
      </c>
      <c r="E64" s="14" t="n">
        <v>15600</v>
      </c>
      <c r="F64" s="14">
        <f>D64-E64</f>
        <v/>
      </c>
      <c r="G64" s="15">
        <f>IF(D64=0,"",F64/D64)</f>
        <v/>
      </c>
    </row>
    <row r="65">
      <c r="A65" s="19" t="inlineStr">
        <is>
          <t>Call-outs and repairs</t>
        </is>
      </c>
      <c r="B65" s="19" t="inlineStr">
        <is>
          <t>Mar 25</t>
        </is>
      </c>
      <c r="C65" s="19" t="inlineStr">
        <is>
          <t>Locked</t>
        </is>
      </c>
      <c r="D65" s="14" t="n">
        <v>22765</v>
      </c>
      <c r="E65" s="14" t="n">
        <v>12306</v>
      </c>
      <c r="F65" s="14">
        <f>D65-E65</f>
        <v/>
      </c>
      <c r="G65" s="15">
        <f>IF(D65=0,"",F65/D65)</f>
        <v/>
      </c>
    </row>
    <row r="66">
      <c r="A66" s="19" t="inlineStr">
        <is>
          <t>Call-outs and repairs</t>
        </is>
      </c>
      <c r="B66" s="19" t="inlineStr">
        <is>
          <t>Apr 25</t>
        </is>
      </c>
      <c r="C66" s="19" t="inlineStr">
        <is>
          <t>Locked</t>
        </is>
      </c>
      <c r="D66" s="14" t="n">
        <v>23665</v>
      </c>
      <c r="E66" s="14" t="n">
        <v>12762</v>
      </c>
      <c r="F66" s="14">
        <f>D66-E66</f>
        <v/>
      </c>
      <c r="G66" s="15">
        <f>IF(D66=0,"",F66/D66)</f>
        <v/>
      </c>
    </row>
    <row r="67">
      <c r="A67" s="19" t="inlineStr">
        <is>
          <t>Call-outs and repairs</t>
        </is>
      </c>
      <c r="B67" s="19" t="inlineStr">
        <is>
          <t>May 25</t>
        </is>
      </c>
      <c r="C67" s="19" t="inlineStr">
        <is>
          <t>Locked</t>
        </is>
      </c>
      <c r="D67" s="14" t="n">
        <v>23449</v>
      </c>
      <c r="E67" s="14" t="n">
        <v>12384</v>
      </c>
      <c r="F67" s="14">
        <f>D67-E67</f>
        <v/>
      </c>
      <c r="G67" s="15">
        <f>IF(D67=0,"",F67/D67)</f>
        <v/>
      </c>
    </row>
    <row r="68">
      <c r="A68" s="19" t="inlineStr">
        <is>
          <t>Call-outs and repairs</t>
        </is>
      </c>
      <c r="B68" s="19" t="inlineStr">
        <is>
          <t>Jun 25</t>
        </is>
      </c>
      <c r="C68" s="19" t="inlineStr">
        <is>
          <t>Locked</t>
        </is>
      </c>
      <c r="D68" s="14" t="n">
        <v>21245</v>
      </c>
      <c r="E68" s="14" t="n">
        <v>11162</v>
      </c>
      <c r="F68" s="14">
        <f>D68-E68</f>
        <v/>
      </c>
      <c r="G68" s="15">
        <f>IF(D68=0,"",F68/D68)</f>
        <v/>
      </c>
    </row>
    <row r="69">
      <c r="A69" s="19" t="inlineStr">
        <is>
          <t>Call-outs and repairs</t>
        </is>
      </c>
      <c r="B69" s="19" t="inlineStr">
        <is>
          <t>Jul 25</t>
        </is>
      </c>
      <c r="C69" s="19" t="inlineStr">
        <is>
          <t>Locked</t>
        </is>
      </c>
      <c r="D69" s="14" t="n">
        <v>19288</v>
      </c>
      <c r="E69" s="14" t="n">
        <v>9960</v>
      </c>
      <c r="F69" s="14">
        <f>D69-E69</f>
        <v/>
      </c>
      <c r="G69" s="15">
        <f>IF(D69=0,"",F69/D69)</f>
        <v/>
      </c>
    </row>
    <row r="70">
      <c r="A70" s="19" t="inlineStr">
        <is>
          <t>Call-outs and repairs</t>
        </is>
      </c>
      <c r="B70" s="19" t="inlineStr">
        <is>
          <t>Aug 25</t>
        </is>
      </c>
      <c r="C70" s="19" t="inlineStr">
        <is>
          <t>Locked</t>
        </is>
      </c>
      <c r="D70" s="14" t="n">
        <v>21418</v>
      </c>
      <c r="E70" s="14" t="n">
        <v>11222</v>
      </c>
      <c r="F70" s="14">
        <f>D70-E70</f>
        <v/>
      </c>
      <c r="G70" s="15">
        <f>IF(D70=0,"",F70/D70)</f>
        <v/>
      </c>
    </row>
    <row r="71">
      <c r="A71" s="19" t="inlineStr">
        <is>
          <t>Call-outs and repairs</t>
        </is>
      </c>
      <c r="B71" s="19" t="inlineStr">
        <is>
          <t>Sep 25</t>
        </is>
      </c>
      <c r="C71" s="19" t="inlineStr">
        <is>
          <t>Locked</t>
        </is>
      </c>
      <c r="D71" s="14" t="n">
        <v>21677</v>
      </c>
      <c r="E71" s="14" t="n">
        <v>11168</v>
      </c>
      <c r="F71" s="14">
        <f>D71-E71</f>
        <v/>
      </c>
      <c r="G71" s="15">
        <f>IF(D71=0,"",F71/D71)</f>
        <v/>
      </c>
    </row>
    <row r="72">
      <c r="A72" s="19" t="inlineStr">
        <is>
          <t>Call-outs and repairs</t>
        </is>
      </c>
      <c r="B72" s="19" t="inlineStr">
        <is>
          <t>Oct 25</t>
        </is>
      </c>
      <c r="C72" s="19" t="inlineStr">
        <is>
          <t>Locked</t>
        </is>
      </c>
      <c r="D72" s="14" t="n">
        <v>24166</v>
      </c>
      <c r="E72" s="14" t="n">
        <v>12648</v>
      </c>
      <c r="F72" s="14">
        <f>D72-E72</f>
        <v/>
      </c>
      <c r="G72" s="15">
        <f>IF(D72=0,"",F72/D72)</f>
        <v/>
      </c>
    </row>
    <row r="73">
      <c r="A73" s="19" t="inlineStr">
        <is>
          <t>Call-outs and repairs</t>
        </is>
      </c>
      <c r="B73" s="19" t="inlineStr">
        <is>
          <t>Nov 25</t>
        </is>
      </c>
      <c r="C73" s="19" t="inlineStr">
        <is>
          <t>Locked</t>
        </is>
      </c>
      <c r="D73" s="14" t="n">
        <v>27966</v>
      </c>
      <c r="E73" s="14" t="n">
        <v>14252</v>
      </c>
      <c r="F73" s="14">
        <f>D73-E73</f>
        <v/>
      </c>
      <c r="G73" s="15">
        <f>IF(D73=0,"",F73/D73)</f>
        <v/>
      </c>
    </row>
    <row r="74">
      <c r="A74" s="19" t="inlineStr">
        <is>
          <t>Call-outs and repairs</t>
        </is>
      </c>
      <c r="B74" s="19" t="inlineStr">
        <is>
          <t>Dec 25</t>
        </is>
      </c>
      <c r="C74" s="19" t="inlineStr">
        <is>
          <t>Locked</t>
        </is>
      </c>
      <c r="D74" s="14" t="n">
        <v>32083</v>
      </c>
      <c r="E74" s="14" t="n">
        <v>16702</v>
      </c>
      <c r="F74" s="14">
        <f>D74-E74</f>
        <v/>
      </c>
      <c r="G74" s="15">
        <f>IF(D74=0,"",F74/D74)</f>
        <v/>
      </c>
    </row>
    <row r="75">
      <c r="A75" s="19" t="inlineStr">
        <is>
          <t>Call-outs and repairs</t>
        </is>
      </c>
      <c r="B75" s="19" t="inlineStr">
        <is>
          <t>Jan 26</t>
        </is>
      </c>
      <c r="C75" s="19" t="inlineStr">
        <is>
          <t>Locked</t>
        </is>
      </c>
      <c r="D75" s="14" t="n">
        <v>34106</v>
      </c>
      <c r="E75" s="14" t="n">
        <v>17858</v>
      </c>
      <c r="F75" s="14">
        <f>D75-E75</f>
        <v/>
      </c>
      <c r="G75" s="15">
        <f>IF(D75=0,"",F75/D75)</f>
        <v/>
      </c>
    </row>
    <row r="76">
      <c r="A76" s="19" t="inlineStr">
        <is>
          <t>Call-outs and repairs</t>
        </is>
      </c>
      <c r="B76" s="19" t="inlineStr">
        <is>
          <t>Feb 26</t>
        </is>
      </c>
      <c r="C76" s="19" t="inlineStr">
        <is>
          <t>Locked</t>
        </is>
      </c>
      <c r="D76" s="14" t="n">
        <v>32108</v>
      </c>
      <c r="E76" s="14" t="n">
        <v>16608</v>
      </c>
      <c r="F76" s="14">
        <f>D76-E76</f>
        <v/>
      </c>
      <c r="G76" s="15">
        <f>IF(D76=0,"",F76/D76)</f>
        <v/>
      </c>
    </row>
    <row r="77">
      <c r="A77" s="19" t="inlineStr">
        <is>
          <t>Call-outs and repairs</t>
        </is>
      </c>
      <c r="B77" s="19" t="inlineStr">
        <is>
          <t>Mar 26</t>
        </is>
      </c>
      <c r="C77" s="19" t="inlineStr">
        <is>
          <t>Locked</t>
        </is>
      </c>
      <c r="D77" s="14" t="n">
        <v>26678</v>
      </c>
      <c r="E77" s="14" t="n">
        <v>13894</v>
      </c>
      <c r="F77" s="14">
        <f>D77-E77</f>
        <v/>
      </c>
      <c r="G77" s="15">
        <f>IF(D77=0,"",F77/D77)</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3" min="0" max="16383" man="1"/>
    <brk id="41" min="0" max="16383" man="1"/>
    <brk id="59"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2026-10-22T06:58:20Z</dcterms:created>
  <dcterms:modified xmlns:dcterms="http://purl.org/dc/terms/" xmlns:xsi="http://www.w3.org/2001/XMLSchema-instance" xsi:type="dcterms:W3CDTF">2026-10-22T06:58:20Z</dcterms:modified>
</cp:coreProperties>
</file>