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'Report'!$A$1:$D$58</definedName>
    <definedName name="_xlnm.Print_Area" localSheetId="1">'Workings'!$A$1:$B$54</definedName>
    <definedName name="_xlnm.Print_Titles" localSheetId="2">'Data'!$9:$9</definedName>
    <definedName name="_xlnm.Print_Area" localSheetId="2">'Data'!$A$1:$F$13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'Report'!$A$11:$A$14</f>
            </numRef>
          </cat>
          <val>
            <numRef>
              <f>'Report'!$B$11:$B$14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3" headerRowCount="1">
  <autoFilter ref="A9:F13"/>
  <tableColumns count="6">
    <tableColumn id="1" name="Program"/>
    <tableColumn id="2" name="Grant spending, Jan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 ht="32" customHeight="1">
      <c r="A5" s="3" t="inlineStr">
        <is>
          <t>In short: Housing support costs $57,236 in full in January: $26,734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January 2026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Digital literacy</t>
        </is>
      </c>
      <c r="B13" s="9">
        <f>Workings!B41</f>
        <v/>
      </c>
      <c r="C13" s="10">
        <f>Workings!B36</f>
        <v/>
      </c>
    </row>
    <row r="14">
      <c r="A14" t="inlineStr">
        <is>
          <t>Community meals (2025-26)</t>
        </is>
      </c>
      <c r="B14" s="9">
        <f>Workings!B54</f>
        <v/>
      </c>
      <c r="C14" s="10">
        <f>Workings!B49</f>
        <v/>
      </c>
    </row>
    <row r="15"/>
    <row r="16"/>
    <row r="17"/>
    <row r="18"/>
    <row r="19"/>
    <row r="20"/>
    <row r="21"/>
    <row r="22"/>
    <row r="23">
      <c r="A23" s="11" t="inlineStr">
        <is>
          <t>What it shows</t>
        </is>
      </c>
    </row>
    <row r="24" ht="45" customHeight="1">
      <c r="A24" s="4" t="inlineStr">
        <is>
          <t>Housing support is the biggest program: $57,236 in January once its share of untied program costs and administration is added to $30,502 of grant spending. Shared costs add 87.6% on top of grant spending across all programs.</t>
        </is>
      </c>
    </row>
    <row r="25"/>
    <row r="26">
      <c r="A26" s="11" t="inlineStr">
        <is>
          <t>What you'd do about it</t>
        </is>
      </c>
    </row>
    <row r="27" ht="30" customHeight="1">
      <c r="A27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28"/>
    <row r="29">
      <c r="A29" s="5" t="inlineStr">
        <is>
          <t>Program: Housing support</t>
        </is>
      </c>
    </row>
    <row r="30">
      <c r="A30" s="11" t="inlineStr">
        <is>
          <t>What it shows</t>
        </is>
      </c>
    </row>
    <row r="31" ht="45" customHeight="1">
      <c r="A31" s="4" t="inlineStr">
        <is>
          <t>Housing support cost $57,236 in full in January: $30,502 paid by the State Housing Program grant, and $26,734 of shared costs no grant covers. It has spent 101.7% of its budget to date, with $329,498 left and 11 months to go.</t>
        </is>
      </c>
    </row>
    <row r="32"/>
    <row r="33">
      <c r="A33" s="11" t="inlineStr">
        <is>
          <t>What you'd do about it</t>
        </is>
      </c>
    </row>
    <row r="34" ht="30" customHeight="1">
      <c r="A34" s="4" t="inlineStr">
        <is>
          <t>The full cost is $57,236 a month; $26,734 of it is shared cost the grant doesn't pay for. Worth asking for as much of it as the funder allows at renewal.</t>
        </is>
      </c>
    </row>
    <row r="35"/>
    <row r="36">
      <c r="A36" s="5" t="inlineStr">
        <is>
          <t>Program: Youth outreach</t>
        </is>
      </c>
    </row>
    <row r="37">
      <c r="A37" s="11" t="inlineStr">
        <is>
          <t>What it shows</t>
        </is>
      </c>
    </row>
    <row r="38" ht="45" customHeight="1">
      <c r="A38" s="4" t="inlineStr">
        <is>
          <t>Youth outreach cost $39,701 in full in January: $21,157 paid by the State Department of Families grant, and $18,544 of shared costs no grant covers. It has spent 99.6% of its budget to date, with $340,523 left and 17 months to go.</t>
        </is>
      </c>
    </row>
    <row r="39"/>
    <row r="40">
      <c r="A40" s="11" t="inlineStr">
        <is>
          <t>What you'd do about it</t>
        </is>
      </c>
    </row>
    <row r="41" ht="30" customHeight="1">
      <c r="A41" s="4" t="inlineStr">
        <is>
          <t>The full cost is $39,701 a month; $18,544 of it is shared cost the grant doesn't pay for. Worth asking for as much of it as the funder allows at renewal.</t>
        </is>
      </c>
    </row>
    <row r="42"/>
    <row r="43">
      <c r="A43" s="5" t="inlineStr">
        <is>
          <t>Program: Digital literacy</t>
        </is>
      </c>
    </row>
    <row r="44">
      <c r="A44" s="11" t="inlineStr">
        <is>
          <t>What it shows</t>
        </is>
      </c>
    </row>
    <row r="45" ht="45" customHeight="1">
      <c r="A45" s="4" t="inlineStr">
        <is>
          <t>Digital literacy cost $8,305 in full in January: $4,426 paid by the Philanthropic foundation grant, and $3,879 of shared costs no grant covers. It has spent 97.0% of its budget to date, with $70,608 left and 14 months to go.</t>
        </is>
      </c>
    </row>
    <row r="46"/>
    <row r="47">
      <c r="A47" s="11" t="inlineStr">
        <is>
          <t>What you'd do about it</t>
        </is>
      </c>
    </row>
    <row r="48" ht="30" customHeight="1">
      <c r="A48" s="4" t="inlineStr">
        <is>
          <t>The full cost is $8,305 a month; $3,879 of it is shared cost the grant doesn't pay for. Worth asking for as much of it as the funder allows at renewal.</t>
        </is>
      </c>
    </row>
    <row r="49"/>
    <row r="50">
      <c r="A50" s="5" t="inlineStr">
        <is>
          <t>Program: Community meals (2025-26)</t>
        </is>
      </c>
    </row>
    <row r="51">
      <c r="A51" s="11" t="inlineStr">
        <is>
          <t>What it shows</t>
        </is>
      </c>
    </row>
    <row r="52" ht="45" customHeight="1">
      <c r="A52" s="4" t="inlineStr">
        <is>
          <t>Community meals (2025-26) cost $6,943 in full in January: $3,700 paid by the Local council community grant grant, and $3,243 of shared costs no grant covers. It has spent 96.2% of its budget to date, with $19,300 left and 5 months to go.</t>
        </is>
      </c>
    </row>
    <row r="53"/>
    <row r="54">
      <c r="A54" s="11" t="inlineStr">
        <is>
          <t>What you'd do about it</t>
        </is>
      </c>
    </row>
    <row r="55" ht="30" customHeight="1">
      <c r="A55" s="4" t="inlineStr">
        <is>
          <t>The full cost is $6,943 a month; $3,243 of it is shared cost the grant doesn't pay for. Worth asking for as much of it as the funder allows at renewal.</t>
        </is>
      </c>
    </row>
    <row r="56"/>
    <row r="57">
      <c r="A57" s="5" t="inlineStr">
        <is>
          <t>Every program at once</t>
        </is>
      </c>
    </row>
    <row r="58">
      <c r="A58" s="12" t="inlineStr">
        <is>
          <t>Grant spending, by month: every month is on the Data sheet.</t>
        </is>
      </c>
    </row>
    <row r="59"/>
    <row r="60"/>
  </sheetData>
  <mergeCells count="12">
    <mergeCell ref="A5:D5"/>
    <mergeCell ref="A45:D45"/>
    <mergeCell ref="A27:D27"/>
    <mergeCell ref="A31:D31"/>
    <mergeCell ref="A6:D6"/>
    <mergeCell ref="A34:D34"/>
    <mergeCell ref="A48:D48"/>
    <mergeCell ref="A38:D38"/>
    <mergeCell ref="A55:D55"/>
    <mergeCell ref="A52:D52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5" t="inlineStr">
        <is>
          <t>Housing support: full cost, January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Jan 2026</t>
        </is>
      </c>
    </row>
    <row r="8">
      <c r="A8" t="inlineStr">
        <is>
          <t>Grant spending on the program</t>
        </is>
      </c>
      <c r="B8" s="13" t="n">
        <v>30502</v>
      </c>
    </row>
    <row r="9">
      <c r="A9" t="inlineStr">
        <is>
          <t>All grant-funded program spending</t>
        </is>
      </c>
      <c r="B9" s="13" t="n">
        <v>59785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17000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35400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January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Jan 2026</t>
        </is>
      </c>
    </row>
    <row r="21">
      <c r="A21" t="inlineStr">
        <is>
          <t>Grant spending on the program</t>
        </is>
      </c>
      <c r="B21" s="13" t="n">
        <v>21157</v>
      </c>
    </row>
    <row r="22">
      <c r="A22" t="inlineStr">
        <is>
          <t>All grant-funded program spending</t>
        </is>
      </c>
      <c r="B22" s="13" t="n">
        <v>59785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17000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35400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Digital literacy: full cost, January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Jan 2026</t>
        </is>
      </c>
    </row>
    <row r="34">
      <c r="A34" t="inlineStr">
        <is>
          <t>Grant spending on the program</t>
        </is>
      </c>
      <c r="B34" s="13" t="n">
        <v>4426</v>
      </c>
    </row>
    <row r="35">
      <c r="A35" t="inlineStr">
        <is>
          <t>All grant-funded program spending</t>
        </is>
      </c>
      <c r="B35" s="13" t="n">
        <v>59785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17000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35400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Community meals (2025-26): full cost, January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Jan 2026</t>
        </is>
      </c>
    </row>
    <row r="47">
      <c r="A47" t="inlineStr">
        <is>
          <t>Grant spending on the program</t>
        </is>
      </c>
      <c r="B47" s="13" t="n">
        <v>3700</v>
      </c>
    </row>
    <row r="48">
      <c r="A48" t="inlineStr">
        <is>
          <t>All grant-funded program spending</t>
        </is>
      </c>
      <c r="B48" s="13" t="n">
        <v>59785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17000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35400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t="inlineStr">
        <is>
          <t>All grant-funded program spending, January 2026</t>
        </is>
      </c>
      <c r="B5" s="9" t="n">
        <v>59785</v>
      </c>
    </row>
    <row r="6">
      <c r="A6" t="inlineStr">
        <is>
          <t>Untied program costs, January 2026 (all programs)</t>
        </is>
      </c>
      <c r="B6" s="9" t="n">
        <v>17000</v>
      </c>
    </row>
    <row r="7">
      <c r="A7" t="inlineStr">
        <is>
          <t>Administration, January 2026 (all)</t>
        </is>
      </c>
      <c r="B7" s="9" t="n">
        <v>35400</v>
      </c>
    </row>
    <row r="8"/>
    <row r="9">
      <c r="A9" s="7" t="inlineStr">
        <is>
          <t>Program</t>
        </is>
      </c>
      <c r="B9" s="8" t="inlineStr">
        <is>
          <t>Grant spending, Jan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30502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21157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Digital literacy</t>
        </is>
      </c>
      <c r="B12" s="13" t="n">
        <v>4426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Community meals (2025-26)</t>
        </is>
      </c>
      <c r="B13" s="13" t="n">
        <v>3700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