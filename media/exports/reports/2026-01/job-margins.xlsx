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January_All_jobs">'Report'!$B$16</definedName>
    <definedName name="Job_gross_margin_December_All_jobs">'Report'!$B$17</definedName>
    <definedName name="Gross_margin_jobs_need_to_break_even">'Report'!$B$18</definedName>
    <definedName name="Job_gross_margin_January_Maintenance_contracts">'Report'!$B$42</definedName>
    <definedName name="Job_gross_margin_December_Maintenance_contracts">'Report'!$B$43</definedName>
    <definedName name="Gross_margin_jobs_need_to_break_even_2">'Report'!$B$44</definedName>
    <definedName name="Job_gross_margin_January_Installations">'Report'!$B$78</definedName>
    <definedName name="Job_gross_margin_December_Installations">'Report'!$B$79</definedName>
    <definedName name="Gross_margin_jobs_need_to_break_even_3">'Report'!$B$80</definedName>
    <definedName name="Job_gross_margin_January_Call_outs_and_repairs">'Report'!$B$104</definedName>
    <definedName name="Job_gross_margin_December_Call_outs_and_repairs">'Report'!$B$105</definedName>
    <definedName name="Gross_margin_jobs_need_to_break_even_4">'Report'!$B$106</definedName>
    <definedName name="Technician_time_charged_January">'Report'!$B$107</definedName>
    <definedName name="Materials_charged_January">'Report'!$B$108</definedName>
    <definedName name="_xlnm.Print_Area" localSheetId="0">'Report'!$A$1:$D$133</definedName>
    <definedName name="_xlnm.Print_Area" localSheetId="1">'Workings'!$A$1:$C$509</definedName>
    <definedName name="_xlnm.Print_Titles" localSheetId="3">'Data'!$5:$5</definedName>
    <definedName name="_xlnm.Print_Area" localSheetId="3">'Data'!$A$1:$G$69</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36999999999999"/>
          <min val="0"/>
        </scaling>
        <delete val="1"/>
        <axPos val="l"/>
        <numFmt formatCode="0.0%" sourceLinked="0"/>
        <majorTickMark val="none"/>
        <minorTickMark val="none"/>
        <crossAx val="10"/>
      </valAx>
      <valAx>
        <axId val="500"/>
        <scaling>
          <orientation val="minMax"/>
          <max val="0.7336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'Report'!$A$48:$A$59</f>
            </numRef>
          </cat>
          <val>
            <numRef>
              <f>'Report'!$B$48:$B$59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486499999999998"/>
          <min val="0"/>
        </scaling>
        <delete val="1"/>
        <axPos val="l"/>
        <numFmt formatCode="0.0%" sourceLinked="0"/>
        <majorTickMark val="none"/>
        <minorTickMark val="none"/>
        <crossAx val="10"/>
      </valAx>
      <valAx>
        <axId val="500"/>
        <scaling>
          <orientation val="minMax"/>
          <max val="0.748649999999999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Pt>
            <idx val="3"/>
            <spPr>
              <a:solidFill xmlns:a="http://schemas.openxmlformats.org/drawingml/2006/main">
                <a:srgbClr val="7D8790"/>
              </a:solidFill>
              <a:ln xmlns:a="http://schemas.openxmlformats.org/drawingml/2006/main">
                <a:solidFill>
                  <a:srgbClr val="7D8790"/>
                </a:solidFill>
                <a:prstDash val="solid"/>
              </a:ln>
            </spPr>
          </dPt>
          <dPt>
            <idx val="4"/>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'Report'!$A$84:$A$88</f>
            </numRef>
          </cat>
          <val>
            <numRef>
              <f>'Report'!$B$84:$B$88</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209499999999999"/>
          <min val="0"/>
        </scaling>
        <delete val="1"/>
        <axPos val="l"/>
        <numFmt formatCode="0.0%" sourceLinked="0"/>
        <majorTickMark val="none"/>
        <minorTickMark val="none"/>
        <crossAx val="10"/>
      </valAx>
      <valAx>
        <axId val="500"/>
        <scaling>
          <orientation val="minMax"/>
          <max val="0.5209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'Report'!$A$112:$A$117</f>
            </numRef>
          </cat>
          <val>
            <numRef>
              <f>'Report'!$B$112:$B$117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841999999999999"/>
          <min val="0"/>
        </scaling>
        <delete val="1"/>
        <axPos val="l"/>
        <numFmt formatCode="0.0%" sourceLinked="0"/>
        <majorTickMark val="none"/>
        <minorTickMark val="none"/>
        <crossAx val="10"/>
      </valAx>
      <valAx>
        <axId val="500"/>
        <scaling>
          <orientation val="minMax"/>
          <max val="0.5841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'Data'!$B$6:$B$21</f>
            </numRef>
          </cat>
          <val>
            <numRef>
              <f>'Data'!$D$6:$D$21</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'Data'!$B$6:$B$21</f>
            </numRef>
          </cat>
          <val>
            <numRef>
              <f>'Data'!$D$22:$D$37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'Data'!$B$6:$B$21</f>
            </numRef>
          </cat>
          <val>
            <numRef>
              <f>'Data'!$D$38:$D$53</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'Data'!$B$6:$B$21</f>
            </numRef>
          </cat>
          <val>
            <numRef>
              <f>'Data'!$D$54:$D$69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17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82</row>
      <rowOff>0</rowOff>
    </from>
    <ext cx="5400000" cy="228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110</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69" headerRowCount="1">
  <autoFilter ref="A5:G6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January 2026 · Data status: Jan 2026 locked (data retrieved 2pm, Tue 6 Oct 2026) · Generated 22 Oct 2026, 4:57pm</t>
        </is>
      </c>
    </row>
    <row r="4"/>
    <row r="5" ht="32" customHeight="1">
      <c r="A5" s="3" t="inlineStr">
        <is>
          <t>In short: Jobs made a 41.9% gross margin in January: maintenance contracts the most (63.8%), installations the least (32.0%).</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January's jobs made $76,716 gross margin (41.9%). Technician time not charged to jobs took $22,372 and overheads $58,730, leaving ($4,386) profit before tax ((2.4%) of revenue). To cover overheads, jobs need a 44.2%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January · All jobs</t>
        </is>
      </c>
      <c r="B16" s="9">
        <f>Workings!B28</f>
        <v/>
      </c>
      <c r="C16" s="10" t="inlineStr">
        <is>
          <t>target 35.0%</t>
        </is>
      </c>
    </row>
    <row r="17">
      <c r="A17" t="inlineStr">
        <is>
          <t>Job gross margin, December · All jobs</t>
        </is>
      </c>
      <c r="B17" s="9">
        <f>Workings!C37</f>
        <v/>
      </c>
      <c r="C17" s="10" t="inlineStr">
        <is>
          <t>target 35.0%</t>
        </is>
      </c>
    </row>
    <row r="18">
      <c r="A18" t="inlineStr">
        <is>
          <t>Gross margin jobs need to break even</t>
        </is>
      </c>
      <c r="B18" s="9">
        <f>Workings!B53</f>
        <v/>
      </c>
      <c r="C18" s="10" t="inlineStr">
        <is>
          <t>covers overheads and time not charged (January)</t>
        </is>
      </c>
    </row>
    <row r="19"/>
    <row r="20">
      <c r="A20" s="11" t="inlineStr">
        <is>
          <t>Job gross margin by type of job, January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January maintenance contracts made a 63.8% job gross margin, installations made a 32.0% job gross margin, call-outs and repairs made a 47.6% job gross margin (technician time at $68 an hour, wages and all on-costs). Jobs need 44.2% just to cover overheads.</t>
        </is>
      </c>
    </row>
    <row r="36"/>
    <row r="37">
      <c r="A37" s="5" t="inlineStr">
        <is>
          <t>What you'd do about it</t>
        </is>
      </c>
    </row>
    <row r="38" ht="60" customHeight="1">
      <c r="A38" s="4" t="inlineStr">
        <is>
          <t>Installations: 32.0% gross margin, 3.0 points under the 35.0% target: about $3,301 on $109,100 of revenue in January. It's below the 44.2% needed to cover overheads, too. Maintenance contracts: 63.8% gross margin, 28.8 points over the 35.0% target ($11,549 ahead on $40,100 in January).</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January · Maintenance contracts</t>
        </is>
      </c>
      <c r="B42" s="9">
        <f>Workings!B90</f>
        <v/>
      </c>
      <c r="C42" s="10" t="inlineStr">
        <is>
          <t>target 35.0%</t>
        </is>
      </c>
    </row>
    <row r="43">
      <c r="A43" t="inlineStr">
        <is>
          <t>Job gross margin, December · Maintenance contracts</t>
        </is>
      </c>
      <c r="B43" s="9">
        <f>Workings!B99</f>
        <v/>
      </c>
      <c r="C43" s="10" t="inlineStr">
        <is>
          <t>target 35.0%</t>
        </is>
      </c>
    </row>
    <row r="44">
      <c r="A44" t="inlineStr">
        <is>
          <t>Gross margin jobs need to break even</t>
        </is>
      </c>
      <c r="B44" s="9">
        <f>Workings!B115</f>
        <v/>
      </c>
      <c r="C44" s="10" t="inlineStr">
        <is>
          <t>covers overheads and time not charged (January)</t>
        </is>
      </c>
    </row>
    <row r="45"/>
    <row r="46">
      <c r="A46" s="11" t="inlineStr">
        <is>
          <t>Job gross margin on each maintenance contract, January 2026</t>
        </is>
      </c>
    </row>
    <row r="47">
      <c r="A47" s="7" t="inlineStr"/>
      <c r="B47" s="8" t="inlineStr">
        <is>
          <t>Gross margin %</t>
        </is>
      </c>
      <c r="C47" s="8" t="inlineStr">
        <is>
          <t>Gross margin $</t>
        </is>
      </c>
    </row>
    <row r="48">
      <c r="A48" t="inlineStr">
        <is>
          <t>Wynnum medical centre</t>
        </is>
      </c>
      <c r="B48" s="9">
        <f>Workings!B129</f>
        <v/>
      </c>
      <c r="C48" s="12">
        <f>Workings!B128</f>
        <v/>
      </c>
    </row>
    <row r="49">
      <c r="A49" t="inlineStr">
        <is>
          <t>Ashgrove aged care</t>
        </is>
      </c>
      <c r="B49" s="9">
        <f>Workings!B142</f>
        <v/>
      </c>
      <c r="C49" s="12">
        <f>Workings!B141</f>
        <v/>
      </c>
    </row>
    <row r="50">
      <c r="A50" t="inlineStr">
        <is>
          <t>Riverside Apartments (strata)</t>
        </is>
      </c>
      <c r="B50" s="9">
        <f>Workings!B155</f>
        <v/>
      </c>
      <c r="C50" s="12">
        <f>Workings!B154</f>
        <v/>
      </c>
    </row>
    <row r="51">
      <c r="A51" t="inlineStr">
        <is>
          <t>Newstead gym</t>
        </is>
      </c>
      <c r="B51" s="9">
        <f>Workings!B168</f>
        <v/>
      </c>
      <c r="C51" s="12">
        <f>Workings!B167</f>
        <v/>
      </c>
    </row>
    <row r="52">
      <c r="A52" t="inlineStr">
        <is>
          <t>Fortitude Valley hotel</t>
        </is>
      </c>
      <c r="B52" s="9">
        <f>Workings!B181</f>
        <v/>
      </c>
      <c r="C52" s="12">
        <f>Workings!B180</f>
        <v/>
      </c>
    </row>
    <row r="53">
      <c r="A53" t="inlineStr">
        <is>
          <t>Southbank cafe group</t>
        </is>
      </c>
      <c r="B53" s="9">
        <f>Workings!B194</f>
        <v/>
      </c>
      <c r="C53" s="12">
        <f>Workings!B193</f>
        <v/>
      </c>
    </row>
    <row r="54">
      <c r="A54" t="inlineStr">
        <is>
          <t>Chermside retail centre</t>
        </is>
      </c>
      <c r="B54" s="9">
        <f>Workings!B207</f>
        <v/>
      </c>
      <c r="C54" s="12">
        <f>Workings!B206</f>
        <v/>
      </c>
    </row>
    <row r="55">
      <c r="A55" t="inlineStr">
        <is>
          <t>Bulimba school</t>
        </is>
      </c>
      <c r="B55" s="9">
        <f>Workings!B220</f>
        <v/>
      </c>
      <c r="C55" s="12">
        <f>Workings!B219</f>
        <v/>
      </c>
    </row>
    <row r="56">
      <c r="A56" t="inlineStr">
        <is>
          <t>Milton office tower</t>
        </is>
      </c>
      <c r="B56" s="9">
        <f>Workings!B233</f>
        <v/>
      </c>
      <c r="C56" s="12">
        <f>Workings!B232</f>
        <v/>
      </c>
    </row>
    <row r="57">
      <c r="A57" t="inlineStr">
        <is>
          <t>West End brewery</t>
        </is>
      </c>
      <c r="B57" s="9">
        <f>Workings!B246</f>
        <v/>
      </c>
      <c r="C57" s="12">
        <f>Workings!B245</f>
        <v/>
      </c>
    </row>
    <row r="58">
      <c r="A58" t="inlineStr">
        <is>
          <t>Rocklea factory</t>
        </is>
      </c>
      <c r="B58" s="9">
        <f>Workings!B259</f>
        <v/>
      </c>
      <c r="C58" s="12">
        <f>Workings!B258</f>
        <v/>
      </c>
    </row>
    <row r="59">
      <c r="A59" t="inlineStr">
        <is>
          <t>Kangaroo Point townhouses</t>
        </is>
      </c>
      <c r="B59" s="9">
        <f>Workings!B272</f>
        <v/>
      </c>
      <c r="C59" s="12">
        <f>Workings!B271</f>
        <v/>
      </c>
    </row>
    <row r="60"/>
    <row r="61"/>
    <row r="62"/>
    <row r="63"/>
    <row r="64"/>
    <row r="65"/>
    <row r="66"/>
    <row r="67"/>
    <row r="68"/>
    <row r="69"/>
    <row r="70">
      <c r="A70" s="5" t="inlineStr">
        <is>
          <t>What it shows</t>
        </is>
      </c>
    </row>
    <row r="71" ht="30" customHeight="1">
      <c r="A71" s="4" t="inlineStr">
        <is>
          <t>All 12 contracts made more than the 35.0% job gross margin target. The thinnest was Kangaroo Point townhouses at 62.9% job gross margin: 14.0 h of technician time on a $2,700 monthly fee.</t>
        </is>
      </c>
    </row>
    <row r="72"/>
    <row r="73">
      <c r="A73" s="5" t="inlineStr">
        <is>
          <t>What you'd do about it</t>
        </is>
      </c>
    </row>
    <row r="74" ht="45" customHeight="1">
      <c r="A74" s="4" t="inlineStr">
        <is>
          <t>The thinnest, Kangaroo Point townhouses: 62.9% gross margin, 27.9 points over the 35.0% target ($753 ahead on $2,700 in January). All maintenance contracts: 63.8% gross margin, 28.8 points over the 35.0% target ($11,549 ahead on $40,100 in January).</t>
        </is>
      </c>
    </row>
    <row r="75"/>
    <row r="76">
      <c r="A76" s="6" t="inlineStr">
        <is>
          <t>Type of job: Installations</t>
        </is>
      </c>
    </row>
    <row r="77">
      <c r="A77" s="7" t="inlineStr">
        <is>
          <t>Headline number</t>
        </is>
      </c>
      <c r="B77" s="8" t="inlineStr">
        <is>
          <t>Value</t>
        </is>
      </c>
      <c r="C77" s="8" t="inlineStr">
        <is>
          <t>Compared with</t>
        </is>
      </c>
    </row>
    <row r="78">
      <c r="A78" t="inlineStr">
        <is>
          <t>Job gross margin, January · Installations</t>
        </is>
      </c>
      <c r="B78" s="9">
        <f>Workings!B281</f>
        <v/>
      </c>
      <c r="C78" s="10" t="inlineStr">
        <is>
          <t>target 35.0%</t>
        </is>
      </c>
    </row>
    <row r="79">
      <c r="A79" t="inlineStr">
        <is>
          <t>Job gross margin, December · Installations</t>
        </is>
      </c>
      <c r="B79" s="9">
        <f>Workings!C290</f>
        <v/>
      </c>
      <c r="C79" s="10" t="inlineStr">
        <is>
          <t>target 35.0%</t>
        </is>
      </c>
    </row>
    <row r="80">
      <c r="A80" t="inlineStr">
        <is>
          <t>Gross margin jobs need to break even</t>
        </is>
      </c>
      <c r="B80" s="9">
        <f>Workings!B306</f>
        <v/>
      </c>
      <c r="C80" s="10" t="inlineStr">
        <is>
          <t>covers overheads and time not charged (January)</t>
        </is>
      </c>
    </row>
    <row r="81"/>
    <row r="82">
      <c r="A82" s="11" t="inlineStr">
        <is>
          <t>Job gross margin on each installation invoiced in January 2026</t>
        </is>
      </c>
    </row>
    <row r="83">
      <c r="A83" s="7" t="inlineStr"/>
      <c r="B83" s="8" t="inlineStr">
        <is>
          <t>Gross margin %</t>
        </is>
      </c>
      <c r="C83" s="8" t="inlineStr">
        <is>
          <t>Gross margin $</t>
        </is>
      </c>
    </row>
    <row r="84">
      <c r="A84" t="inlineStr">
        <is>
          <t>Chermside shop data cabling</t>
        </is>
      </c>
      <c r="B84" s="9">
        <f>Workings!B320</f>
        <v/>
      </c>
      <c r="C84" s="12">
        <f>Workings!B319</f>
        <v/>
      </c>
    </row>
    <row r="85">
      <c r="A85" t="inlineStr">
        <is>
          <t>Wynnum office data cabling</t>
        </is>
      </c>
      <c r="B85" s="9">
        <f>Workings!B333</f>
        <v/>
      </c>
      <c r="C85" s="12">
        <f>Workings!B332</f>
        <v/>
      </c>
    </row>
    <row r="86">
      <c r="A86" t="inlineStr">
        <is>
          <t>Milton townhouses switchboard upgrade</t>
        </is>
      </c>
      <c r="B86" s="9">
        <f>Workings!B346</f>
        <v/>
      </c>
      <c r="C86" s="12">
        <f>Workings!B345</f>
        <v/>
      </c>
    </row>
    <row r="87">
      <c r="A87" t="inlineStr">
        <is>
          <t>West End factory switchboard upgrade</t>
        </is>
      </c>
      <c r="B87" s="9">
        <f>Workings!B359</f>
        <v/>
      </c>
      <c r="C87" s="12">
        <f>Workings!B358</f>
        <v/>
      </c>
    </row>
    <row r="88">
      <c r="A88" t="inlineStr">
        <is>
          <t>Mount Gravatt clinic solar and battery</t>
        </is>
      </c>
      <c r="B88" s="9">
        <f>Workings!B372</f>
        <v/>
      </c>
      <c r="C88" s="12">
        <f>Workings!B371</f>
        <v/>
      </c>
    </row>
    <row r="89"/>
    <row r="90"/>
    <row r="91"/>
    <row r="92"/>
    <row r="93"/>
    <row r="94"/>
    <row r="95"/>
    <row r="96">
      <c r="A96" s="5" t="inlineStr">
        <is>
          <t>What it shows</t>
        </is>
      </c>
    </row>
    <row r="97" ht="60" customHeight="1">
      <c r="A97" s="4" t="inlineStr">
        <is>
          <t>3 of the 5 installation jobs invoiced in January made less than the 35.0% job gross margin target. The Mount Gravatt clinic solar and battery made a 19.6% job gross margin: 110.0 h of technician time ($7,480) and $3,000 of subcontractors on a $30,200 job. Jobs need 44.2% gross margin just to cover overheads.</t>
        </is>
      </c>
    </row>
    <row r="98"/>
    <row r="99">
      <c r="A99" s="5" t="inlineStr">
        <is>
          <t>What you'd do about it</t>
        </is>
      </c>
    </row>
    <row r="100" ht="60" customHeight="1">
      <c r="A100" s="4" t="inlineStr">
        <is>
          <t>3 installations under the 35.0% target, worth about $5,859 between them on $75,900 of revenue. The biggest gap, Mount Gravatt clinic solar and battery: 19.6% gross margin, 15.4 points under the 35.0% target: about $4,650 on $30,200 of revenue in January. It's below the 44.2% needed to cover overheads, too.</t>
        </is>
      </c>
    </row>
    <row r="101"/>
    <row r="102">
      <c r="A102" s="6" t="inlineStr">
        <is>
          <t>Type of job: Call-outs and repairs</t>
        </is>
      </c>
    </row>
    <row r="103">
      <c r="A103" s="7" t="inlineStr">
        <is>
          <t>Headline number</t>
        </is>
      </c>
      <c r="B103" s="8" t="inlineStr">
        <is>
          <t>Value</t>
        </is>
      </c>
      <c r="C103" s="8" t="inlineStr">
        <is>
          <t>Compared with</t>
        </is>
      </c>
    </row>
    <row r="104">
      <c r="A104" t="inlineStr">
        <is>
          <t>Job gross margin, January · Call-outs and repairs</t>
        </is>
      </c>
      <c r="B104" s="9">
        <f>Workings!B381</f>
        <v/>
      </c>
      <c r="C104" s="10" t="inlineStr">
        <is>
          <t>target 35.0%</t>
        </is>
      </c>
    </row>
    <row r="105">
      <c r="A105" t="inlineStr">
        <is>
          <t>Job gross margin, December · Call-outs and repairs</t>
        </is>
      </c>
      <c r="B105" s="9">
        <f>Workings!C390</f>
        <v/>
      </c>
      <c r="C105" s="10" t="inlineStr">
        <is>
          <t>target 35.0%</t>
        </is>
      </c>
    </row>
    <row r="106">
      <c r="A106" t="inlineStr">
        <is>
          <t>Gross margin jobs need to break even</t>
        </is>
      </c>
      <c r="B106" s="9">
        <f>Workings!B406</f>
        <v/>
      </c>
      <c r="C106" s="10" t="inlineStr">
        <is>
          <t>covers overheads and time not charged (January)</t>
        </is>
      </c>
    </row>
    <row r="107">
      <c r="A107" t="inlineStr">
        <is>
          <t>Technician time charged, January</t>
        </is>
      </c>
      <c r="B107" s="12">
        <f>Workings!B413</f>
        <v/>
      </c>
      <c r="C107" s="10" t="inlineStr">
        <is>
          <t>69.8% of call-out revenue</t>
        </is>
      </c>
    </row>
    <row r="108">
      <c r="A108" t="inlineStr">
        <is>
          <t>Materials charged, January</t>
        </is>
      </c>
      <c r="B108" s="12">
        <f>Workings!B429</f>
        <v/>
      </c>
      <c r="C108" s="10" t="inlineStr">
        <is>
          <t>$7,930 at cost, plus 30%</t>
        </is>
      </c>
    </row>
    <row r="109"/>
    <row r="110">
      <c r="A110" s="11" t="inlineStr">
        <is>
          <t>Job gross margin on call-outs by length, January 2026</t>
        </is>
      </c>
    </row>
    <row r="111">
      <c r="A111" s="7" t="inlineStr"/>
      <c r="B111" s="8" t="inlineStr">
        <is>
          <t>Gross margin %</t>
        </is>
      </c>
      <c r="C111" s="8" t="inlineStr">
        <is>
          <t>Gross margin $</t>
        </is>
      </c>
    </row>
    <row r="112">
      <c r="A112" t="inlineStr">
        <is>
          <t>1-hour call-outs (7)</t>
        </is>
      </c>
      <c r="B112" s="9">
        <f>Workings!B444</f>
        <v/>
      </c>
      <c r="C112" s="12">
        <f>Workings!B443</f>
        <v/>
      </c>
    </row>
    <row r="113">
      <c r="A113" t="inlineStr">
        <is>
          <t>1.5-hour call-outs (11)</t>
        </is>
      </c>
      <c r="B113" s="9">
        <f>Workings!B457</f>
        <v/>
      </c>
      <c r="C113" s="12">
        <f>Workings!B456</f>
        <v/>
      </c>
    </row>
    <row r="114">
      <c r="A114" t="inlineStr">
        <is>
          <t>2-hour call-outs (8)</t>
        </is>
      </c>
      <c r="B114" s="9">
        <f>Workings!B470</f>
        <v/>
      </c>
      <c r="C114" s="12">
        <f>Workings!B469</f>
        <v/>
      </c>
    </row>
    <row r="115">
      <c r="A115" t="inlineStr">
        <is>
          <t>2.5-hour call-outs (11)</t>
        </is>
      </c>
      <c r="B115" s="9">
        <f>Workings!B483</f>
        <v/>
      </c>
      <c r="C115" s="12">
        <f>Workings!B482</f>
        <v/>
      </c>
    </row>
    <row r="116">
      <c r="A116" t="inlineStr">
        <is>
          <t>3-hour call-outs (21)</t>
        </is>
      </c>
      <c r="B116" s="9">
        <f>Workings!B496</f>
        <v/>
      </c>
      <c r="C116" s="12">
        <f>Workings!B495</f>
        <v/>
      </c>
    </row>
    <row r="117">
      <c r="A117" t="inlineStr">
        <is>
          <t>4-hour call-outs (4)</t>
        </is>
      </c>
      <c r="B117" s="9">
        <f>Workings!B509</f>
        <v/>
      </c>
      <c r="C117" s="12">
        <f>Workings!B508</f>
        <v/>
      </c>
    </row>
    <row r="118"/>
    <row r="119"/>
    <row r="120"/>
    <row r="121"/>
    <row r="122"/>
    <row r="123"/>
    <row r="124"/>
    <row r="125"/>
    <row r="126">
      <c r="A126" s="5" t="inlineStr">
        <is>
          <t>What it shows</t>
        </is>
      </c>
    </row>
    <row r="127" ht="60" customHeight="1">
      <c r="A127" s="4" t="inlineStr">
        <is>
          <t>62 call-outs in January billed $23,797 of technician time and $10,309 of materials ($7,930 at cost plus 30%), and made a 47.6% job gross margin between them. Gross margins run from 40.7% to 50.8% by length: the hourly rate covers technician time comfortably, so the gross margin mostly moves with how much material goes on the van.</t>
        </is>
      </c>
    </row>
    <row r="128"/>
    <row r="129">
      <c r="A129" s="5" t="inlineStr">
        <is>
          <t>What you'd do about it</t>
        </is>
      </c>
    </row>
    <row r="130" ht="30" customHeight="1">
      <c r="A130" s="4" t="inlineStr">
        <is>
          <t>All call-outs: 47.6% gross margin, 12.6 points over the 35.0% target ($4,311 ahead on $34,106 in January).</t>
        </is>
      </c>
    </row>
    <row r="131"/>
    <row r="132">
      <c r="A132" s="6" t="inlineStr">
        <is>
          <t>Every type of job at once</t>
        </is>
      </c>
    </row>
    <row r="133">
      <c r="A133" s="13" t="inlineStr">
        <is>
          <t>Job gross margin by month: every month is on the Data sheet.</t>
        </is>
      </c>
    </row>
    <row r="134"/>
    <row r="135"/>
  </sheetData>
  <mergeCells count="12">
    <mergeCell ref="A5:D5"/>
    <mergeCell ref="A9:D9"/>
    <mergeCell ref="A6:D6"/>
    <mergeCell ref="A74:D74"/>
    <mergeCell ref="A97:D97"/>
    <mergeCell ref="A12:D12"/>
    <mergeCell ref="A35:D35"/>
    <mergeCell ref="A100:D100"/>
    <mergeCell ref="A127:D127"/>
    <mergeCell ref="A38:D38"/>
    <mergeCell ref="A130:D130"/>
    <mergeCell ref="A71:D7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69" min="0" max="16383" man="1"/>
    <brk id="95" min="0" max="16383" man="1"/>
    <brk id="109"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12"/>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January 2026 · Data status: Jan 2026 locked (data retrieved 2pm, Tue 6 Oct 2026) · Generated 22 Oct 2026, 4:57pm</t>
        </is>
      </c>
    </row>
    <row r="4"/>
    <row r="5">
      <c r="A5" s="6" t="inlineStr">
        <is>
          <t>Trades: From gross margin to profit, January 2026</t>
        </is>
      </c>
    </row>
    <row r="6">
      <c r="A6" s="13" t="inlineStr">
        <is>
          <t>Gross margin on the work − time not charged − overheads = profit before tax</t>
        </is>
      </c>
    </row>
    <row r="7">
      <c r="A7" s="7" t="inlineStr"/>
      <c r="B7" s="8" t="inlineStr">
        <is>
          <t>Jan 2026</t>
        </is>
      </c>
    </row>
    <row r="8">
      <c r="A8" t="inlineStr">
        <is>
          <t>Gross margin on jobs</t>
        </is>
      </c>
      <c r="B8" s="14" t="n">
        <v>76716</v>
      </c>
    </row>
    <row r="9">
      <c r="A9" t="inlineStr">
        <is>
          <t>Technician wages and on-costs</t>
        </is>
      </c>
      <c r="B9" s="14" t="n">
        <v>72352</v>
      </c>
    </row>
    <row r="10">
      <c r="A10" t="inlineStr">
        <is>
          <t>Technician time charged to jobs (at cost)</t>
        </is>
      </c>
      <c r="B10" s="14" t="n">
        <v>49980</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58730</v>
      </c>
    </row>
    <row r="14">
      <c r="A14" t="inlineStr">
        <is>
          <t>Profit before tax (the P&amp;L)</t>
        </is>
      </c>
      <c r="B14" s="14">
        <f>B12-B13</f>
        <v/>
      </c>
    </row>
    <row r="15">
      <c r="A15" t="inlineStr">
        <is>
          <t>Revenue</t>
        </is>
      </c>
      <c r="B15" s="14" t="n">
        <v>183306</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January 2026 P&amp;L (locked). Wages include their on-costs: super (12%) and leave as it's earned. No payroll tax: wages are under Queensland's $1.3 million threshold.</t>
        </is>
      </c>
    </row>
    <row r="20"/>
    <row r="21"/>
    <row r="22">
      <c r="A22" s="6" t="inlineStr">
        <is>
          <t>Trades, all lines: gross margin, January and December</t>
        </is>
      </c>
    </row>
    <row r="23">
      <c r="A23" s="13" t="inlineStr">
        <is>
          <t>Revenue less direct cost, over revenue. Before overheads.</t>
        </is>
      </c>
    </row>
    <row r="24">
      <c r="A24" s="7" t="inlineStr"/>
      <c r="B24" s="8" t="inlineStr">
        <is>
          <t>Jan 26</t>
        </is>
      </c>
      <c r="C24" s="8" t="inlineStr">
        <is>
          <t>Dec 25</t>
        </is>
      </c>
    </row>
    <row r="25">
      <c r="A25" t="inlineStr">
        <is>
          <t>Revenue</t>
        </is>
      </c>
      <c r="B25" s="14" t="n">
        <v>183306</v>
      </c>
      <c r="C25" s="14" t="n">
        <v>150283</v>
      </c>
    </row>
    <row r="26">
      <c r="A26" t="inlineStr">
        <is>
          <t>Direct cost</t>
        </is>
      </c>
      <c r="B26" s="14" t="n">
        <v>106590</v>
      </c>
      <c r="C26" s="14" t="n">
        <v>84626</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January and December</t>
        </is>
      </c>
    </row>
    <row r="32">
      <c r="A32" s="13" t="inlineStr">
        <is>
          <t>Revenue less direct cost, over revenue. Before overheads.</t>
        </is>
      </c>
    </row>
    <row r="33">
      <c r="A33" s="7" t="inlineStr"/>
      <c r="B33" s="8" t="inlineStr">
        <is>
          <t>Jan 26</t>
        </is>
      </c>
      <c r="C33" s="8" t="inlineStr">
        <is>
          <t>Dec 25</t>
        </is>
      </c>
    </row>
    <row r="34">
      <c r="A34" t="inlineStr">
        <is>
          <t>Revenue</t>
        </is>
      </c>
      <c r="B34" s="14" t="n">
        <v>183306</v>
      </c>
      <c r="C34" s="14" t="n">
        <v>150283</v>
      </c>
    </row>
    <row r="35">
      <c r="A35" t="inlineStr">
        <is>
          <t>Direct cost</t>
        </is>
      </c>
      <c r="B35" s="14" t="n">
        <v>106590</v>
      </c>
      <c r="C35" s="14" t="n">
        <v>84626</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January 2026</t>
        </is>
      </c>
    </row>
    <row r="41">
      <c r="A41" s="13" t="inlineStr">
        <is>
          <t>Gross margin on the work − time not charged − overheads = profit before tax</t>
        </is>
      </c>
    </row>
    <row r="42">
      <c r="A42" s="7" t="inlineStr"/>
      <c r="B42" s="8" t="inlineStr">
        <is>
          <t>Jan 2026</t>
        </is>
      </c>
    </row>
    <row r="43">
      <c r="A43" t="inlineStr">
        <is>
          <t>Gross margin on jobs</t>
        </is>
      </c>
      <c r="B43" s="14" t="n">
        <v>76716</v>
      </c>
    </row>
    <row r="44">
      <c r="A44" t="inlineStr">
        <is>
          <t>Technician wages and on-costs</t>
        </is>
      </c>
      <c r="B44" s="14" t="n">
        <v>72352</v>
      </c>
    </row>
    <row r="45">
      <c r="A45" t="inlineStr">
        <is>
          <t>Technician time charged to jobs (at cost)</t>
        </is>
      </c>
      <c r="B45" s="14" t="n">
        <v>49980</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58730</v>
      </c>
    </row>
    <row r="49">
      <c r="A49" t="inlineStr">
        <is>
          <t>Profit before tax (the P&amp;L)</t>
        </is>
      </c>
      <c r="B49" s="14">
        <f>B47-B48</f>
        <v/>
      </c>
    </row>
    <row r="50">
      <c r="A50" t="inlineStr">
        <is>
          <t>Revenue</t>
        </is>
      </c>
      <c r="B50" s="14" t="n">
        <v>183306</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January 2026 P&amp;L (locked). Wages include their on-costs: super (12%) and leave as it's earned. No payroll tax: wages are under Queensland's $1.3 million threshold.</t>
        </is>
      </c>
    </row>
    <row r="55"/>
    <row r="56"/>
    <row r="57">
      <c r="A57" s="6" t="inlineStr">
        <is>
          <t>Maintenance contracts, January</t>
        </is>
      </c>
    </row>
    <row r="58">
      <c r="A58" s="13" t="inlineStr">
        <is>
          <t>Revenue less direct cost (materials, subcontractors, technician time at cost)</t>
        </is>
      </c>
    </row>
    <row r="59">
      <c r="A59" s="7" t="inlineStr"/>
      <c r="B59" s="8" t="inlineStr">
        <is>
          <t>Jan 2026</t>
        </is>
      </c>
    </row>
    <row r="60">
      <c r="A60" t="inlineStr">
        <is>
          <t>Revenue</t>
        </is>
      </c>
      <c r="B60" s="14" t="n">
        <v>40100</v>
      </c>
    </row>
    <row r="61">
      <c r="A61" t="inlineStr">
        <is>
          <t>Direct cost</t>
        </is>
      </c>
      <c r="B61" s="14" t="n">
        <v>14516</v>
      </c>
    </row>
    <row r="62">
      <c r="A62" t="inlineStr">
        <is>
          <t>Gross margin</t>
        </is>
      </c>
      <c r="B62" s="14">
        <f>B60-B61</f>
        <v/>
      </c>
    </row>
    <row r="63">
      <c r="A63" s="16" t="inlineStr">
        <is>
          <t>Gross margin %</t>
        </is>
      </c>
      <c r="B63" s="17">
        <f>B62/B60</f>
        <v/>
      </c>
    </row>
    <row r="64"/>
    <row r="65"/>
    <row r="66">
      <c r="A66" s="6" t="inlineStr">
        <is>
          <t>Installations, January</t>
        </is>
      </c>
    </row>
    <row r="67">
      <c r="A67" s="13" t="inlineStr">
        <is>
          <t>Revenue less direct cost (materials, subcontractors, technician time at cost)</t>
        </is>
      </c>
    </row>
    <row r="68">
      <c r="A68" s="7" t="inlineStr"/>
      <c r="B68" s="8" t="inlineStr">
        <is>
          <t>Jan 2026</t>
        </is>
      </c>
    </row>
    <row r="69">
      <c r="A69" t="inlineStr">
        <is>
          <t>Revenue</t>
        </is>
      </c>
      <c r="B69" s="14" t="n">
        <v>109100</v>
      </c>
    </row>
    <row r="70">
      <c r="A70" t="inlineStr">
        <is>
          <t>Direct cost</t>
        </is>
      </c>
      <c r="B70" s="14" t="n">
        <v>74216</v>
      </c>
    </row>
    <row r="71">
      <c r="A71" t="inlineStr">
        <is>
          <t>Gross margin</t>
        </is>
      </c>
      <c r="B71" s="14">
        <f>B69-B70</f>
        <v/>
      </c>
    </row>
    <row r="72">
      <c r="A72" s="16" t="inlineStr">
        <is>
          <t>Gross margin %</t>
        </is>
      </c>
      <c r="B72" s="17">
        <f>B71/B69</f>
        <v/>
      </c>
    </row>
    <row r="73"/>
    <row r="74"/>
    <row r="75">
      <c r="A75" s="6" t="inlineStr">
        <is>
          <t>Call-outs and repairs, January</t>
        </is>
      </c>
    </row>
    <row r="76">
      <c r="A76" s="13" t="inlineStr">
        <is>
          <t>Revenue less direct cost (materials, subcontractors, technician time at cost)</t>
        </is>
      </c>
    </row>
    <row r="77">
      <c r="A77" s="7" t="inlineStr"/>
      <c r="B77" s="8" t="inlineStr">
        <is>
          <t>Jan 2026</t>
        </is>
      </c>
    </row>
    <row r="78">
      <c r="A78" t="inlineStr">
        <is>
          <t>Revenue</t>
        </is>
      </c>
      <c r="B78" s="14" t="n">
        <v>34106</v>
      </c>
    </row>
    <row r="79">
      <c r="A79" t="inlineStr">
        <is>
          <t>Direct cost</t>
        </is>
      </c>
      <c r="B79" s="14" t="n">
        <v>17858</v>
      </c>
    </row>
    <row r="80">
      <c r="A80" t="inlineStr">
        <is>
          <t>Gross margin</t>
        </is>
      </c>
      <c r="B80" s="14">
        <f>B78-B79</f>
        <v/>
      </c>
    </row>
    <row r="81">
      <c r="A81" s="16" t="inlineStr">
        <is>
          <t>Gross margin %</t>
        </is>
      </c>
      <c r="B81" s="17">
        <f>B80/B78</f>
        <v/>
      </c>
    </row>
    <row r="82"/>
    <row r="83"/>
    <row r="84">
      <c r="A84" s="6" t="inlineStr">
        <is>
          <t>Trades, Maintenance contracts: gross margin, January and December</t>
        </is>
      </c>
    </row>
    <row r="85">
      <c r="A85" s="13" t="inlineStr">
        <is>
          <t>Revenue less direct cost, over revenue. Before overheads.</t>
        </is>
      </c>
    </row>
    <row r="86">
      <c r="A86" s="7" t="inlineStr"/>
      <c r="B86" s="8" t="inlineStr">
        <is>
          <t>Jan 26</t>
        </is>
      </c>
      <c r="C86" s="8" t="inlineStr">
        <is>
          <t>Dec 25</t>
        </is>
      </c>
    </row>
    <row r="87">
      <c r="A87" t="inlineStr">
        <is>
          <t>Revenue</t>
        </is>
      </c>
      <c r="B87" s="14" t="n">
        <v>40100</v>
      </c>
      <c r="C87" s="14" t="n">
        <v>40100</v>
      </c>
    </row>
    <row r="88">
      <c r="A88" t="inlineStr">
        <is>
          <t>Direct cost</t>
        </is>
      </c>
      <c r="B88" s="14" t="n">
        <v>14516</v>
      </c>
      <c r="C88" s="14" t="n">
        <v>14516</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January and December</t>
        </is>
      </c>
    </row>
    <row r="94">
      <c r="A94" s="13" t="inlineStr">
        <is>
          <t>Revenue less direct cost, over revenue. Before overheads.</t>
        </is>
      </c>
    </row>
    <row r="95">
      <c r="A95" s="7" t="inlineStr"/>
      <c r="B95" s="8" t="inlineStr">
        <is>
          <t>Jan 26</t>
        </is>
      </c>
      <c r="C95" s="8" t="inlineStr">
        <is>
          <t>Dec 25</t>
        </is>
      </c>
    </row>
    <row r="96">
      <c r="A96" t="inlineStr">
        <is>
          <t>Revenue</t>
        </is>
      </c>
      <c r="B96" s="14" t="n">
        <v>40100</v>
      </c>
      <c r="C96" s="14" t="n">
        <v>40100</v>
      </c>
    </row>
    <row r="97">
      <c r="A97" t="inlineStr">
        <is>
          <t>Direct cost</t>
        </is>
      </c>
      <c r="B97" s="14" t="n">
        <v>14516</v>
      </c>
      <c r="C97" s="14" t="n">
        <v>14516</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January 2026</t>
        </is>
      </c>
    </row>
    <row r="103">
      <c r="A103" s="13" t="inlineStr">
        <is>
          <t>Gross margin on the work − time not charged − overheads = profit before tax</t>
        </is>
      </c>
    </row>
    <row r="104">
      <c r="A104" s="7" t="inlineStr"/>
      <c r="B104" s="8" t="inlineStr">
        <is>
          <t>Jan 2026</t>
        </is>
      </c>
    </row>
    <row r="105">
      <c r="A105" t="inlineStr">
        <is>
          <t>Gross margin on jobs</t>
        </is>
      </c>
      <c r="B105" s="14" t="n">
        <v>76716</v>
      </c>
    </row>
    <row r="106">
      <c r="A106" t="inlineStr">
        <is>
          <t>Technician wages and on-costs</t>
        </is>
      </c>
      <c r="B106" s="14" t="n">
        <v>72352</v>
      </c>
    </row>
    <row r="107">
      <c r="A107" t="inlineStr">
        <is>
          <t>Technician time charged to jobs (at cost)</t>
        </is>
      </c>
      <c r="B107" s="14" t="n">
        <v>49980</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58730</v>
      </c>
    </row>
    <row r="111">
      <c r="A111" t="inlineStr">
        <is>
          <t>Profit before tax (the P&amp;L)</t>
        </is>
      </c>
      <c r="B111" s="14">
        <f>B109-B110</f>
        <v/>
      </c>
    </row>
    <row r="112">
      <c r="A112" t="inlineStr">
        <is>
          <t>Revenue</t>
        </is>
      </c>
      <c r="B112" s="14" t="n">
        <v>183306</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January 2026 P&amp;L (locked). Wages include their on-costs: super (12%) and leave as it's earned. No payroll tax: wages are under Queensland's $1.3 million threshold.</t>
        </is>
      </c>
    </row>
    <row r="117"/>
    <row r="118"/>
    <row r="119">
      <c r="A119" s="6" t="inlineStr">
        <is>
          <t>Wynnum medical centre</t>
        </is>
      </c>
    </row>
    <row r="120">
      <c r="A120" s="13" t="inlineStr">
        <is>
          <t>Job gross margin ÷ revenue for this job (before overheads)</t>
        </is>
      </c>
    </row>
    <row r="121">
      <c r="A121" s="7" t="inlineStr"/>
      <c r="B121" s="8" t="inlineStr">
        <is>
          <t>This job</t>
        </is>
      </c>
    </row>
    <row r="122">
      <c r="A122" t="inlineStr">
        <is>
          <t>Revenue</t>
        </is>
      </c>
      <c r="B122" s="14" t="n">
        <v>2450</v>
      </c>
    </row>
    <row r="123">
      <c r="A123" t="inlineStr">
        <is>
          <t>Materials</t>
        </is>
      </c>
      <c r="B123" s="14" t="n">
        <v>-40</v>
      </c>
    </row>
    <row r="124">
      <c r="A124" t="inlineStr">
        <is>
          <t>Subcontractors</t>
        </is>
      </c>
      <c r="B124" s="14" t="n">
        <v>0</v>
      </c>
    </row>
    <row r="125">
      <c r="A125" t="inlineStr">
        <is>
          <t>Technician hours</t>
        </is>
      </c>
      <c r="B125" s="18" t="n">
        <v>12</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Ashgrove aged care</t>
        </is>
      </c>
    </row>
    <row r="133">
      <c r="A133" s="13" t="inlineStr">
        <is>
          <t>Job gross margin ÷ revenue for this job (before overheads)</t>
        </is>
      </c>
    </row>
    <row r="134">
      <c r="A134" s="7" t="inlineStr"/>
      <c r="B134" s="8" t="inlineStr">
        <is>
          <t>This job</t>
        </is>
      </c>
    </row>
    <row r="135">
      <c r="A135" t="inlineStr">
        <is>
          <t>Revenue</t>
        </is>
      </c>
      <c r="B135" s="14" t="n">
        <v>4050</v>
      </c>
    </row>
    <row r="136">
      <c r="A136" t="inlineStr">
        <is>
          <t>Materials</t>
        </is>
      </c>
      <c r="B136" s="14" t="n">
        <v>-80</v>
      </c>
    </row>
    <row r="137">
      <c r="A137" t="inlineStr">
        <is>
          <t>Subcontractors</t>
        </is>
      </c>
      <c r="B137" s="14" t="n">
        <v>0</v>
      </c>
    </row>
    <row r="138">
      <c r="A138" t="inlineStr">
        <is>
          <t>Technician hours</t>
        </is>
      </c>
      <c r="B138" s="18" t="n">
        <v>20</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Riverside Apartments (strata)</t>
        </is>
      </c>
    </row>
    <row r="146">
      <c r="A146" s="13" t="inlineStr">
        <is>
          <t>Job gross margin ÷ revenue for this job (before overheads)</t>
        </is>
      </c>
    </row>
    <row r="147">
      <c r="A147" s="7" t="inlineStr"/>
      <c r="B147" s="8" t="inlineStr">
        <is>
          <t>This job</t>
        </is>
      </c>
    </row>
    <row r="148">
      <c r="A148" t="inlineStr">
        <is>
          <t>Revenue</t>
        </is>
      </c>
      <c r="B148" s="14" t="n">
        <v>3600</v>
      </c>
    </row>
    <row r="149">
      <c r="A149" t="inlineStr">
        <is>
          <t>Materials</t>
        </is>
      </c>
      <c r="B149" s="14" t="n">
        <v>-60</v>
      </c>
    </row>
    <row r="150">
      <c r="A150" t="inlineStr">
        <is>
          <t>Subcontractors</t>
        </is>
      </c>
      <c r="B150" s="14" t="n">
        <v>0</v>
      </c>
    </row>
    <row r="151">
      <c r="A151" t="inlineStr">
        <is>
          <t>Technician hours</t>
        </is>
      </c>
      <c r="B151" s="18" t="n">
        <v>18</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Newstead gym</t>
        </is>
      </c>
    </row>
    <row r="159">
      <c r="A159" s="13" t="inlineStr">
        <is>
          <t>Job gross margin ÷ revenue for this job (before overheads)</t>
        </is>
      </c>
    </row>
    <row r="160">
      <c r="A160" s="7" t="inlineStr"/>
      <c r="B160" s="8" t="inlineStr">
        <is>
          <t>This job</t>
        </is>
      </c>
    </row>
    <row r="161">
      <c r="A161" t="inlineStr">
        <is>
          <t>Revenue</t>
        </is>
      </c>
      <c r="B161" s="14" t="n">
        <v>1800</v>
      </c>
    </row>
    <row r="162">
      <c r="A162" t="inlineStr">
        <is>
          <t>Materials</t>
        </is>
      </c>
      <c r="B162" s="14" t="n">
        <v>-30</v>
      </c>
    </row>
    <row r="163">
      <c r="A163" t="inlineStr">
        <is>
          <t>Subcontractors</t>
        </is>
      </c>
      <c r="B163" s="14" t="n">
        <v>0</v>
      </c>
    </row>
    <row r="164">
      <c r="A164" t="inlineStr">
        <is>
          <t>Technician hours</t>
        </is>
      </c>
      <c r="B164" s="18" t="n">
        <v>9</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Fortitude Valley hotel</t>
        </is>
      </c>
    </row>
    <row r="172">
      <c r="A172" s="13" t="inlineStr">
        <is>
          <t>Job gross margin ÷ revenue for this job (before overheads)</t>
        </is>
      </c>
    </row>
    <row r="173">
      <c r="A173" s="7" t="inlineStr"/>
      <c r="B173" s="8" t="inlineStr">
        <is>
          <t>This job</t>
        </is>
      </c>
    </row>
    <row r="174">
      <c r="A174" t="inlineStr">
        <is>
          <t>Revenue</t>
        </is>
      </c>
      <c r="B174" s="14" t="n">
        <v>3800</v>
      </c>
    </row>
    <row r="175">
      <c r="A175" t="inlineStr">
        <is>
          <t>Materials</t>
        </is>
      </c>
      <c r="B175" s="14" t="n">
        <v>-70</v>
      </c>
    </row>
    <row r="176">
      <c r="A176" t="inlineStr">
        <is>
          <t>Subcontractors</t>
        </is>
      </c>
      <c r="B176" s="14" t="n">
        <v>0</v>
      </c>
    </row>
    <row r="177">
      <c r="A177" t="inlineStr">
        <is>
          <t>Technician hours</t>
        </is>
      </c>
      <c r="B177" s="18" t="n">
        <v>19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Southbank cafe group</t>
        </is>
      </c>
    </row>
    <row r="185">
      <c r="A185" s="13" t="inlineStr">
        <is>
          <t>Job gross margin ÷ revenue for this job (before overheads)</t>
        </is>
      </c>
    </row>
    <row r="186">
      <c r="A186" s="7" t="inlineStr"/>
      <c r="B186" s="8" t="inlineStr">
        <is>
          <t>This job</t>
        </is>
      </c>
    </row>
    <row r="187">
      <c r="A187" t="inlineStr">
        <is>
          <t>Revenue</t>
        </is>
      </c>
      <c r="B187" s="14" t="n">
        <v>2000</v>
      </c>
    </row>
    <row r="188">
      <c r="A188" t="inlineStr">
        <is>
          <t>Materials</t>
        </is>
      </c>
      <c r="B188" s="14" t="n">
        <v>-40</v>
      </c>
    </row>
    <row r="189">
      <c r="A189" t="inlineStr">
        <is>
          <t>Subcontractors</t>
        </is>
      </c>
      <c r="B189" s="14" t="n">
        <v>0</v>
      </c>
    </row>
    <row r="190">
      <c r="A190" t="inlineStr">
        <is>
          <t>Technician hours</t>
        </is>
      </c>
      <c r="B190" s="18" t="n">
        <v>10</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Chermside retail centre</t>
        </is>
      </c>
    </row>
    <row r="198">
      <c r="A198" s="13" t="inlineStr">
        <is>
          <t>Job gross margin ÷ revenue for this job (before overheads)</t>
        </is>
      </c>
    </row>
    <row r="199">
      <c r="A199" s="7" t="inlineStr"/>
      <c r="B199" s="8" t="inlineStr">
        <is>
          <t>This job</t>
        </is>
      </c>
    </row>
    <row r="200">
      <c r="A200" t="inlineStr">
        <is>
          <t>Revenue</t>
        </is>
      </c>
      <c r="B200" s="14" t="n">
        <v>4600</v>
      </c>
    </row>
    <row r="201">
      <c r="A201" t="inlineStr">
        <is>
          <t>Materials</t>
        </is>
      </c>
      <c r="B201" s="14" t="n">
        <v>-100</v>
      </c>
    </row>
    <row r="202">
      <c r="A202" t="inlineStr">
        <is>
          <t>Subcontractors</t>
        </is>
      </c>
      <c r="B202" s="14" t="n">
        <v>0</v>
      </c>
    </row>
    <row r="203">
      <c r="A203" t="inlineStr">
        <is>
          <t>Technician hours</t>
        </is>
      </c>
      <c r="B203" s="18" t="n">
        <v>23</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Bulimba school</t>
        </is>
      </c>
    </row>
    <row r="211">
      <c r="A211" s="13" t="inlineStr">
        <is>
          <t>Job gross margin ÷ revenue for this job (before overheads)</t>
        </is>
      </c>
    </row>
    <row r="212">
      <c r="A212" s="7" t="inlineStr"/>
      <c r="B212" s="8" t="inlineStr">
        <is>
          <t>This job</t>
        </is>
      </c>
    </row>
    <row r="213">
      <c r="A213" t="inlineStr">
        <is>
          <t>Revenue</t>
        </is>
      </c>
      <c r="B213" s="14" t="n">
        <v>3150</v>
      </c>
    </row>
    <row r="214">
      <c r="A214" t="inlineStr">
        <is>
          <t>Materials</t>
        </is>
      </c>
      <c r="B214" s="14" t="n">
        <v>-60</v>
      </c>
    </row>
    <row r="215">
      <c r="A215" t="inlineStr">
        <is>
          <t>Subcontractors</t>
        </is>
      </c>
      <c r="B215" s="14" t="n">
        <v>0</v>
      </c>
    </row>
    <row r="216">
      <c r="A216" t="inlineStr">
        <is>
          <t>Technician hours</t>
        </is>
      </c>
      <c r="B216" s="18" t="n">
        <v>16</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Milton office tower</t>
        </is>
      </c>
    </row>
    <row r="224">
      <c r="A224" s="13" t="inlineStr">
        <is>
          <t>Job gross margin ÷ revenue for this job (before overheads)</t>
        </is>
      </c>
    </row>
    <row r="225">
      <c r="A225" s="7" t="inlineStr"/>
      <c r="B225" s="8" t="inlineStr">
        <is>
          <t>This job</t>
        </is>
      </c>
    </row>
    <row r="226">
      <c r="A226" t="inlineStr">
        <is>
          <t>Revenue</t>
        </is>
      </c>
      <c r="B226" s="14" t="n">
        <v>4700</v>
      </c>
    </row>
    <row r="227">
      <c r="A227" t="inlineStr">
        <is>
          <t>Materials</t>
        </is>
      </c>
      <c r="B227" s="14" t="n">
        <v>-90</v>
      </c>
    </row>
    <row r="228">
      <c r="A228" t="inlineStr">
        <is>
          <t>Subcontractors</t>
        </is>
      </c>
      <c r="B228" s="14" t="n">
        <v>0</v>
      </c>
    </row>
    <row r="229">
      <c r="A229" t="inlineStr">
        <is>
          <t>Technician hours</t>
        </is>
      </c>
      <c r="B229" s="18" t="n">
        <v>24</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West End brewery</t>
        </is>
      </c>
    </row>
    <row r="237">
      <c r="A237" s="13" t="inlineStr">
        <is>
          <t>Job gross margin ÷ revenue for this job (before overheads)</t>
        </is>
      </c>
    </row>
    <row r="238">
      <c r="A238" s="7" t="inlineStr"/>
      <c r="B238" s="8" t="inlineStr">
        <is>
          <t>This job</t>
        </is>
      </c>
    </row>
    <row r="239">
      <c r="A239" t="inlineStr">
        <is>
          <t>Revenue</t>
        </is>
      </c>
      <c r="B239" s="14" t="n">
        <v>2900</v>
      </c>
    </row>
    <row r="240">
      <c r="A240" t="inlineStr">
        <is>
          <t>Materials</t>
        </is>
      </c>
      <c r="B240" s="14" t="n">
        <v>-50</v>
      </c>
    </row>
    <row r="241">
      <c r="A241" t="inlineStr">
        <is>
          <t>Subcontractors</t>
        </is>
      </c>
      <c r="B241" s="14" t="n">
        <v>0</v>
      </c>
    </row>
    <row r="242">
      <c r="A242" t="inlineStr">
        <is>
          <t>Technician hours</t>
        </is>
      </c>
      <c r="B242" s="18" t="n">
        <v>15</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Rocklea factory</t>
        </is>
      </c>
    </row>
    <row r="250">
      <c r="A250" s="13" t="inlineStr">
        <is>
          <t>Job gross margin ÷ revenue for this job (before overheads)</t>
        </is>
      </c>
    </row>
    <row r="251">
      <c r="A251" s="7" t="inlineStr"/>
      <c r="B251" s="8" t="inlineStr">
        <is>
          <t>This job</t>
        </is>
      </c>
    </row>
    <row r="252">
      <c r="A252" t="inlineStr">
        <is>
          <t>Revenue</t>
        </is>
      </c>
      <c r="B252" s="14" t="n">
        <v>4350</v>
      </c>
    </row>
    <row r="253">
      <c r="A253" t="inlineStr">
        <is>
          <t>Materials</t>
        </is>
      </c>
      <c r="B253" s="14" t="n">
        <v>-110</v>
      </c>
    </row>
    <row r="254">
      <c r="A254" t="inlineStr">
        <is>
          <t>Subcontractors</t>
        </is>
      </c>
      <c r="B254" s="14" t="n">
        <v>0</v>
      </c>
    </row>
    <row r="255">
      <c r="A255" t="inlineStr">
        <is>
          <t>Technician hours</t>
        </is>
      </c>
      <c r="B255" s="18" t="n">
        <v>22</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Kangaroo Point townhouses</t>
        </is>
      </c>
    </row>
    <row r="263">
      <c r="A263" s="13" t="inlineStr">
        <is>
          <t>Job gross margin ÷ revenue for this job (before overheads)</t>
        </is>
      </c>
    </row>
    <row r="264">
      <c r="A264" s="7" t="inlineStr"/>
      <c r="B264" s="8" t="inlineStr">
        <is>
          <t>This job</t>
        </is>
      </c>
    </row>
    <row r="265">
      <c r="A265" t="inlineStr">
        <is>
          <t>Revenue</t>
        </is>
      </c>
      <c r="B265" s="14" t="n">
        <v>2700</v>
      </c>
    </row>
    <row r="266">
      <c r="A266" t="inlineStr">
        <is>
          <t>Materials</t>
        </is>
      </c>
      <c r="B266" s="14" t="n">
        <v>-50</v>
      </c>
    </row>
    <row r="267">
      <c r="A267" t="inlineStr">
        <is>
          <t>Subcontractors</t>
        </is>
      </c>
      <c r="B267" s="14" t="n">
        <v>0</v>
      </c>
    </row>
    <row r="268">
      <c r="A268" t="inlineStr">
        <is>
          <t>Technician hours</t>
        </is>
      </c>
      <c r="B268" s="18" t="n">
        <v>14</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Trades, Installations: gross margin, January and December</t>
        </is>
      </c>
    </row>
    <row r="276">
      <c r="A276" s="13" t="inlineStr">
        <is>
          <t>Revenue less direct cost, over revenue. Before overheads.</t>
        </is>
      </c>
    </row>
    <row r="277">
      <c r="A277" s="7" t="inlineStr"/>
      <c r="B277" s="8" t="inlineStr">
        <is>
          <t>Jan 26</t>
        </is>
      </c>
      <c r="C277" s="8" t="inlineStr">
        <is>
          <t>Dec 25</t>
        </is>
      </c>
    </row>
    <row r="278">
      <c r="A278" t="inlineStr">
        <is>
          <t>Revenue</t>
        </is>
      </c>
      <c r="B278" s="14" t="n">
        <v>109100</v>
      </c>
      <c r="C278" s="14" t="n">
        <v>78100</v>
      </c>
    </row>
    <row r="279">
      <c r="A279" t="inlineStr">
        <is>
          <t>Direct cost</t>
        </is>
      </c>
      <c r="B279" s="14" t="n">
        <v>74216</v>
      </c>
      <c r="C279" s="14" t="n">
        <v>53408</v>
      </c>
    </row>
    <row r="280">
      <c r="A280" t="inlineStr">
        <is>
          <t>Gross margin</t>
        </is>
      </c>
      <c r="B280" s="14">
        <f>B278-B279</f>
        <v/>
      </c>
      <c r="C280" s="14">
        <f>C278-C279</f>
        <v/>
      </c>
    </row>
    <row r="281">
      <c r="A281" s="16" t="inlineStr">
        <is>
          <t>Gross margin %</t>
        </is>
      </c>
      <c r="B281" s="17">
        <f>B280/B278</f>
        <v/>
      </c>
      <c r="C281" s="17">
        <f>C280/C278</f>
        <v/>
      </c>
    </row>
    <row r="282"/>
    <row r="283"/>
    <row r="284">
      <c r="A284" s="6" t="inlineStr">
        <is>
          <t>Trades, Installations: gross margin, January and December</t>
        </is>
      </c>
    </row>
    <row r="285">
      <c r="A285" s="13" t="inlineStr">
        <is>
          <t>Revenue less direct cost, over revenue. Before overheads.</t>
        </is>
      </c>
    </row>
    <row r="286">
      <c r="A286" s="7" t="inlineStr"/>
      <c r="B286" s="8" t="inlineStr">
        <is>
          <t>Jan 26</t>
        </is>
      </c>
      <c r="C286" s="8" t="inlineStr">
        <is>
          <t>Dec 25</t>
        </is>
      </c>
    </row>
    <row r="287">
      <c r="A287" t="inlineStr">
        <is>
          <t>Revenue</t>
        </is>
      </c>
      <c r="B287" s="14" t="n">
        <v>109100</v>
      </c>
      <c r="C287" s="14" t="n">
        <v>78100</v>
      </c>
    </row>
    <row r="288">
      <c r="A288" t="inlineStr">
        <is>
          <t>Direct cost</t>
        </is>
      </c>
      <c r="B288" s="14" t="n">
        <v>74216</v>
      </c>
      <c r="C288" s="14" t="n">
        <v>53408</v>
      </c>
    </row>
    <row r="289">
      <c r="A289" t="inlineStr">
        <is>
          <t>Gross margin</t>
        </is>
      </c>
      <c r="B289" s="14">
        <f>B287-B288</f>
        <v/>
      </c>
      <c r="C289" s="14">
        <f>C287-C288</f>
        <v/>
      </c>
    </row>
    <row r="290">
      <c r="A290" s="16" t="inlineStr">
        <is>
          <t>Gross margin %</t>
        </is>
      </c>
      <c r="B290" s="17">
        <f>B289/B287</f>
        <v/>
      </c>
      <c r="C290" s="17">
        <f>C289/C287</f>
        <v/>
      </c>
    </row>
    <row r="291"/>
    <row r="292"/>
    <row r="293">
      <c r="A293" s="6" t="inlineStr">
        <is>
          <t>Trades: From gross margin to profit, January 2026</t>
        </is>
      </c>
    </row>
    <row r="294">
      <c r="A294" s="13" t="inlineStr">
        <is>
          <t>Gross margin on the work − time not charged − overheads = profit before tax</t>
        </is>
      </c>
    </row>
    <row r="295">
      <c r="A295" s="7" t="inlineStr"/>
      <c r="B295" s="8" t="inlineStr">
        <is>
          <t>Jan 2026</t>
        </is>
      </c>
    </row>
    <row r="296">
      <c r="A296" t="inlineStr">
        <is>
          <t>Gross margin on jobs</t>
        </is>
      </c>
      <c r="B296" s="14" t="n">
        <v>76716</v>
      </c>
    </row>
    <row r="297">
      <c r="A297" t="inlineStr">
        <is>
          <t>Technician wages and on-costs</t>
        </is>
      </c>
      <c r="B297" s="14" t="n">
        <v>72352</v>
      </c>
    </row>
    <row r="298">
      <c r="A298" t="inlineStr">
        <is>
          <t>Technician time charged to jobs (at cost)</t>
        </is>
      </c>
      <c r="B298" s="14" t="n">
        <v>49980</v>
      </c>
    </row>
    <row r="299">
      <c r="A299" t="inlineStr">
        <is>
          <t>Technician time not charged to jobs</t>
        </is>
      </c>
      <c r="B299" s="14">
        <f>B297-B298</f>
        <v/>
      </c>
    </row>
    <row r="300">
      <c r="A300" t="inlineStr">
        <is>
          <t>Gross profit (the P&amp;L)</t>
        </is>
      </c>
      <c r="B300" s="14">
        <f>B296-B299</f>
        <v/>
      </c>
    </row>
    <row r="301">
      <c r="A301" t="inlineStr">
        <is>
          <t>Overheads (operating expenses, depreciation, interest)</t>
        </is>
      </c>
      <c r="B301" s="14" t="n">
        <v>58730</v>
      </c>
    </row>
    <row r="302">
      <c r="A302" t="inlineStr">
        <is>
          <t>Profit before tax (the P&amp;L)</t>
        </is>
      </c>
      <c r="B302" s="14">
        <f>B300-B301</f>
        <v/>
      </c>
    </row>
    <row r="303">
      <c r="A303" t="inlineStr">
        <is>
          <t>Revenue</t>
        </is>
      </c>
      <c r="B303" s="14" t="n">
        <v>183306</v>
      </c>
    </row>
    <row r="304">
      <c r="A304" t="inlineStr">
        <is>
          <t>Gross margin on jobs, %</t>
        </is>
      </c>
      <c r="B304" s="15">
        <f>B296/B303</f>
        <v/>
      </c>
    </row>
    <row r="305">
      <c r="A305" t="inlineStr">
        <is>
          <t>Profit before tax, % of revenue</t>
        </is>
      </c>
      <c r="B305" s="15">
        <f>B302/B303</f>
        <v/>
      </c>
    </row>
    <row r="306">
      <c r="A306" s="16" t="inlineStr">
        <is>
          <t>Gross margin jobs need just to cover overheads and time not charged</t>
        </is>
      </c>
      <c r="B306" s="17">
        <f>(B299+B301)/B303</f>
        <v/>
      </c>
    </row>
    <row r="307">
      <c r="A307" s="2" t="inlineStr">
        <is>
          <t>Ties to the January 2026 P&amp;L (locked). Wages include their on-costs: super (12%) and leave as it's earned. No payroll tax: wages are under Queensland's $1.3 million threshold.</t>
        </is>
      </c>
    </row>
    <row r="308"/>
    <row r="309"/>
    <row r="310">
      <c r="A310" s="6" t="inlineStr">
        <is>
          <t>Chermside shop data cabling</t>
        </is>
      </c>
    </row>
    <row r="311">
      <c r="A311" s="13" t="inlineStr">
        <is>
          <t>Job gross margin ÷ revenue for this job (before overheads)</t>
        </is>
      </c>
    </row>
    <row r="312">
      <c r="A312" s="7" t="inlineStr"/>
      <c r="B312" s="8" t="inlineStr">
        <is>
          <t>This job</t>
        </is>
      </c>
    </row>
    <row r="313">
      <c r="A313" t="inlineStr">
        <is>
          <t>Revenue</t>
        </is>
      </c>
      <c r="B313" s="14" t="n">
        <v>20900</v>
      </c>
    </row>
    <row r="314">
      <c r="A314" t="inlineStr">
        <is>
          <t>Materials</t>
        </is>
      </c>
      <c r="B314" s="14" t="n">
        <v>-4300</v>
      </c>
    </row>
    <row r="315">
      <c r="A315" t="inlineStr">
        <is>
          <t>Subcontractors</t>
        </is>
      </c>
      <c r="B315" s="14" t="n">
        <v>-2200</v>
      </c>
    </row>
    <row r="316">
      <c r="A316" t="inlineStr">
        <is>
          <t>Technician hours</t>
        </is>
      </c>
      <c r="B316" s="18" t="n">
        <v>72.5</v>
      </c>
    </row>
    <row r="317">
      <c r="A317" t="inlineStr">
        <is>
          <t>Technician cost rate ($/hour, wages and all on-costs)</t>
        </is>
      </c>
      <c r="B317" s="14" t="n">
        <v>68</v>
      </c>
    </row>
    <row r="318">
      <c r="A318" t="inlineStr">
        <is>
          <t>Technician time</t>
        </is>
      </c>
      <c r="B318" s="14">
        <f>-B316*B317</f>
        <v/>
      </c>
    </row>
    <row r="319">
      <c r="A319" t="inlineStr">
        <is>
          <t>Job gross margin</t>
        </is>
      </c>
      <c r="B319" s="14">
        <f>B313+B314+B315+B318</f>
        <v/>
      </c>
    </row>
    <row r="320">
      <c r="A320" s="16" t="inlineStr">
        <is>
          <t>Job gross margin %</t>
        </is>
      </c>
      <c r="B320" s="17">
        <f>B319/B313</f>
        <v/>
      </c>
    </row>
    <row r="321"/>
    <row r="322"/>
    <row r="323">
      <c r="A323" s="6" t="inlineStr">
        <is>
          <t>Wynnum office data cabling</t>
        </is>
      </c>
    </row>
    <row r="324">
      <c r="A324" s="13" t="inlineStr">
        <is>
          <t>Job gross margin ÷ revenue for this job (before overheads)</t>
        </is>
      </c>
    </row>
    <row r="325">
      <c r="A325" s="7" t="inlineStr"/>
      <c r="B325" s="8" t="inlineStr">
        <is>
          <t>This job</t>
        </is>
      </c>
    </row>
    <row r="326">
      <c r="A326" t="inlineStr">
        <is>
          <t>Revenue</t>
        </is>
      </c>
      <c r="B326" s="14" t="n">
        <v>12300</v>
      </c>
    </row>
    <row r="327">
      <c r="A327" t="inlineStr">
        <is>
          <t>Materials</t>
        </is>
      </c>
      <c r="B327" s="14" t="n">
        <v>-3300</v>
      </c>
    </row>
    <row r="328">
      <c r="A328" t="inlineStr">
        <is>
          <t>Subcontractors</t>
        </is>
      </c>
      <c r="B328" s="14" t="n">
        <v>-1300</v>
      </c>
    </row>
    <row r="329">
      <c r="A329" t="inlineStr">
        <is>
          <t>Technician hours</t>
        </is>
      </c>
      <c r="B329" s="18" t="n">
        <v>44</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Milton townhouses switchboard upgrade</t>
        </is>
      </c>
    </row>
    <row r="337">
      <c r="A337" s="13" t="inlineStr">
        <is>
          <t>Job gross margin ÷ revenue for this job (before overheads)</t>
        </is>
      </c>
    </row>
    <row r="338">
      <c r="A338" s="7" t="inlineStr"/>
      <c r="B338" s="8" t="inlineStr">
        <is>
          <t>This job</t>
        </is>
      </c>
    </row>
    <row r="339">
      <c r="A339" t="inlineStr">
        <is>
          <t>Revenue</t>
        </is>
      </c>
      <c r="B339" s="14" t="n">
        <v>14700</v>
      </c>
    </row>
    <row r="340">
      <c r="A340" t="inlineStr">
        <is>
          <t>Materials</t>
        </is>
      </c>
      <c r="B340" s="14" t="n">
        <v>-5200</v>
      </c>
    </row>
    <row r="341">
      <c r="A341" t="inlineStr">
        <is>
          <t>Subcontractors</t>
        </is>
      </c>
      <c r="B341" s="14" t="n">
        <v>-1300</v>
      </c>
    </row>
    <row r="342">
      <c r="A342" t="inlineStr">
        <is>
          <t>Technician hours</t>
        </is>
      </c>
      <c r="B342" s="18" t="n">
        <v>49.5</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West End factory switchboard upgrade</t>
        </is>
      </c>
    </row>
    <row r="350">
      <c r="A350" s="13" t="inlineStr">
        <is>
          <t>Job gross margin ÷ revenue for this job (before overheads)</t>
        </is>
      </c>
    </row>
    <row r="351">
      <c r="A351" s="7" t="inlineStr"/>
      <c r="B351" s="8" t="inlineStr">
        <is>
          <t>This job</t>
        </is>
      </c>
    </row>
    <row r="352">
      <c r="A352" t="inlineStr">
        <is>
          <t>Revenue</t>
        </is>
      </c>
      <c r="B352" s="14" t="n">
        <v>31000</v>
      </c>
    </row>
    <row r="353">
      <c r="A353" t="inlineStr">
        <is>
          <t>Materials</t>
        </is>
      </c>
      <c r="B353" s="14" t="n">
        <v>-10700</v>
      </c>
    </row>
    <row r="354">
      <c r="A354" t="inlineStr">
        <is>
          <t>Subcontractors</t>
        </is>
      </c>
      <c r="B354" s="14" t="n">
        <v>-2800</v>
      </c>
    </row>
    <row r="355">
      <c r="A355" t="inlineStr">
        <is>
          <t>Technician hours</t>
        </is>
      </c>
      <c r="B355" s="18" t="n">
        <v>111</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Mount Gravatt clinic solar and battery</t>
        </is>
      </c>
    </row>
    <row r="363">
      <c r="A363" s="13" t="inlineStr">
        <is>
          <t>Job gross margin ÷ revenue for this job (before overheads)</t>
        </is>
      </c>
    </row>
    <row r="364">
      <c r="A364" s="7" t="inlineStr"/>
      <c r="B364" s="8" t="inlineStr">
        <is>
          <t>This job</t>
        </is>
      </c>
    </row>
    <row r="365">
      <c r="A365" t="inlineStr">
        <is>
          <t>Revenue</t>
        </is>
      </c>
      <c r="B365" s="14" t="n">
        <v>30200</v>
      </c>
    </row>
    <row r="366">
      <c r="A366" t="inlineStr">
        <is>
          <t>Materials</t>
        </is>
      </c>
      <c r="B366" s="14" t="n">
        <v>-13800</v>
      </c>
    </row>
    <row r="367">
      <c r="A367" t="inlineStr">
        <is>
          <t>Subcontractors</t>
        </is>
      </c>
      <c r="B367" s="14" t="n">
        <v>-3000</v>
      </c>
    </row>
    <row r="368">
      <c r="A368" t="inlineStr">
        <is>
          <t>Technician hours</t>
        </is>
      </c>
      <c r="B368" s="18" t="n">
        <v>110</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Trades, Call-outs and repairs: gross margin, January and December</t>
        </is>
      </c>
    </row>
    <row r="376">
      <c r="A376" s="13" t="inlineStr">
        <is>
          <t>Revenue less direct cost, over revenue. Before overheads.</t>
        </is>
      </c>
    </row>
    <row r="377">
      <c r="A377" s="7" t="inlineStr"/>
      <c r="B377" s="8" t="inlineStr">
        <is>
          <t>Jan 26</t>
        </is>
      </c>
      <c r="C377" s="8" t="inlineStr">
        <is>
          <t>Dec 25</t>
        </is>
      </c>
    </row>
    <row r="378">
      <c r="A378" t="inlineStr">
        <is>
          <t>Revenue</t>
        </is>
      </c>
      <c r="B378" s="14" t="n">
        <v>34106</v>
      </c>
      <c r="C378" s="14" t="n">
        <v>32083</v>
      </c>
    </row>
    <row r="379">
      <c r="A379" t="inlineStr">
        <is>
          <t>Direct cost</t>
        </is>
      </c>
      <c r="B379" s="14" t="n">
        <v>17858</v>
      </c>
      <c r="C379" s="14" t="n">
        <v>16702</v>
      </c>
    </row>
    <row r="380">
      <c r="A380" t="inlineStr">
        <is>
          <t>Gross margin</t>
        </is>
      </c>
      <c r="B380" s="14">
        <f>B378-B379</f>
        <v/>
      </c>
      <c r="C380" s="14">
        <f>C378-C379</f>
        <v/>
      </c>
    </row>
    <row r="381">
      <c r="A381" s="16" t="inlineStr">
        <is>
          <t>Gross margin %</t>
        </is>
      </c>
      <c r="B381" s="17">
        <f>B380/B378</f>
        <v/>
      </c>
      <c r="C381" s="17">
        <f>C380/C378</f>
        <v/>
      </c>
    </row>
    <row r="382"/>
    <row r="383"/>
    <row r="384">
      <c r="A384" s="6" t="inlineStr">
        <is>
          <t>Trades, Call-outs and repairs: gross margin, January and December</t>
        </is>
      </c>
    </row>
    <row r="385">
      <c r="A385" s="13" t="inlineStr">
        <is>
          <t>Revenue less direct cost, over revenue. Before overheads.</t>
        </is>
      </c>
    </row>
    <row r="386">
      <c r="A386" s="7" t="inlineStr"/>
      <c r="B386" s="8" t="inlineStr">
        <is>
          <t>Jan 26</t>
        </is>
      </c>
      <c r="C386" s="8" t="inlineStr">
        <is>
          <t>Dec 25</t>
        </is>
      </c>
    </row>
    <row r="387">
      <c r="A387" t="inlineStr">
        <is>
          <t>Revenue</t>
        </is>
      </c>
      <c r="B387" s="14" t="n">
        <v>34106</v>
      </c>
      <c r="C387" s="14" t="n">
        <v>32083</v>
      </c>
    </row>
    <row r="388">
      <c r="A388" t="inlineStr">
        <is>
          <t>Direct cost</t>
        </is>
      </c>
      <c r="B388" s="14" t="n">
        <v>17858</v>
      </c>
      <c r="C388" s="14" t="n">
        <v>16702</v>
      </c>
    </row>
    <row r="389">
      <c r="A389" t="inlineStr">
        <is>
          <t>Gross margin</t>
        </is>
      </c>
      <c r="B389" s="14">
        <f>B387-B388</f>
        <v/>
      </c>
      <c r="C389" s="14">
        <f>C387-C388</f>
        <v/>
      </c>
    </row>
    <row r="390">
      <c r="A390" s="16" t="inlineStr">
        <is>
          <t>Gross margin %</t>
        </is>
      </c>
      <c r="B390" s="17">
        <f>B389/B387</f>
        <v/>
      </c>
      <c r="C390" s="17">
        <f>C389/C387</f>
        <v/>
      </c>
    </row>
    <row r="391"/>
    <row r="392"/>
    <row r="393">
      <c r="A393" s="6" t="inlineStr">
        <is>
          <t>Trades: From gross margin to profit, January 2026</t>
        </is>
      </c>
    </row>
    <row r="394">
      <c r="A394" s="13" t="inlineStr">
        <is>
          <t>Gross margin on the work − time not charged − overheads = profit before tax</t>
        </is>
      </c>
    </row>
    <row r="395">
      <c r="A395" s="7" t="inlineStr"/>
      <c r="B395" s="8" t="inlineStr">
        <is>
          <t>Jan 2026</t>
        </is>
      </c>
    </row>
    <row r="396">
      <c r="A396" t="inlineStr">
        <is>
          <t>Gross margin on jobs</t>
        </is>
      </c>
      <c r="B396" s="14" t="n">
        <v>76716</v>
      </c>
    </row>
    <row r="397">
      <c r="A397" t="inlineStr">
        <is>
          <t>Technician wages and on-costs</t>
        </is>
      </c>
      <c r="B397" s="14" t="n">
        <v>72352</v>
      </c>
    </row>
    <row r="398">
      <c r="A398" t="inlineStr">
        <is>
          <t>Technician time charged to jobs (at cost)</t>
        </is>
      </c>
      <c r="B398" s="14" t="n">
        <v>49980</v>
      </c>
    </row>
    <row r="399">
      <c r="A399" t="inlineStr">
        <is>
          <t>Technician time not charged to jobs</t>
        </is>
      </c>
      <c r="B399" s="14">
        <f>B397-B398</f>
        <v/>
      </c>
    </row>
    <row r="400">
      <c r="A400" t="inlineStr">
        <is>
          <t>Gross profit (the P&amp;L)</t>
        </is>
      </c>
      <c r="B400" s="14">
        <f>B396-B399</f>
        <v/>
      </c>
    </row>
    <row r="401">
      <c r="A401" t="inlineStr">
        <is>
          <t>Overheads (operating expenses, depreciation, interest)</t>
        </is>
      </c>
      <c r="B401" s="14" t="n">
        <v>58730</v>
      </c>
    </row>
    <row r="402">
      <c r="A402" t="inlineStr">
        <is>
          <t>Profit before tax (the P&amp;L)</t>
        </is>
      </c>
      <c r="B402" s="14">
        <f>B400-B401</f>
        <v/>
      </c>
    </row>
    <row r="403">
      <c r="A403" t="inlineStr">
        <is>
          <t>Revenue</t>
        </is>
      </c>
      <c r="B403" s="14" t="n">
        <v>183306</v>
      </c>
    </row>
    <row r="404">
      <c r="A404" t="inlineStr">
        <is>
          <t>Gross margin on jobs, %</t>
        </is>
      </c>
      <c r="B404" s="15">
        <f>B396/B403</f>
        <v/>
      </c>
    </row>
    <row r="405">
      <c r="A405" t="inlineStr">
        <is>
          <t>Profit before tax, % of revenue</t>
        </is>
      </c>
      <c r="B405" s="15">
        <f>B402/B403</f>
        <v/>
      </c>
    </row>
    <row r="406">
      <c r="A406" s="16" t="inlineStr">
        <is>
          <t>Gross margin jobs need just to cover overheads and time not charged</t>
        </is>
      </c>
      <c r="B406" s="17">
        <f>(B399+B401)/B403</f>
        <v/>
      </c>
    </row>
    <row r="407">
      <c r="A407" s="2" t="inlineStr">
        <is>
          <t>Ties to the January 2026 P&amp;L (locked). Wages include their on-costs: super (12%) and leave as it's earned. No payroll tax: wages are under Queensland's $1.3 million threshold.</t>
        </is>
      </c>
    </row>
    <row r="408"/>
    <row r="409"/>
    <row r="410">
      <c r="A410" s="6" t="inlineStr">
        <is>
          <t>Call-out revenue, January</t>
        </is>
      </c>
    </row>
    <row r="411">
      <c r="A411" s="13" t="inlineStr">
        <is>
          <t>Technician time charged at $163/hour + materials charged at cost × 1.3</t>
        </is>
      </c>
    </row>
    <row r="412">
      <c r="A412" s="7" t="inlineStr"/>
      <c r="B412" s="8" t="inlineStr">
        <is>
          <t>Jan 2026</t>
        </is>
      </c>
    </row>
    <row r="413">
      <c r="A413" t="inlineStr">
        <is>
          <t>Technician time charged ($163/hour)</t>
        </is>
      </c>
      <c r="B413" s="14" t="n">
        <v>23797</v>
      </c>
    </row>
    <row r="414">
      <c r="A414" t="inlineStr">
        <is>
          <t>Materials at cost</t>
        </is>
      </c>
      <c r="B414" s="14" t="n">
        <v>7930</v>
      </c>
    </row>
    <row r="415">
      <c r="A415" t="inlineStr">
        <is>
          <t>Mark-up on materials</t>
        </is>
      </c>
      <c r="B415" s="15" t="n">
        <v>0.3</v>
      </c>
    </row>
    <row r="416">
      <c r="A416" t="inlineStr">
        <is>
          <t>Materials charged (cost × 1.3)</t>
        </is>
      </c>
      <c r="B416" s="14">
        <f>B414*(1+B415)</f>
        <v/>
      </c>
    </row>
    <row r="417">
      <c r="A417" t="inlineStr">
        <is>
          <t>Materials charged (as invoiced, rounded per call-out)</t>
        </is>
      </c>
      <c r="B417" s="14" t="n">
        <v>10309</v>
      </c>
    </row>
    <row r="418">
      <c r="A418" t="inlineStr">
        <is>
          <t>Call-out revenue</t>
        </is>
      </c>
      <c r="B418" s="14">
        <f>B413+B417</f>
        <v/>
      </c>
    </row>
    <row r="419">
      <c r="A419" s="16" t="inlineStr">
        <is>
          <t>Technician time, % of call-out revenue</t>
        </is>
      </c>
      <c r="B419" s="17">
        <f>B413/B418</f>
        <v/>
      </c>
    </row>
    <row r="420"/>
    <row r="421"/>
    <row r="422">
      <c r="A422" s="6" t="inlineStr">
        <is>
          <t>Call-out revenue, January</t>
        </is>
      </c>
    </row>
    <row r="423">
      <c r="A423" s="13" t="inlineStr">
        <is>
          <t>Technician time charged at $163/hour + materials charged at cost × 1.3</t>
        </is>
      </c>
    </row>
    <row r="424">
      <c r="A424" s="7" t="inlineStr"/>
      <c r="B424" s="8" t="inlineStr">
        <is>
          <t>Jan 2026</t>
        </is>
      </c>
    </row>
    <row r="425">
      <c r="A425" t="inlineStr">
        <is>
          <t>Technician time charged ($163/hour)</t>
        </is>
      </c>
      <c r="B425" s="14" t="n">
        <v>23797</v>
      </c>
    </row>
    <row r="426">
      <c r="A426" t="inlineStr">
        <is>
          <t>Materials at cost</t>
        </is>
      </c>
      <c r="B426" s="14" t="n">
        <v>7930</v>
      </c>
    </row>
    <row r="427">
      <c r="A427" t="inlineStr">
        <is>
          <t>Mark-up on materials</t>
        </is>
      </c>
      <c r="B427" s="15" t="n">
        <v>0.3</v>
      </c>
    </row>
    <row r="428">
      <c r="A428" t="inlineStr">
        <is>
          <t>Materials charged (cost × 1.3)</t>
        </is>
      </c>
      <c r="B428" s="14">
        <f>B426*(1+B427)</f>
        <v/>
      </c>
    </row>
    <row r="429">
      <c r="A429" t="inlineStr">
        <is>
          <t>Materials charged (as invoiced, rounded per call-out)</t>
        </is>
      </c>
      <c r="B429" s="14" t="n">
        <v>10309</v>
      </c>
    </row>
    <row r="430">
      <c r="A430" t="inlineStr">
        <is>
          <t>Call-out revenue</t>
        </is>
      </c>
      <c r="B430" s="14">
        <f>B425+B429</f>
        <v/>
      </c>
    </row>
    <row r="431">
      <c r="A431" s="16" t="inlineStr">
        <is>
          <t>Technician time, % of call-out revenue</t>
        </is>
      </c>
      <c r="B431" s="17">
        <f>B425/B430</f>
        <v/>
      </c>
    </row>
    <row r="432"/>
    <row r="433"/>
    <row r="434">
      <c r="A434" s="6" t="inlineStr">
        <is>
          <t>1-hour call-outs (7)</t>
        </is>
      </c>
    </row>
    <row r="435">
      <c r="A435" s="13" t="inlineStr">
        <is>
          <t>Call-outs of this length in January, added together</t>
        </is>
      </c>
    </row>
    <row r="436">
      <c r="A436" s="7" t="inlineStr"/>
      <c r="B436" s="8" t="inlineStr">
        <is>
          <t>Jan 2026</t>
        </is>
      </c>
    </row>
    <row r="437">
      <c r="A437" t="inlineStr">
        <is>
          <t>Call-outs</t>
        </is>
      </c>
      <c r="B437" s="14" t="n">
        <v>7</v>
      </c>
    </row>
    <row r="438">
      <c r="A438" t="inlineStr">
        <is>
          <t>Technician time charged ($163/hour)</t>
        </is>
      </c>
      <c r="B438" s="14" t="n">
        <v>1141</v>
      </c>
    </row>
    <row r="439">
      <c r="A439" t="inlineStr">
        <is>
          <t>Materials charged (cost × 1.3)</t>
        </is>
      </c>
      <c r="B439" s="14" t="n">
        <v>1144</v>
      </c>
    </row>
    <row r="440">
      <c r="A440" t="inlineStr">
        <is>
          <t>Revenue</t>
        </is>
      </c>
      <c r="B440" s="14">
        <f>B438+B439</f>
        <v/>
      </c>
    </row>
    <row r="441">
      <c r="A441" t="inlineStr">
        <is>
          <t>Materials at cost</t>
        </is>
      </c>
      <c r="B441" s="14" t="n">
        <v>-880</v>
      </c>
    </row>
    <row r="442">
      <c r="A442" t="inlineStr">
        <is>
          <t>Technician time at cost</t>
        </is>
      </c>
      <c r="B442" s="14" t="n">
        <v>-476</v>
      </c>
    </row>
    <row r="443">
      <c r="A443" t="inlineStr">
        <is>
          <t>Job gross margin</t>
        </is>
      </c>
      <c r="B443" s="14">
        <f>B440+B441+B442</f>
        <v/>
      </c>
    </row>
    <row r="444">
      <c r="A444" s="16" t="inlineStr">
        <is>
          <t>Job gross margin %</t>
        </is>
      </c>
      <c r="B444" s="17">
        <f>B443/B440</f>
        <v/>
      </c>
    </row>
    <row r="445"/>
    <row r="446"/>
    <row r="447">
      <c r="A447" s="6" t="inlineStr">
        <is>
          <t>1.5-hour call-outs (11)</t>
        </is>
      </c>
    </row>
    <row r="448">
      <c r="A448" s="13" t="inlineStr">
        <is>
          <t>Call-outs of this length in January, added together</t>
        </is>
      </c>
    </row>
    <row r="449">
      <c r="A449" s="7" t="inlineStr"/>
      <c r="B449" s="8" t="inlineStr">
        <is>
          <t>Jan 2026</t>
        </is>
      </c>
    </row>
    <row r="450">
      <c r="A450" t="inlineStr">
        <is>
          <t>Call-outs</t>
        </is>
      </c>
      <c r="B450" s="14" t="n">
        <v>11</v>
      </c>
    </row>
    <row r="451">
      <c r="A451" t="inlineStr">
        <is>
          <t>Technician time charged ($163/hour)</t>
        </is>
      </c>
      <c r="B451" s="14" t="n">
        <v>2686</v>
      </c>
    </row>
    <row r="452">
      <c r="A452" t="inlineStr">
        <is>
          <t>Materials charged (cost × 1.3)</t>
        </is>
      </c>
      <c r="B452" s="14" t="n">
        <v>2132</v>
      </c>
    </row>
    <row r="453">
      <c r="A453" t="inlineStr">
        <is>
          <t>Revenue</t>
        </is>
      </c>
      <c r="B453" s="14">
        <f>B451+B452</f>
        <v/>
      </c>
    </row>
    <row r="454">
      <c r="A454" t="inlineStr">
        <is>
          <t>Materials at cost</t>
        </is>
      </c>
      <c r="B454" s="14" t="n">
        <v>-1640</v>
      </c>
    </row>
    <row r="455">
      <c r="A455" t="inlineStr">
        <is>
          <t>Technician time at cost</t>
        </is>
      </c>
      <c r="B455" s="14" t="n">
        <v>-1122</v>
      </c>
    </row>
    <row r="456">
      <c r="A456" t="inlineStr">
        <is>
          <t>Job gross margin</t>
        </is>
      </c>
      <c r="B456" s="14">
        <f>B453+B454+B455</f>
        <v/>
      </c>
    </row>
    <row r="457">
      <c r="A457" s="16" t="inlineStr">
        <is>
          <t>Job gross margin %</t>
        </is>
      </c>
      <c r="B457" s="17">
        <f>B456/B453</f>
        <v/>
      </c>
    </row>
    <row r="458"/>
    <row r="459"/>
    <row r="460">
      <c r="A460" s="6" t="inlineStr">
        <is>
          <t>2-hour call-outs (8)</t>
        </is>
      </c>
    </row>
    <row r="461">
      <c r="A461" s="13" t="inlineStr">
        <is>
          <t>Call-outs of this length in January, added together</t>
        </is>
      </c>
    </row>
    <row r="462">
      <c r="A462" s="7" t="inlineStr"/>
      <c r="B462" s="8" t="inlineStr">
        <is>
          <t>Jan 2026</t>
        </is>
      </c>
    </row>
    <row r="463">
      <c r="A463" t="inlineStr">
        <is>
          <t>Call-outs</t>
        </is>
      </c>
      <c r="B463" s="14" t="n">
        <v>8</v>
      </c>
    </row>
    <row r="464">
      <c r="A464" t="inlineStr">
        <is>
          <t>Technician time charged ($163/hour)</t>
        </is>
      </c>
      <c r="B464" s="14" t="n">
        <v>2608</v>
      </c>
    </row>
    <row r="465">
      <c r="A465" t="inlineStr">
        <is>
          <t>Materials charged (cost × 1.3)</t>
        </is>
      </c>
      <c r="B465" s="14" t="n">
        <v>1131</v>
      </c>
    </row>
    <row r="466">
      <c r="A466" t="inlineStr">
        <is>
          <t>Revenue</t>
        </is>
      </c>
      <c r="B466" s="14">
        <f>B464+B465</f>
        <v/>
      </c>
    </row>
    <row r="467">
      <c r="A467" t="inlineStr">
        <is>
          <t>Materials at cost</t>
        </is>
      </c>
      <c r="B467" s="14" t="n">
        <v>-870</v>
      </c>
    </row>
    <row r="468">
      <c r="A468" t="inlineStr">
        <is>
          <t>Technician time at cost</t>
        </is>
      </c>
      <c r="B468" s="14" t="n">
        <v>-1088</v>
      </c>
    </row>
    <row r="469">
      <c r="A469" t="inlineStr">
        <is>
          <t>Job gross margin</t>
        </is>
      </c>
      <c r="B469" s="14">
        <f>B466+B467+B468</f>
        <v/>
      </c>
    </row>
    <row r="470">
      <c r="A470" s="16" t="inlineStr">
        <is>
          <t>Job gross margin %</t>
        </is>
      </c>
      <c r="B470" s="17">
        <f>B469/B466</f>
        <v/>
      </c>
    </row>
    <row r="471"/>
    <row r="472"/>
    <row r="473">
      <c r="A473" s="6" t="inlineStr">
        <is>
          <t>2.5-hour call-outs (11)</t>
        </is>
      </c>
    </row>
    <row r="474">
      <c r="A474" s="13" t="inlineStr">
        <is>
          <t>Call-outs of this length in January, added together</t>
        </is>
      </c>
    </row>
    <row r="475">
      <c r="A475" s="7" t="inlineStr"/>
      <c r="B475" s="8" t="inlineStr">
        <is>
          <t>Jan 2026</t>
        </is>
      </c>
    </row>
    <row r="476">
      <c r="A476" t="inlineStr">
        <is>
          <t>Call-outs</t>
        </is>
      </c>
      <c r="B476" s="14" t="n">
        <v>11</v>
      </c>
    </row>
    <row r="477">
      <c r="A477" t="inlineStr">
        <is>
          <t>Technician time charged ($163/hour)</t>
        </is>
      </c>
      <c r="B477" s="14" t="n">
        <v>4485</v>
      </c>
    </row>
    <row r="478">
      <c r="A478" t="inlineStr">
        <is>
          <t>Materials charged (cost × 1.3)</t>
        </is>
      </c>
      <c r="B478" s="14" t="n">
        <v>2301</v>
      </c>
    </row>
    <row r="479">
      <c r="A479" t="inlineStr">
        <is>
          <t>Revenue</t>
        </is>
      </c>
      <c r="B479" s="14">
        <f>B477+B478</f>
        <v/>
      </c>
    </row>
    <row r="480">
      <c r="A480" t="inlineStr">
        <is>
          <t>Materials at cost</t>
        </is>
      </c>
      <c r="B480" s="14" t="n">
        <v>-1770</v>
      </c>
    </row>
    <row r="481">
      <c r="A481" t="inlineStr">
        <is>
          <t>Technician time at cost</t>
        </is>
      </c>
      <c r="B481" s="14" t="n">
        <v>-1870</v>
      </c>
    </row>
    <row r="482">
      <c r="A482" t="inlineStr">
        <is>
          <t>Job gross margin</t>
        </is>
      </c>
      <c r="B482" s="14">
        <f>B479+B480+B481</f>
        <v/>
      </c>
    </row>
    <row r="483">
      <c r="A483" s="16" t="inlineStr">
        <is>
          <t>Job gross margin %</t>
        </is>
      </c>
      <c r="B483" s="17">
        <f>B482/B479</f>
        <v/>
      </c>
    </row>
    <row r="484"/>
    <row r="485"/>
    <row r="486">
      <c r="A486" s="6" t="inlineStr">
        <is>
          <t>3-hour call-outs (21)</t>
        </is>
      </c>
    </row>
    <row r="487">
      <c r="A487" s="13" t="inlineStr">
        <is>
          <t>Call-outs of this length in January, added together</t>
        </is>
      </c>
    </row>
    <row r="488">
      <c r="A488" s="7" t="inlineStr"/>
      <c r="B488" s="8" t="inlineStr">
        <is>
          <t>Jan 2026</t>
        </is>
      </c>
    </row>
    <row r="489">
      <c r="A489" t="inlineStr">
        <is>
          <t>Call-outs</t>
        </is>
      </c>
      <c r="B489" s="14" t="n">
        <v>21</v>
      </c>
    </row>
    <row r="490">
      <c r="A490" t="inlineStr">
        <is>
          <t>Technician time charged ($163/hour)</t>
        </is>
      </c>
      <c r="B490" s="14" t="n">
        <v>10269</v>
      </c>
    </row>
    <row r="491">
      <c r="A491" t="inlineStr">
        <is>
          <t>Materials charged (cost × 1.3)</t>
        </is>
      </c>
      <c r="B491" s="14" t="n">
        <v>2899</v>
      </c>
    </row>
    <row r="492">
      <c r="A492" t="inlineStr">
        <is>
          <t>Revenue</t>
        </is>
      </c>
      <c r="B492" s="14">
        <f>B490+B491</f>
        <v/>
      </c>
    </row>
    <row r="493">
      <c r="A493" t="inlineStr">
        <is>
          <t>Materials at cost</t>
        </is>
      </c>
      <c r="B493" s="14" t="n">
        <v>-2230</v>
      </c>
    </row>
    <row r="494">
      <c r="A494" t="inlineStr">
        <is>
          <t>Technician time at cost</t>
        </is>
      </c>
      <c r="B494" s="14" t="n">
        <v>-4284</v>
      </c>
    </row>
    <row r="495">
      <c r="A495" t="inlineStr">
        <is>
          <t>Job gross margin</t>
        </is>
      </c>
      <c r="B495" s="14">
        <f>B492+B493+B494</f>
        <v/>
      </c>
    </row>
    <row r="496">
      <c r="A496" s="16" t="inlineStr">
        <is>
          <t>Job gross margin %</t>
        </is>
      </c>
      <c r="B496" s="17">
        <f>B495/B492</f>
        <v/>
      </c>
    </row>
    <row r="497"/>
    <row r="498"/>
    <row r="499">
      <c r="A499" s="6" t="inlineStr">
        <is>
          <t>4-hour call-outs (4)</t>
        </is>
      </c>
    </row>
    <row r="500">
      <c r="A500" s="13" t="inlineStr">
        <is>
          <t>Call-outs of this length in January, added together</t>
        </is>
      </c>
    </row>
    <row r="501">
      <c r="A501" s="7" t="inlineStr"/>
      <c r="B501" s="8" t="inlineStr">
        <is>
          <t>Jan 2026</t>
        </is>
      </c>
    </row>
    <row r="502">
      <c r="A502" t="inlineStr">
        <is>
          <t>Call-outs</t>
        </is>
      </c>
      <c r="B502" s="14" t="n">
        <v>4</v>
      </c>
    </row>
    <row r="503">
      <c r="A503" t="inlineStr">
        <is>
          <t>Technician time charged ($163/hour)</t>
        </is>
      </c>
      <c r="B503" s="14" t="n">
        <v>2608</v>
      </c>
    </row>
    <row r="504">
      <c r="A504" t="inlineStr">
        <is>
          <t>Materials charged (cost × 1.3)</t>
        </is>
      </c>
      <c r="B504" s="14" t="n">
        <v>702</v>
      </c>
    </row>
    <row r="505">
      <c r="A505" t="inlineStr">
        <is>
          <t>Revenue</t>
        </is>
      </c>
      <c r="B505" s="14">
        <f>B503+B504</f>
        <v/>
      </c>
    </row>
    <row r="506">
      <c r="A506" t="inlineStr">
        <is>
          <t>Materials at cost</t>
        </is>
      </c>
      <c r="B506" s="14" t="n">
        <v>-540</v>
      </c>
    </row>
    <row r="507">
      <c r="A507" t="inlineStr">
        <is>
          <t>Technician time at cost</t>
        </is>
      </c>
      <c r="B507" s="14" t="n">
        <v>-1088</v>
      </c>
    </row>
    <row r="508">
      <c r="A508" t="inlineStr">
        <is>
          <t>Job gross margin</t>
        </is>
      </c>
      <c r="B508" s="14">
        <f>B505+B506+B507</f>
        <v/>
      </c>
    </row>
    <row r="509">
      <c r="A509" s="16" t="inlineStr">
        <is>
          <t>Job gross margin %</t>
        </is>
      </c>
      <c r="B509" s="17">
        <f>B508/B505</f>
        <v/>
      </c>
    </row>
    <row r="510"/>
    <row r="511"/>
    <row r="512"/>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92" min="0" max="16383" man="1"/>
    <brk id="322" min="0" max="16383" man="1"/>
    <brk id="348" min="0" max="16383" man="1"/>
    <brk id="374" min="0" max="16383" man="1"/>
    <brk id="392" min="0" max="16383" man="1"/>
    <brk id="421" min="0" max="16383" man="1"/>
    <brk id="446" min="0" max="16383" man="1"/>
    <brk id="472" min="0" max="16383" man="1"/>
    <brk id="498"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January 2026: Target 35.0%</t>
        </is>
      </c>
    </row>
    <row r="4">
      <c r="B4" t="n">
        <v>0.35</v>
      </c>
      <c r="C4" t="n">
        <v>0</v>
      </c>
    </row>
    <row r="5">
      <c r="B5" t="n">
        <v>0.35</v>
      </c>
      <c r="C5" t="n">
        <v>1</v>
      </c>
    </row>
    <row r="6"/>
    <row r="7">
      <c r="A7" t="inlineStr">
        <is>
          <t>Report: Job gross margin by type of job, January 2026: Break-even 44.2%</t>
        </is>
      </c>
    </row>
    <row r="8">
      <c r="B8" t="n">
        <v>0.442</v>
      </c>
      <c r="C8" t="n">
        <v>0</v>
      </c>
    </row>
    <row r="9">
      <c r="B9" t="n">
        <v>0.442</v>
      </c>
      <c r="C9" t="n">
        <v>1</v>
      </c>
    </row>
    <row r="10"/>
    <row r="11">
      <c r="A11" t="inlineStr">
        <is>
          <t>Report: Job gross margin on each maintenance contract, January 2026: Target 35.0%</t>
        </is>
      </c>
    </row>
    <row r="12">
      <c r="B12" t="n">
        <v>0.35</v>
      </c>
      <c r="C12" t="n">
        <v>0</v>
      </c>
    </row>
    <row r="13">
      <c r="B13" t="n">
        <v>0.35</v>
      </c>
      <c r="C13" t="n">
        <v>1</v>
      </c>
    </row>
    <row r="14"/>
    <row r="15">
      <c r="A15" t="inlineStr">
        <is>
          <t>Report: Job gross margin on each maintenance contract, January 2026: Break-even 44.2%</t>
        </is>
      </c>
    </row>
    <row r="16">
      <c r="B16" t="n">
        <v>0.442</v>
      </c>
      <c r="C16" t="n">
        <v>0</v>
      </c>
    </row>
    <row r="17">
      <c r="B17" t="n">
        <v>0.442</v>
      </c>
      <c r="C17" t="n">
        <v>1</v>
      </c>
    </row>
    <row r="18"/>
    <row r="19">
      <c r="A19" t="inlineStr">
        <is>
          <t>Report: Job gross margin on each installation invoiced in January 2026: Target 35.0%</t>
        </is>
      </c>
    </row>
    <row r="20">
      <c r="B20" t="n">
        <v>0.35</v>
      </c>
      <c r="C20" t="n">
        <v>0</v>
      </c>
    </row>
    <row r="21">
      <c r="B21" t="n">
        <v>0.35</v>
      </c>
      <c r="C21" t="n">
        <v>1</v>
      </c>
    </row>
    <row r="22"/>
    <row r="23">
      <c r="A23" t="inlineStr">
        <is>
          <t>Report: Job gross margin on each installation invoiced in January 2026: Break-even 44.2%</t>
        </is>
      </c>
    </row>
    <row r="24">
      <c r="B24" t="n">
        <v>0.442</v>
      </c>
      <c r="C24" t="n">
        <v>0</v>
      </c>
    </row>
    <row r="25">
      <c r="B25" t="n">
        <v>0.442</v>
      </c>
      <c r="C25" t="n">
        <v>1</v>
      </c>
    </row>
    <row r="26"/>
    <row r="27">
      <c r="A27" t="inlineStr">
        <is>
          <t>Report: Job gross margin on call-outs by length, January 2026: Target 35.0%</t>
        </is>
      </c>
    </row>
    <row r="28">
      <c r="B28" t="n">
        <v>0.35</v>
      </c>
      <c r="C28" t="n">
        <v>0</v>
      </c>
    </row>
    <row r="29">
      <c r="B29" t="n">
        <v>0.35</v>
      </c>
      <c r="C29" t="n">
        <v>1</v>
      </c>
    </row>
    <row r="30"/>
    <row r="31">
      <c r="A31" t="inlineStr">
        <is>
          <t>Report: Job gross margin on call-outs by length, January 2026: Break-even 44.2%</t>
        </is>
      </c>
    </row>
    <row r="32">
      <c r="B32" t="n">
        <v>0.442</v>
      </c>
      <c r="C32" t="n">
        <v>0</v>
      </c>
    </row>
    <row r="33">
      <c r="B33" t="n">
        <v>0.442</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6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January 2026 · Data status: Jan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Maintenance contracts</t>
        </is>
      </c>
      <c r="B22" s="19" t="inlineStr">
        <is>
          <t>Oct 24</t>
        </is>
      </c>
      <c r="C22" s="19" t="inlineStr">
        <is>
          <t>Locked</t>
        </is>
      </c>
      <c r="D22" s="14" t="n">
        <v>27650</v>
      </c>
      <c r="E22" s="14" t="n">
        <v>10420</v>
      </c>
      <c r="F22" s="14">
        <f>D22-E22</f>
        <v/>
      </c>
      <c r="G22" s="15">
        <f>IF(D22=0,"",F22/D22)</f>
        <v/>
      </c>
    </row>
    <row r="23">
      <c r="A23" s="19" t="inlineStr">
        <is>
          <t>Maintenance contracts</t>
        </is>
      </c>
      <c r="B23" s="19" t="inlineStr">
        <is>
          <t>Nov 24</t>
        </is>
      </c>
      <c r="C23" s="19" t="inlineStr">
        <is>
          <t>Locked</t>
        </is>
      </c>
      <c r="D23" s="14" t="n">
        <v>27650</v>
      </c>
      <c r="E23" s="14" t="n">
        <v>10420</v>
      </c>
      <c r="F23" s="14">
        <f>D23-E23</f>
        <v/>
      </c>
      <c r="G23" s="15">
        <f>IF(D23=0,"",F23/D23)</f>
        <v/>
      </c>
    </row>
    <row r="24">
      <c r="A24" s="19" t="inlineStr">
        <is>
          <t>Maintenance contracts</t>
        </is>
      </c>
      <c r="B24" s="19" t="inlineStr">
        <is>
          <t>Dec 24</t>
        </is>
      </c>
      <c r="C24" s="19" t="inlineStr">
        <is>
          <t>Locked</t>
        </is>
      </c>
      <c r="D24" s="14" t="n">
        <v>27650</v>
      </c>
      <c r="E24" s="14" t="n">
        <v>10420</v>
      </c>
      <c r="F24" s="14">
        <f>D24-E24</f>
        <v/>
      </c>
      <c r="G24" s="15">
        <f>IF(D24=0,"",F24/D24)</f>
        <v/>
      </c>
    </row>
    <row r="25">
      <c r="A25" s="19" t="inlineStr">
        <is>
          <t>Maintenance contracts</t>
        </is>
      </c>
      <c r="B25" s="19" t="inlineStr">
        <is>
          <t>Jan 25</t>
        </is>
      </c>
      <c r="C25" s="19" t="inlineStr">
        <is>
          <t>Locked</t>
        </is>
      </c>
      <c r="D25" s="14" t="n">
        <v>27650</v>
      </c>
      <c r="E25" s="14" t="n">
        <v>10420</v>
      </c>
      <c r="F25" s="14">
        <f>D25-E25</f>
        <v/>
      </c>
      <c r="G25" s="15">
        <f>IF(D25=0,"",F25/D25)</f>
        <v/>
      </c>
    </row>
    <row r="26">
      <c r="A26" s="19" t="inlineStr">
        <is>
          <t>Maintenance contracts</t>
        </is>
      </c>
      <c r="B26" s="19" t="inlineStr">
        <is>
          <t>Feb 25</t>
        </is>
      </c>
      <c r="C26" s="19" t="inlineStr">
        <is>
          <t>Locked</t>
        </is>
      </c>
      <c r="D26" s="14" t="n">
        <v>31300</v>
      </c>
      <c r="E26" s="14" t="n">
        <v>11782</v>
      </c>
      <c r="F26" s="14">
        <f>D26-E26</f>
        <v/>
      </c>
      <c r="G26" s="15">
        <f>IF(D26=0,"",F26/D26)</f>
        <v/>
      </c>
    </row>
    <row r="27">
      <c r="A27" s="19" t="inlineStr">
        <is>
          <t>Maintenance contracts</t>
        </is>
      </c>
      <c r="B27" s="19" t="inlineStr">
        <is>
          <t>Mar 25</t>
        </is>
      </c>
      <c r="C27" s="19" t="inlineStr">
        <is>
          <t>Locked</t>
        </is>
      </c>
      <c r="D27" s="14" t="n">
        <v>31300</v>
      </c>
      <c r="E27" s="14" t="n">
        <v>11782</v>
      </c>
      <c r="F27" s="14">
        <f>D27-E27</f>
        <v/>
      </c>
      <c r="G27" s="15">
        <f>IF(D27=0,"",F27/D27)</f>
        <v/>
      </c>
    </row>
    <row r="28">
      <c r="A28" s="19" t="inlineStr">
        <is>
          <t>Maintenance contracts</t>
        </is>
      </c>
      <c r="B28" s="19" t="inlineStr">
        <is>
          <t>Apr 25</t>
        </is>
      </c>
      <c r="C28" s="19" t="inlineStr">
        <is>
          <t>Locked</t>
        </is>
      </c>
      <c r="D28" s="14" t="n">
        <v>31300</v>
      </c>
      <c r="E28" s="14" t="n">
        <v>11782</v>
      </c>
      <c r="F28" s="14">
        <f>D28-E28</f>
        <v/>
      </c>
      <c r="G28" s="15">
        <f>IF(D28=0,"",F28/D28)</f>
        <v/>
      </c>
    </row>
    <row r="29">
      <c r="A29" s="19" t="inlineStr">
        <is>
          <t>Maintenance contracts</t>
        </is>
      </c>
      <c r="B29" s="19" t="inlineStr">
        <is>
          <t>May 25</t>
        </is>
      </c>
      <c r="C29" s="19" t="inlineStr">
        <is>
          <t>Locked</t>
        </is>
      </c>
      <c r="D29" s="14" t="n">
        <v>31300</v>
      </c>
      <c r="E29" s="14" t="n">
        <v>11782</v>
      </c>
      <c r="F29" s="14">
        <f>D29-E29</f>
        <v/>
      </c>
      <c r="G29" s="15">
        <f>IF(D29=0,"",F29/D29)</f>
        <v/>
      </c>
    </row>
    <row r="30">
      <c r="A30" s="19" t="inlineStr">
        <is>
          <t>Maintenance contracts</t>
        </is>
      </c>
      <c r="B30" s="19" t="inlineStr">
        <is>
          <t>Jun 25</t>
        </is>
      </c>
      <c r="C30" s="19" t="inlineStr">
        <is>
          <t>Locked</t>
        </is>
      </c>
      <c r="D30" s="14" t="n">
        <v>35720</v>
      </c>
      <c r="E30" s="14" t="n">
        <v>13446</v>
      </c>
      <c r="F30" s="14">
        <f>D30-E30</f>
        <v/>
      </c>
      <c r="G30" s="15">
        <f>IF(D30=0,"",F30/D30)</f>
        <v/>
      </c>
    </row>
    <row r="31">
      <c r="A31" s="19" t="inlineStr">
        <is>
          <t>Maintenance contracts</t>
        </is>
      </c>
      <c r="B31" s="19" t="inlineStr">
        <is>
          <t>Jul 25</t>
        </is>
      </c>
      <c r="C31" s="19" t="inlineStr">
        <is>
          <t>Locked</t>
        </is>
      </c>
      <c r="D31" s="14" t="n">
        <v>37200</v>
      </c>
      <c r="E31" s="14" t="n">
        <v>13446</v>
      </c>
      <c r="F31" s="14">
        <f>D31-E31</f>
        <v/>
      </c>
      <c r="G31" s="15">
        <f>IF(D31=0,"",F31/D31)</f>
        <v/>
      </c>
    </row>
    <row r="32">
      <c r="A32" s="19" t="inlineStr">
        <is>
          <t>Maintenance contracts</t>
        </is>
      </c>
      <c r="B32" s="19" t="inlineStr">
        <is>
          <t>Aug 25</t>
        </is>
      </c>
      <c r="C32" s="19" t="inlineStr">
        <is>
          <t>Locked</t>
        </is>
      </c>
      <c r="D32" s="14" t="n">
        <v>37200</v>
      </c>
      <c r="E32" s="14" t="n">
        <v>13446</v>
      </c>
      <c r="F32" s="14">
        <f>D32-E32</f>
        <v/>
      </c>
      <c r="G32" s="15">
        <f>IF(D32=0,"",F32/D32)</f>
        <v/>
      </c>
    </row>
    <row r="33">
      <c r="A33" s="19" t="inlineStr">
        <is>
          <t>Maintenance contracts</t>
        </is>
      </c>
      <c r="B33" s="19" t="inlineStr">
        <is>
          <t>Sep 25</t>
        </is>
      </c>
      <c r="C33" s="19" t="inlineStr">
        <is>
          <t>Locked</t>
        </is>
      </c>
      <c r="D33" s="14" t="n">
        <v>37200</v>
      </c>
      <c r="E33" s="14" t="n">
        <v>13446</v>
      </c>
      <c r="F33" s="14">
        <f>D33-E33</f>
        <v/>
      </c>
      <c r="G33" s="15">
        <f>IF(D33=0,"",F33/D33)</f>
        <v/>
      </c>
    </row>
    <row r="34">
      <c r="A34" s="19" t="inlineStr">
        <is>
          <t>Maintenance contracts</t>
        </is>
      </c>
      <c r="B34" s="19" t="inlineStr">
        <is>
          <t>Oct 25</t>
        </is>
      </c>
      <c r="C34" s="19" t="inlineStr">
        <is>
          <t>Locked</t>
        </is>
      </c>
      <c r="D34" s="14" t="n">
        <v>40100</v>
      </c>
      <c r="E34" s="14" t="n">
        <v>14516</v>
      </c>
      <c r="F34" s="14">
        <f>D34-E34</f>
        <v/>
      </c>
      <c r="G34" s="15">
        <f>IF(D34=0,"",F34/D34)</f>
        <v/>
      </c>
    </row>
    <row r="35">
      <c r="A35" s="19" t="inlineStr">
        <is>
          <t>Maintenance contracts</t>
        </is>
      </c>
      <c r="B35" s="19" t="inlineStr">
        <is>
          <t>Nov 25</t>
        </is>
      </c>
      <c r="C35" s="19" t="inlineStr">
        <is>
          <t>Locked</t>
        </is>
      </c>
      <c r="D35" s="14" t="n">
        <v>40100</v>
      </c>
      <c r="E35" s="14" t="n">
        <v>14516</v>
      </c>
      <c r="F35" s="14">
        <f>D35-E35</f>
        <v/>
      </c>
      <c r="G35" s="15">
        <f>IF(D35=0,"",F35/D35)</f>
        <v/>
      </c>
    </row>
    <row r="36">
      <c r="A36" s="19" t="inlineStr">
        <is>
          <t>Maintenance contracts</t>
        </is>
      </c>
      <c r="B36" s="19" t="inlineStr">
        <is>
          <t>Dec 25</t>
        </is>
      </c>
      <c r="C36" s="19" t="inlineStr">
        <is>
          <t>Locked</t>
        </is>
      </c>
      <c r="D36" s="14" t="n">
        <v>40100</v>
      </c>
      <c r="E36" s="14" t="n">
        <v>14516</v>
      </c>
      <c r="F36" s="14">
        <f>D36-E36</f>
        <v/>
      </c>
      <c r="G36" s="15">
        <f>IF(D36=0,"",F36/D36)</f>
        <v/>
      </c>
    </row>
    <row r="37">
      <c r="A37" s="19" t="inlineStr">
        <is>
          <t>Maintenance contracts</t>
        </is>
      </c>
      <c r="B37" s="19" t="inlineStr">
        <is>
          <t>Jan 26</t>
        </is>
      </c>
      <c r="C37" s="19" t="inlineStr">
        <is>
          <t>Locked</t>
        </is>
      </c>
      <c r="D37" s="14" t="n">
        <v>40100</v>
      </c>
      <c r="E37" s="14" t="n">
        <v>14516</v>
      </c>
      <c r="F37" s="14">
        <f>D37-E37</f>
        <v/>
      </c>
      <c r="G37" s="15">
        <f>IF(D37=0,"",F37/D37)</f>
        <v/>
      </c>
    </row>
    <row r="38">
      <c r="A38" s="19" t="inlineStr">
        <is>
          <t>Installations</t>
        </is>
      </c>
      <c r="B38" s="19" t="inlineStr">
        <is>
          <t>Oct 24</t>
        </is>
      </c>
      <c r="C38" s="19" t="inlineStr">
        <is>
          <t>Locked</t>
        </is>
      </c>
      <c r="D38" s="14" t="n">
        <v>141600</v>
      </c>
      <c r="E38" s="14" t="n">
        <v>92430</v>
      </c>
      <c r="F38" s="14">
        <f>D38-E38</f>
        <v/>
      </c>
      <c r="G38" s="15">
        <f>IF(D38=0,"",F38/D38)</f>
        <v/>
      </c>
    </row>
    <row r="39">
      <c r="A39" s="19" t="inlineStr">
        <is>
          <t>Installations</t>
        </is>
      </c>
      <c r="B39" s="19" t="inlineStr">
        <is>
          <t>Nov 24</t>
        </is>
      </c>
      <c r="C39" s="19" t="inlineStr">
        <is>
          <t>Locked</t>
        </is>
      </c>
      <c r="D39" s="14" t="n">
        <v>147100</v>
      </c>
      <c r="E39" s="14" t="n">
        <v>89070</v>
      </c>
      <c r="F39" s="14">
        <f>D39-E39</f>
        <v/>
      </c>
      <c r="G39" s="15">
        <f>IF(D39=0,"",F39/D39)</f>
        <v/>
      </c>
    </row>
    <row r="40">
      <c r="A40" s="19" t="inlineStr">
        <is>
          <t>Installations</t>
        </is>
      </c>
      <c r="B40" s="19" t="inlineStr">
        <is>
          <t>Dec 24</t>
        </is>
      </c>
      <c r="C40" s="19" t="inlineStr">
        <is>
          <t>Locked</t>
        </is>
      </c>
      <c r="D40" s="14" t="n">
        <v>103700</v>
      </c>
      <c r="E40" s="14" t="n">
        <v>59908</v>
      </c>
      <c r="F40" s="14">
        <f>D40-E40</f>
        <v/>
      </c>
      <c r="G40" s="15">
        <f>IF(D40=0,"",F40/D40)</f>
        <v/>
      </c>
    </row>
    <row r="41">
      <c r="A41" s="19" t="inlineStr">
        <is>
          <t>Installations</t>
        </is>
      </c>
      <c r="B41" s="19" t="inlineStr">
        <is>
          <t>Jan 25</t>
        </is>
      </c>
      <c r="C41" s="19" t="inlineStr">
        <is>
          <t>Locked</t>
        </is>
      </c>
      <c r="D41" s="14" t="n">
        <v>100100</v>
      </c>
      <c r="E41" s="14" t="n">
        <v>54678</v>
      </c>
      <c r="F41" s="14">
        <f>D41-E41</f>
        <v/>
      </c>
      <c r="G41" s="15">
        <f>IF(D41=0,"",F41/D41)</f>
        <v/>
      </c>
    </row>
    <row r="42">
      <c r="A42" s="19" t="inlineStr">
        <is>
          <t>Installations</t>
        </is>
      </c>
      <c r="B42" s="19" t="inlineStr">
        <is>
          <t>Feb 25</t>
        </is>
      </c>
      <c r="C42" s="19" t="inlineStr">
        <is>
          <t>Locked</t>
        </is>
      </c>
      <c r="D42" s="14" t="n">
        <v>118600</v>
      </c>
      <c r="E42" s="14" t="n">
        <v>74966</v>
      </c>
      <c r="F42" s="14">
        <f>D42-E42</f>
        <v/>
      </c>
      <c r="G42" s="15">
        <f>IF(D42=0,"",F42/D42)</f>
        <v/>
      </c>
    </row>
    <row r="43">
      <c r="A43" s="19" t="inlineStr">
        <is>
          <t>Installations</t>
        </is>
      </c>
      <c r="B43" s="19" t="inlineStr">
        <is>
          <t>Mar 25</t>
        </is>
      </c>
      <c r="C43" s="19" t="inlineStr">
        <is>
          <t>Locked</t>
        </is>
      </c>
      <c r="D43" s="14" t="n">
        <v>96400</v>
      </c>
      <c r="E43" s="14" t="n">
        <v>61664</v>
      </c>
      <c r="F43" s="14">
        <f>D43-E43</f>
        <v/>
      </c>
      <c r="G43" s="15">
        <f>IF(D43=0,"",F43/D43)</f>
        <v/>
      </c>
    </row>
    <row r="44">
      <c r="A44" s="19" t="inlineStr">
        <is>
          <t>Installations</t>
        </is>
      </c>
      <c r="B44" s="19" t="inlineStr">
        <is>
          <t>Apr 25</t>
        </is>
      </c>
      <c r="C44" s="19" t="inlineStr">
        <is>
          <t>Locked</t>
        </is>
      </c>
      <c r="D44" s="14" t="n">
        <v>83900</v>
      </c>
      <c r="E44" s="14" t="n">
        <v>52264</v>
      </c>
      <c r="F44" s="14">
        <f>D44-E44</f>
        <v/>
      </c>
      <c r="G44" s="15">
        <f>IF(D44=0,"",F44/D44)</f>
        <v/>
      </c>
    </row>
    <row r="45">
      <c r="A45" s="19" t="inlineStr">
        <is>
          <t>Installations</t>
        </is>
      </c>
      <c r="B45" s="19" t="inlineStr">
        <is>
          <t>May 25</t>
        </is>
      </c>
      <c r="C45" s="19" t="inlineStr">
        <is>
          <t>Locked</t>
        </is>
      </c>
      <c r="D45" s="14" t="n">
        <v>89900</v>
      </c>
      <c r="E45" s="14" t="n">
        <v>59534</v>
      </c>
      <c r="F45" s="14">
        <f>D45-E45</f>
        <v/>
      </c>
      <c r="G45" s="15">
        <f>IF(D45=0,"",F45/D45)</f>
        <v/>
      </c>
    </row>
    <row r="46">
      <c r="A46" s="19" t="inlineStr">
        <is>
          <t>Installations</t>
        </is>
      </c>
      <c r="B46" s="19" t="inlineStr">
        <is>
          <t>Jun 25</t>
        </is>
      </c>
      <c r="C46" s="19" t="inlineStr">
        <is>
          <t>Locked</t>
        </is>
      </c>
      <c r="D46" s="14" t="n">
        <v>126300</v>
      </c>
      <c r="E46" s="14" t="n">
        <v>72976</v>
      </c>
      <c r="F46" s="14">
        <f>D46-E46</f>
        <v/>
      </c>
      <c r="G46" s="15">
        <f>IF(D46=0,"",F46/D46)</f>
        <v/>
      </c>
    </row>
    <row r="47">
      <c r="A47" s="19" t="inlineStr">
        <is>
          <t>Installations</t>
        </is>
      </c>
      <c r="B47" s="19" t="inlineStr">
        <is>
          <t>Jul 25</t>
        </is>
      </c>
      <c r="C47" s="19" t="inlineStr">
        <is>
          <t>Locked</t>
        </is>
      </c>
      <c r="D47" s="14" t="n">
        <v>152100</v>
      </c>
      <c r="E47" s="14" t="n">
        <v>96920</v>
      </c>
      <c r="F47" s="14">
        <f>D47-E47</f>
        <v/>
      </c>
      <c r="G47" s="15">
        <f>IF(D47=0,"",F47/D47)</f>
        <v/>
      </c>
    </row>
    <row r="48">
      <c r="A48" s="19" t="inlineStr">
        <is>
          <t>Installations</t>
        </is>
      </c>
      <c r="B48" s="19" t="inlineStr">
        <is>
          <t>Aug 25</t>
        </is>
      </c>
      <c r="C48" s="19" t="inlineStr">
        <is>
          <t>Locked</t>
        </is>
      </c>
      <c r="D48" s="14" t="n">
        <v>96500</v>
      </c>
      <c r="E48" s="14" t="n">
        <v>53590</v>
      </c>
      <c r="F48" s="14">
        <f>D48-E48</f>
        <v/>
      </c>
      <c r="G48" s="15">
        <f>IF(D48=0,"",F48/D48)</f>
        <v/>
      </c>
    </row>
    <row r="49">
      <c r="A49" s="19" t="inlineStr">
        <is>
          <t>Installations</t>
        </is>
      </c>
      <c r="B49" s="19" t="inlineStr">
        <is>
          <t>Sep 25</t>
        </is>
      </c>
      <c r="C49" s="19" t="inlineStr">
        <is>
          <t>Locked</t>
        </is>
      </c>
      <c r="D49" s="14" t="n">
        <v>84200</v>
      </c>
      <c r="E49" s="14" t="n">
        <v>55440</v>
      </c>
      <c r="F49" s="14">
        <f>D49-E49</f>
        <v/>
      </c>
      <c r="G49" s="15">
        <f>IF(D49=0,"",F49/D49)</f>
        <v/>
      </c>
    </row>
    <row r="50">
      <c r="A50" s="19" t="inlineStr">
        <is>
          <t>Installations</t>
        </is>
      </c>
      <c r="B50" s="19" t="inlineStr">
        <is>
          <t>Oct 25</t>
        </is>
      </c>
      <c r="C50" s="19" t="inlineStr">
        <is>
          <t>Locked</t>
        </is>
      </c>
      <c r="D50" s="14" t="n">
        <v>79300</v>
      </c>
      <c r="E50" s="14" t="n">
        <v>52288</v>
      </c>
      <c r="F50" s="14">
        <f>D50-E50</f>
        <v/>
      </c>
      <c r="G50" s="15">
        <f>IF(D50=0,"",F50/D50)</f>
        <v/>
      </c>
    </row>
    <row r="51">
      <c r="A51" s="19" t="inlineStr">
        <is>
          <t>Installations</t>
        </is>
      </c>
      <c r="B51" s="19" t="inlineStr">
        <is>
          <t>Nov 25</t>
        </is>
      </c>
      <c r="C51" s="19" t="inlineStr">
        <is>
          <t>Locked</t>
        </is>
      </c>
      <c r="D51" s="14" t="n">
        <v>126900</v>
      </c>
      <c r="E51" s="14" t="n">
        <v>87174</v>
      </c>
      <c r="F51" s="14">
        <f>D51-E51</f>
        <v/>
      </c>
      <c r="G51" s="15">
        <f>IF(D51=0,"",F51/D51)</f>
        <v/>
      </c>
    </row>
    <row r="52">
      <c r="A52" s="19" t="inlineStr">
        <is>
          <t>Installations</t>
        </is>
      </c>
      <c r="B52" s="19" t="inlineStr">
        <is>
          <t>Dec 25</t>
        </is>
      </c>
      <c r="C52" s="19" t="inlineStr">
        <is>
          <t>Locked</t>
        </is>
      </c>
      <c r="D52" s="14" t="n">
        <v>78100</v>
      </c>
      <c r="E52" s="14" t="n">
        <v>53408</v>
      </c>
      <c r="F52" s="14">
        <f>D52-E52</f>
        <v/>
      </c>
      <c r="G52" s="15">
        <f>IF(D52=0,"",F52/D52)</f>
        <v/>
      </c>
    </row>
    <row r="53">
      <c r="A53" s="19" t="inlineStr">
        <is>
          <t>Installations</t>
        </is>
      </c>
      <c r="B53" s="19" t="inlineStr">
        <is>
          <t>Jan 26</t>
        </is>
      </c>
      <c r="C53" s="19" t="inlineStr">
        <is>
          <t>Locked</t>
        </is>
      </c>
      <c r="D53" s="14" t="n">
        <v>109100</v>
      </c>
      <c r="E53" s="14" t="n">
        <v>74216</v>
      </c>
      <c r="F53" s="14">
        <f>D53-E53</f>
        <v/>
      </c>
      <c r="G53" s="15">
        <f>IF(D53=0,"",F53/D53)</f>
        <v/>
      </c>
    </row>
    <row r="54">
      <c r="A54" s="19" t="inlineStr">
        <is>
          <t>Call-outs and repairs</t>
        </is>
      </c>
      <c r="B54" s="19" t="inlineStr">
        <is>
          <t>Oct 24</t>
        </is>
      </c>
      <c r="C54" s="19" t="inlineStr">
        <is>
          <t>Locked</t>
        </is>
      </c>
      <c r="D54" s="14" t="n">
        <v>21764</v>
      </c>
      <c r="E54" s="14" t="n">
        <v>11484</v>
      </c>
      <c r="F54" s="14">
        <f>D54-E54</f>
        <v/>
      </c>
      <c r="G54" s="15">
        <f>IF(D54=0,"",F54/D54)</f>
        <v/>
      </c>
    </row>
    <row r="55">
      <c r="A55" s="19" t="inlineStr">
        <is>
          <t>Call-outs and repairs</t>
        </is>
      </c>
      <c r="B55" s="19" t="inlineStr">
        <is>
          <t>Nov 24</t>
        </is>
      </c>
      <c r="C55" s="19" t="inlineStr">
        <is>
          <t>Locked</t>
        </is>
      </c>
      <c r="D55" s="14" t="n">
        <v>25374</v>
      </c>
      <c r="E55" s="14" t="n">
        <v>13526</v>
      </c>
      <c r="F55" s="14">
        <f>D55-E55</f>
        <v/>
      </c>
      <c r="G55" s="15">
        <f>IF(D55=0,"",F55/D55)</f>
        <v/>
      </c>
    </row>
    <row r="56">
      <c r="A56" s="19" t="inlineStr">
        <is>
          <t>Call-outs and repairs</t>
        </is>
      </c>
      <c r="B56" s="19" t="inlineStr">
        <is>
          <t>Dec 24</t>
        </is>
      </c>
      <c r="C56" s="19" t="inlineStr">
        <is>
          <t>Locked</t>
        </is>
      </c>
      <c r="D56" s="14" t="n">
        <v>28056</v>
      </c>
      <c r="E56" s="14" t="n">
        <v>14988</v>
      </c>
      <c r="F56" s="14">
        <f>D56-E56</f>
        <v/>
      </c>
      <c r="G56" s="15">
        <f>IF(D56=0,"",F56/D56)</f>
        <v/>
      </c>
    </row>
    <row r="57">
      <c r="A57" s="19" t="inlineStr">
        <is>
          <t>Call-outs and repairs</t>
        </is>
      </c>
      <c r="B57" s="19" t="inlineStr">
        <is>
          <t>Jan 25</t>
        </is>
      </c>
      <c r="C57" s="19" t="inlineStr">
        <is>
          <t>Locked</t>
        </is>
      </c>
      <c r="D57" s="14" t="n">
        <v>29044</v>
      </c>
      <c r="E57" s="14" t="n">
        <v>15644</v>
      </c>
      <c r="F57" s="14">
        <f>D57-E57</f>
        <v/>
      </c>
      <c r="G57" s="15">
        <f>IF(D57=0,"",F57/D57)</f>
        <v/>
      </c>
    </row>
    <row r="58">
      <c r="A58" s="19" t="inlineStr">
        <is>
          <t>Call-outs and repairs</t>
        </is>
      </c>
      <c r="B58" s="19" t="inlineStr">
        <is>
          <t>Feb 25</t>
        </is>
      </c>
      <c r="C58" s="19" t="inlineStr">
        <is>
          <t>Locked</t>
        </is>
      </c>
      <c r="D58" s="14" t="n">
        <v>29290</v>
      </c>
      <c r="E58" s="14" t="n">
        <v>15600</v>
      </c>
      <c r="F58" s="14">
        <f>D58-E58</f>
        <v/>
      </c>
      <c r="G58" s="15">
        <f>IF(D58=0,"",F58/D58)</f>
        <v/>
      </c>
    </row>
    <row r="59">
      <c r="A59" s="19" t="inlineStr">
        <is>
          <t>Call-outs and repairs</t>
        </is>
      </c>
      <c r="B59" s="19" t="inlineStr">
        <is>
          <t>Mar 25</t>
        </is>
      </c>
      <c r="C59" s="19" t="inlineStr">
        <is>
          <t>Locked</t>
        </is>
      </c>
      <c r="D59" s="14" t="n">
        <v>22765</v>
      </c>
      <c r="E59" s="14" t="n">
        <v>12306</v>
      </c>
      <c r="F59" s="14">
        <f>D59-E59</f>
        <v/>
      </c>
      <c r="G59" s="15">
        <f>IF(D59=0,"",F59/D59)</f>
        <v/>
      </c>
    </row>
    <row r="60">
      <c r="A60" s="19" t="inlineStr">
        <is>
          <t>Call-outs and repairs</t>
        </is>
      </c>
      <c r="B60" s="19" t="inlineStr">
        <is>
          <t>Apr 25</t>
        </is>
      </c>
      <c r="C60" s="19" t="inlineStr">
        <is>
          <t>Locked</t>
        </is>
      </c>
      <c r="D60" s="14" t="n">
        <v>23665</v>
      </c>
      <c r="E60" s="14" t="n">
        <v>12762</v>
      </c>
      <c r="F60" s="14">
        <f>D60-E60</f>
        <v/>
      </c>
      <c r="G60" s="15">
        <f>IF(D60=0,"",F60/D60)</f>
        <v/>
      </c>
    </row>
    <row r="61">
      <c r="A61" s="19" t="inlineStr">
        <is>
          <t>Call-outs and repairs</t>
        </is>
      </c>
      <c r="B61" s="19" t="inlineStr">
        <is>
          <t>May 25</t>
        </is>
      </c>
      <c r="C61" s="19" t="inlineStr">
        <is>
          <t>Locked</t>
        </is>
      </c>
      <c r="D61" s="14" t="n">
        <v>23449</v>
      </c>
      <c r="E61" s="14" t="n">
        <v>12384</v>
      </c>
      <c r="F61" s="14">
        <f>D61-E61</f>
        <v/>
      </c>
      <c r="G61" s="15">
        <f>IF(D61=0,"",F61/D61)</f>
        <v/>
      </c>
    </row>
    <row r="62">
      <c r="A62" s="19" t="inlineStr">
        <is>
          <t>Call-outs and repairs</t>
        </is>
      </c>
      <c r="B62" s="19" t="inlineStr">
        <is>
          <t>Jun 25</t>
        </is>
      </c>
      <c r="C62" s="19" t="inlineStr">
        <is>
          <t>Locked</t>
        </is>
      </c>
      <c r="D62" s="14" t="n">
        <v>21245</v>
      </c>
      <c r="E62" s="14" t="n">
        <v>11162</v>
      </c>
      <c r="F62" s="14">
        <f>D62-E62</f>
        <v/>
      </c>
      <c r="G62" s="15">
        <f>IF(D62=0,"",F62/D62)</f>
        <v/>
      </c>
    </row>
    <row r="63">
      <c r="A63" s="19" t="inlineStr">
        <is>
          <t>Call-outs and repairs</t>
        </is>
      </c>
      <c r="B63" s="19" t="inlineStr">
        <is>
          <t>Jul 25</t>
        </is>
      </c>
      <c r="C63" s="19" t="inlineStr">
        <is>
          <t>Locked</t>
        </is>
      </c>
      <c r="D63" s="14" t="n">
        <v>19288</v>
      </c>
      <c r="E63" s="14" t="n">
        <v>9960</v>
      </c>
      <c r="F63" s="14">
        <f>D63-E63</f>
        <v/>
      </c>
      <c r="G63" s="15">
        <f>IF(D63=0,"",F63/D63)</f>
        <v/>
      </c>
    </row>
    <row r="64">
      <c r="A64" s="19" t="inlineStr">
        <is>
          <t>Call-outs and repairs</t>
        </is>
      </c>
      <c r="B64" s="19" t="inlineStr">
        <is>
          <t>Aug 25</t>
        </is>
      </c>
      <c r="C64" s="19" t="inlineStr">
        <is>
          <t>Locked</t>
        </is>
      </c>
      <c r="D64" s="14" t="n">
        <v>21418</v>
      </c>
      <c r="E64" s="14" t="n">
        <v>11222</v>
      </c>
      <c r="F64" s="14">
        <f>D64-E64</f>
        <v/>
      </c>
      <c r="G64" s="15">
        <f>IF(D64=0,"",F64/D64)</f>
        <v/>
      </c>
    </row>
    <row r="65">
      <c r="A65" s="19" t="inlineStr">
        <is>
          <t>Call-outs and repairs</t>
        </is>
      </c>
      <c r="B65" s="19" t="inlineStr">
        <is>
          <t>Sep 25</t>
        </is>
      </c>
      <c r="C65" s="19" t="inlineStr">
        <is>
          <t>Locked</t>
        </is>
      </c>
      <c r="D65" s="14" t="n">
        <v>21677</v>
      </c>
      <c r="E65" s="14" t="n">
        <v>11168</v>
      </c>
      <c r="F65" s="14">
        <f>D65-E65</f>
        <v/>
      </c>
      <c r="G65" s="15">
        <f>IF(D65=0,"",F65/D65)</f>
        <v/>
      </c>
    </row>
    <row r="66">
      <c r="A66" s="19" t="inlineStr">
        <is>
          <t>Call-outs and repairs</t>
        </is>
      </c>
      <c r="B66" s="19" t="inlineStr">
        <is>
          <t>Oct 25</t>
        </is>
      </c>
      <c r="C66" s="19" t="inlineStr">
        <is>
          <t>Locked</t>
        </is>
      </c>
      <c r="D66" s="14" t="n">
        <v>24166</v>
      </c>
      <c r="E66" s="14" t="n">
        <v>12648</v>
      </c>
      <c r="F66" s="14">
        <f>D66-E66</f>
        <v/>
      </c>
      <c r="G66" s="15">
        <f>IF(D66=0,"",F66/D66)</f>
        <v/>
      </c>
    </row>
    <row r="67">
      <c r="A67" s="19" t="inlineStr">
        <is>
          <t>Call-outs and repairs</t>
        </is>
      </c>
      <c r="B67" s="19" t="inlineStr">
        <is>
          <t>Nov 25</t>
        </is>
      </c>
      <c r="C67" s="19" t="inlineStr">
        <is>
          <t>Locked</t>
        </is>
      </c>
      <c r="D67" s="14" t="n">
        <v>27966</v>
      </c>
      <c r="E67" s="14" t="n">
        <v>14252</v>
      </c>
      <c r="F67" s="14">
        <f>D67-E67</f>
        <v/>
      </c>
      <c r="G67" s="15">
        <f>IF(D67=0,"",F67/D67)</f>
        <v/>
      </c>
    </row>
    <row r="68">
      <c r="A68" s="19" t="inlineStr">
        <is>
          <t>Call-outs and repairs</t>
        </is>
      </c>
      <c r="B68" s="19" t="inlineStr">
        <is>
          <t>Dec 25</t>
        </is>
      </c>
      <c r="C68" s="19" t="inlineStr">
        <is>
          <t>Locked</t>
        </is>
      </c>
      <c r="D68" s="14" t="n">
        <v>32083</v>
      </c>
      <c r="E68" s="14" t="n">
        <v>16702</v>
      </c>
      <c r="F68" s="14">
        <f>D68-E68</f>
        <v/>
      </c>
      <c r="G68" s="15">
        <f>IF(D68=0,"",F68/D68)</f>
        <v/>
      </c>
    </row>
    <row r="69">
      <c r="A69" s="19" t="inlineStr">
        <is>
          <t>Call-outs and repairs</t>
        </is>
      </c>
      <c r="B69" s="19" t="inlineStr">
        <is>
          <t>Jan 26</t>
        </is>
      </c>
      <c r="C69" s="19" t="inlineStr">
        <is>
          <t>Locked</t>
        </is>
      </c>
      <c r="D69" s="14" t="n">
        <v>34106</v>
      </c>
      <c r="E69" s="14" t="n">
        <v>17858</v>
      </c>
      <c r="F69" s="14">
        <f>D69-E69</f>
        <v/>
      </c>
      <c r="G69" s="15">
        <f>IF(D69=0,"",F69/D69)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1" min="0" max="16383" man="1"/>
    <brk id="37" min="0" max="16383" man="1"/>
    <brk id="53"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2026-10-22T06:58:20Z</dcterms:created>
  <dcterms:modified xmlns:dcterms="http://purl.org/dc/terms/" xmlns:xsi="http://www.w3.org/2001/XMLSchema-instance" xsi:type="dcterms:W3CDTF">2026-10-22T06:58:20Z</dcterms:modified>
</cp:coreProperties>
</file>