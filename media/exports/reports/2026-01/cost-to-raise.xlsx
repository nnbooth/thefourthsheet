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January_all_fundraising">'Report'!$B$10</definedName>
    <definedName name="Year_to_date_Jul_to_Jan_2026">'Report'!$B$11</definedName>
    <definedName name="January_Grants">'Report'!$B$35</definedName>
    <definedName name="Year_to_date_Jul_to_Jan_2026_2">'Report'!$B$36</definedName>
    <definedName name="January_Donations">'Report'!$B$46</definedName>
    <definedName name="Year_to_date_Jul_to_Jan_2026_3">'Report'!$B$47</definedName>
    <definedName name="January_Fundraising_events">'Report'!$B$57</definedName>
    <definedName name="Year_to_date_Jul_to_Jan_2026_4">'Report'!$B$58</definedName>
    <definedName name="_xlnm.Print_Area" localSheetId="0">'Report'!$A$1:$D$67</definedName>
    <definedName name="_xlnm.Print_Area" localSheetId="1">'Workings'!$A$1:$C$83</definedName>
    <definedName name="_xlnm.Print_Titles" localSheetId="2">'Data'!$5:$5</definedName>
    <definedName name="_xlnm.Print_Area" localSheetId="2">'Data'!$A$1:$I$21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January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'Data'!$A$6:$A$21</f>
            </numRef>
          </cat>
          <val>
            <numRef>
              <f>'Data'!$C$6:$C$21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1" headerRowCount="1">
  <autoFilter ref="A5:I21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 ht="32" customHeight="1">
      <c r="A5" s="3" t="inlineStr">
        <is>
          <t>In short: Each dollar raised cost 13¢ in January, and 14¢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January · all fundraising</t>
        </is>
      </c>
      <c r="B10" s="8">
        <f>Workings!B10</f>
        <v/>
      </c>
      <c r="C10" s="9" t="inlineStr">
        <is>
          <t>December 14¢</t>
        </is>
      </c>
    </row>
    <row r="11">
      <c r="A11" t="inlineStr">
        <is>
          <t>Year to date (Jul to Jan 2026)</t>
        </is>
      </c>
      <c r="B11" s="8">
        <f>Workings!B18</f>
        <v/>
      </c>
      <c r="C11" s="9" t="inlineStr">
        <is>
          <t>same period last year: not in the data</t>
        </is>
      </c>
    </row>
    <row r="12"/>
    <row r="13">
      <c r="A13" s="10" t="inlineStr">
        <is>
          <t>Cost to raise a dollar, by source, January 2026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12</v>
      </c>
    </row>
    <row r="16">
      <c r="A16" t="inlineStr">
        <is>
          <t>Donations</t>
        </is>
      </c>
      <c r="B16" s="8" t="n">
        <v>17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January cost 13¢ to raise each dollar, against 14¢ in December. This financial year to date it has cost 14¢ a dollar.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January · Grants</t>
        </is>
      </c>
      <c r="B35" s="8">
        <f>Workings!B39</f>
        <v/>
      </c>
      <c r="C35" s="9" t="inlineStr">
        <is>
          <t>December 10¢</t>
        </is>
      </c>
    </row>
    <row r="36">
      <c r="A36" t="inlineStr">
        <is>
          <t>Year to date (Jul to Jan 2026)</t>
        </is>
      </c>
      <c r="B36" s="8">
        <f>Workings!B47</f>
        <v/>
      </c>
      <c r="C36" s="9" t="inlineStr">
        <is>
          <t>same period last year: not in the data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11¢ to raise each dollar this financial year to date ($49,700 of grant writing and reporting for $450,671).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January · Donations</t>
        </is>
      </c>
      <c r="B46" s="8">
        <f>Workings!B56</f>
        <v/>
      </c>
      <c r="C46" s="9" t="inlineStr">
        <is>
          <t>December 17¢</t>
        </is>
      </c>
    </row>
    <row r="47">
      <c r="A47" t="inlineStr">
        <is>
          <t>Year to date (Jul to Jan 2026)</t>
        </is>
      </c>
      <c r="B47" s="8">
        <f>Workings!B64</f>
        <v/>
      </c>
      <c r="C47" s="9" t="inlineStr">
        <is>
          <t>same period last year: not in the data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15¢ to raise each dollar this financial year to date ($18,500 of donor campaigns for $119,700).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January · Fundraising events</t>
        </is>
      </c>
      <c r="B57" t="inlineStr">
        <is>
          <t>–</t>
        </is>
      </c>
      <c r="C57" s="9" t="inlineStr">
        <is>
          <t>December 42¢</t>
        </is>
      </c>
    </row>
    <row r="58">
      <c r="A58" t="inlineStr">
        <is>
          <t>Year to date (Jul to Jan 2026)</t>
        </is>
      </c>
      <c r="B58" s="8">
        <f>Workings!B82</f>
        <v/>
      </c>
      <c r="C58" s="9" t="inlineStr">
        <is>
          <t>same period last year: not in the data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41¢ to raise each dollar this financial year to date ($17,800 of event costs for $43,000).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5" t="inlineStr">
        <is>
          <t>Cost to raise a dollar, all fundraising, January and December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Jan 26</t>
        </is>
      </c>
      <c r="C7" s="7" t="inlineStr">
        <is>
          <t>Dec 25</t>
        </is>
      </c>
    </row>
    <row r="8">
      <c r="A8" t="inlineStr">
        <is>
          <t>Cost of raising it</t>
        </is>
      </c>
      <c r="B8" s="13" t="n">
        <v>9300</v>
      </c>
      <c r="C8" s="13" t="n">
        <v>14100</v>
      </c>
    </row>
    <row r="9">
      <c r="A9" t="inlineStr">
        <is>
          <t>Money raised</t>
        </is>
      </c>
      <c r="B9" s="13" t="n">
        <v>72885</v>
      </c>
      <c r="C9" s="13" t="n">
        <v>101093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86000</v>
      </c>
    </row>
    <row r="17">
      <c r="A17" t="inlineStr">
        <is>
          <t>Raised, year to date</t>
        </is>
      </c>
      <c r="B17" s="13" t="n">
        <v>613371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5" t="inlineStr">
        <is>
          <t>Cost to raise a dollar, by source, January 2026</t>
        </is>
      </c>
    </row>
    <row r="23">
      <c r="A23" s="12" t="inlineStr">
        <is>
          <t>Fundraising cost ÷ money raised, for each source, in cents</t>
        </is>
      </c>
    </row>
    <row r="24">
      <c r="A24" s="6" t="inlineStr"/>
      <c r="B24" s="7" t="inlineStr">
        <is>
          <t>Jan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59785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13100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January. </t>
        </is>
      </c>
    </row>
    <row r="32"/>
    <row r="33"/>
    <row r="34">
      <c r="A34" s="5" t="inlineStr">
        <is>
          <t>Cost to raise a dollar, grants, January and December</t>
        </is>
      </c>
    </row>
    <row r="35">
      <c r="A35" s="12" t="inlineStr">
        <is>
          <t>Cost of raising it ÷ money raised, in cents</t>
        </is>
      </c>
    </row>
    <row r="36">
      <c r="A36" s="6" t="inlineStr"/>
      <c r="B36" s="7" t="inlineStr">
        <is>
          <t>Jan 26</t>
        </is>
      </c>
      <c r="C36" s="7" t="inlineStr">
        <is>
          <t>Dec 25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59785</v>
      </c>
      <c r="C38" s="13" t="n">
        <v>68793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5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6" t="inlineStr"/>
      <c r="B44" s="7" t="inlineStr">
        <is>
          <t>Year to date</t>
        </is>
      </c>
    </row>
    <row r="45">
      <c r="A45" t="inlineStr">
        <is>
          <t>Cost, year to date</t>
        </is>
      </c>
      <c r="B45" s="13" t="n">
        <v>49700</v>
      </c>
    </row>
    <row r="46">
      <c r="A46" t="inlineStr">
        <is>
          <t>Raised, year to date</t>
        </is>
      </c>
      <c r="B46" s="13" t="n">
        <v>450671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5" t="inlineStr">
        <is>
          <t>Cost to raise a dollar, donations, January and December</t>
        </is>
      </c>
    </row>
    <row r="52">
      <c r="A52" s="12" t="inlineStr">
        <is>
          <t>Cost of raising it ÷ money raised, in cents</t>
        </is>
      </c>
    </row>
    <row r="53">
      <c r="A53" s="6" t="inlineStr"/>
      <c r="B53" s="7" t="inlineStr">
        <is>
          <t>Jan 26</t>
        </is>
      </c>
      <c r="C53" s="7" t="inlineStr">
        <is>
          <t>Dec 25</t>
        </is>
      </c>
    </row>
    <row r="54">
      <c r="A54" t="inlineStr">
        <is>
          <t>Cost of raising it</t>
        </is>
      </c>
      <c r="B54" s="13" t="n">
        <v>2200</v>
      </c>
      <c r="C54" s="13" t="n">
        <v>4400</v>
      </c>
    </row>
    <row r="55">
      <c r="A55" t="inlineStr">
        <is>
          <t>Money raised</t>
        </is>
      </c>
      <c r="B55" s="13" t="n">
        <v>13100</v>
      </c>
      <c r="C55" s="13" t="n">
        <v>26100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5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6" t="inlineStr"/>
      <c r="B61" s="7" t="inlineStr">
        <is>
          <t>Year to date</t>
        </is>
      </c>
    </row>
    <row r="62">
      <c r="A62" t="inlineStr">
        <is>
          <t>Cost, year to date</t>
        </is>
      </c>
      <c r="B62" s="13" t="n">
        <v>18500</v>
      </c>
    </row>
    <row r="63">
      <c r="A63" t="inlineStr">
        <is>
          <t>Raised, year to date</t>
        </is>
      </c>
      <c r="B63" s="13" t="n">
        <v>119700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5" t="inlineStr">
        <is>
          <t>Cost to raise a dollar, fundraising events, January and December</t>
        </is>
      </c>
    </row>
    <row r="69">
      <c r="A69" s="12" t="inlineStr">
        <is>
          <t>Cost of raising it ÷ money raised, in cents</t>
        </is>
      </c>
    </row>
    <row r="70">
      <c r="A70" s="6" t="inlineStr"/>
      <c r="B70" s="7" t="inlineStr">
        <is>
          <t>Jan 26</t>
        </is>
      </c>
      <c r="C70" s="7" t="inlineStr">
        <is>
          <t>Dec 25</t>
        </is>
      </c>
    </row>
    <row r="71">
      <c r="A71" t="inlineStr">
        <is>
          <t>Cost of raising it</t>
        </is>
      </c>
      <c r="B71" s="13" t="n">
        <v>0</v>
      </c>
      <c r="C71" s="13" t="n">
        <v>2600</v>
      </c>
    </row>
    <row r="72">
      <c r="A72" t="inlineStr">
        <is>
          <t>Money raised</t>
        </is>
      </c>
      <c r="B72" s="13" t="n">
        <v>0</v>
      </c>
      <c r="C72" s="13" t="n">
        <v>6200</v>
      </c>
    </row>
    <row r="73">
      <c r="A73" s="14" t="inlineStr">
        <is>
          <t>Cents per dollar</t>
        </is>
      </c>
      <c r="B73" s="15">
        <f>IFERROR(B71/B72*100,"–")</f>
        <v/>
      </c>
      <c r="C73" s="15">
        <f>C71/C72*100</f>
        <v/>
      </c>
    </row>
    <row r="74">
      <c r="A74" s="2" t="inlineStr">
        <is>
          <t>Nothing raised in one of the months, so there's no cost per dollar for it.</t>
        </is>
      </c>
    </row>
    <row r="75"/>
    <row r="76"/>
    <row r="77">
      <c r="A77" s="5" t="inlineStr">
        <is>
          <t>Cost to raise a dollar, fundraising events, year to date</t>
        </is>
      </c>
    </row>
    <row r="78">
      <c r="A78" s="12" t="inlineStr">
        <is>
          <t>Cost ÷ money raised, in cents</t>
        </is>
      </c>
    </row>
    <row r="79">
      <c r="A79" s="6" t="inlineStr"/>
      <c r="B79" s="7" t="inlineStr">
        <is>
          <t>Year to date</t>
        </is>
      </c>
    </row>
    <row r="80">
      <c r="A80" t="inlineStr">
        <is>
          <t>Cost, year to date</t>
        </is>
      </c>
      <c r="B80" s="13" t="n">
        <v>17800</v>
      </c>
    </row>
    <row r="81">
      <c r="A81" t="inlineStr">
        <is>
          <t>Raised, year to date</t>
        </is>
      </c>
      <c r="B81" s="13" t="n">
        <v>43000</v>
      </c>
    </row>
    <row r="82">
      <c r="A82" s="14" t="inlineStr">
        <is>
          <t>Cents, year to date</t>
        </is>
      </c>
      <c r="B82" s="15">
        <f>B80/B81*100</f>
        <v/>
      </c>
    </row>
    <row r="83">
      <c r="A83" s="2" t="inlineStr">
        <is>
          <t>Same period last year: Not available: the data starts October 2024.</t>
        </is>
      </c>
    </row>
    <row r="84"/>
    <row r="85"/>
    <row r="8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2026-10-22T06:58:27Z</dcterms:modified>
</cp:coreProperties>
</file>