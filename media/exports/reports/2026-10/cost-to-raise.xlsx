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ctober_so_far_all_fundraising">'Report'!$B$10</definedName>
    <definedName name="Year_to_date_Jul_to_Oct_2026">'Report'!$B$11</definedName>
    <definedName name="October_so_far_Grants">'Report'!$B$35</definedName>
    <definedName name="Year_to_date_Jul_to_Oct_2026_2">'Report'!$B$36</definedName>
    <definedName name="October_so_far_Donations">'Report'!$B$46</definedName>
    <definedName name="Year_to_date_Jul_to_Oct_2026_3">'Report'!$B$47</definedName>
    <definedName name="October_so_far_Fundraising_events">'Report'!$B$57</definedName>
    <definedName name="Year_to_date_Jul_to_Oct_2026_4">'Report'!$B$58</definedName>
    <definedName name="_xlnm.Print_Area" localSheetId="0">'Report'!$A$1:$D$67</definedName>
    <definedName name="_xlnm.Print_Area" localSheetId="1">'Workings'!$A$1:$C$91</definedName>
    <definedName name="_xlnm.Print_Titles" localSheetId="2">'Data'!$5:$5</definedName>
    <definedName name="_xlnm.Print_Area" localSheetId="2">'Data'!$A$1:$I$29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October 2026 to date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'Data'!$A$6:$A$29</f>
            </numRef>
          </cat>
          <val>
            <numRef>
              <f>'Data'!$C$6:$C$29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9" headerRowCount="1">
  <autoFilter ref="A5:I29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Each dollar raised cost 9¢ in October so far, and 15¢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October so far · all fundraising</t>
        </is>
      </c>
      <c r="B10" s="8">
        <f>Workings!B10</f>
        <v/>
      </c>
      <c r="C10" s="9" t="inlineStr">
        <is>
          <t>September 20¢</t>
        </is>
      </c>
    </row>
    <row r="11">
      <c r="A11" t="inlineStr">
        <is>
          <t>Year to date (Jul to Oct 2026)</t>
        </is>
      </c>
      <c r="B11" s="8">
        <f>Workings!B21</f>
        <v/>
      </c>
      <c r="C11" s="9" t="inlineStr">
        <is>
          <t>same period last year: 15¢</t>
        </is>
      </c>
    </row>
    <row r="12"/>
    <row r="13">
      <c r="A13" s="10" t="inlineStr">
        <is>
          <t>Cost to raise a dollar, by source, October 2026 to date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9</v>
      </c>
    </row>
    <row r="16">
      <c r="A16" t="inlineStr">
        <is>
          <t>Donations</t>
        </is>
      </c>
      <c r="B16" s="8" t="n">
        <v>10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45" customHeight="1">
      <c r="A28" s="4" t="inlineStr">
        <is>
          <t>October so far cost 9¢ to raise each dollar, against 20¢ in September. This financial year to date it has cost 15¢ a dollar, against 15¢ in the same period last year. October is still in progress (data to 6 October), so it is a part month against full months.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October so far · Grants</t>
        </is>
      </c>
      <c r="B35" s="8">
        <f>Workings!B41</f>
        <v/>
      </c>
      <c r="C35" s="9" t="inlineStr">
        <is>
          <t>September 9¢</t>
        </is>
      </c>
    </row>
    <row r="36">
      <c r="A36" t="inlineStr">
        <is>
          <t>Year to date (Jul to Oct 2026)</t>
        </is>
      </c>
      <c r="B36" s="8">
        <f>Workings!B49</f>
        <v/>
      </c>
      <c r="C36" s="9" t="inlineStr">
        <is>
          <t>same period last year: 11¢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10¢ to raise each dollar this financial year to date ($22,316 of grant writing and reporting for $234,325), against 11¢ in the same period last year.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October so far · Donations</t>
        </is>
      </c>
      <c r="B46" s="8">
        <f>Workings!B60</f>
        <v/>
      </c>
      <c r="C46" s="9" t="inlineStr">
        <is>
          <t>September 19¢</t>
        </is>
      </c>
    </row>
    <row r="47">
      <c r="A47" t="inlineStr">
        <is>
          <t>Year to date (Jul to Oct 2026)</t>
        </is>
      </c>
      <c r="B47" s="8">
        <f>Workings!B68</f>
        <v/>
      </c>
      <c r="C47" s="9" t="inlineStr">
        <is>
          <t>same period last year: 14¢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16¢ to raise each dollar this financial year to date ($10,115 of donor campaigns for $63,894), against 14¢ in the same period last year.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October so far · Fundraising events</t>
        </is>
      </c>
      <c r="B57" t="inlineStr">
        <is>
          <t>–</t>
        </is>
      </c>
      <c r="C57" s="9" t="inlineStr">
        <is>
          <t>September 41¢</t>
        </is>
      </c>
    </row>
    <row r="58">
      <c r="A58" t="inlineStr">
        <is>
          <t>Year to date (Jul to Oct 2026)</t>
        </is>
      </c>
      <c r="B58" s="8">
        <f>Workings!B88</f>
        <v/>
      </c>
      <c r="C58" s="9" t="inlineStr">
        <is>
          <t>same period last year: 41¢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46¢ to raise each dollar this financial year to date ($19,300 of event costs for $41,600), against 41¢ in the same period last year.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Cost to raise a dollar, all fundraising, October and September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Oct 26</t>
        </is>
      </c>
      <c r="C7" s="7" t="inlineStr">
        <is>
          <t>Sep 26</t>
        </is>
      </c>
    </row>
    <row r="8">
      <c r="A8" t="inlineStr">
        <is>
          <t>Cost of raising it</t>
        </is>
      </c>
      <c r="B8" s="13" t="n">
        <v>1331</v>
      </c>
      <c r="C8" s="13" t="n">
        <v>29400</v>
      </c>
    </row>
    <row r="9">
      <c r="A9" t="inlineStr">
        <is>
          <t>Money raised</t>
        </is>
      </c>
      <c r="B9" s="13" t="n">
        <v>14301</v>
      </c>
      <c r="C9" s="13" t="n">
        <v>146500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 against the same period last year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51731</v>
      </c>
    </row>
    <row r="17">
      <c r="A17" t="inlineStr">
        <is>
          <t>Raised, year to date</t>
        </is>
      </c>
      <c r="B17" s="13" t="n">
        <v>339819</v>
      </c>
    </row>
    <row r="18">
      <c r="A18" t="inlineStr">
        <is>
          <t>Cents, year to date</t>
        </is>
      </c>
      <c r="B18" s="16">
        <f>B16/B17*100</f>
        <v/>
      </c>
    </row>
    <row r="19">
      <c r="A19" t="inlineStr">
        <is>
          <t>Cost, same period last year</t>
        </is>
      </c>
      <c r="B19" s="13" t="n">
        <v>52400</v>
      </c>
    </row>
    <row r="20">
      <c r="A20" t="inlineStr">
        <is>
          <t>Raised, same period last year</t>
        </is>
      </c>
      <c r="B20" s="13" t="n">
        <v>350529</v>
      </c>
    </row>
    <row r="21">
      <c r="A21" s="14" t="inlineStr">
        <is>
          <t>Cents, same period last year</t>
        </is>
      </c>
      <c r="B21" s="15">
        <f>B19/B20*100</f>
        <v/>
      </c>
    </row>
    <row r="22"/>
    <row r="23"/>
    <row r="24">
      <c r="A24" s="5" t="inlineStr">
        <is>
          <t>Cost to raise a dollar, by source, October 2026 to date</t>
        </is>
      </c>
    </row>
    <row r="25">
      <c r="A25" s="12" t="inlineStr">
        <is>
          <t>Fundraising cost ÷ money raised, for each source, in cents</t>
        </is>
      </c>
    </row>
    <row r="26">
      <c r="A26" s="6" t="inlineStr"/>
      <c r="B26" s="7" t="inlineStr">
        <is>
          <t>Oct 2026</t>
        </is>
      </c>
    </row>
    <row r="27">
      <c r="A27" t="inlineStr">
        <is>
          <t>Grants: cost (grant writing and reporting)</t>
        </is>
      </c>
      <c r="B27" s="13" t="n">
        <v>1016</v>
      </c>
    </row>
    <row r="28">
      <c r="A28" t="inlineStr">
        <is>
          <t>Grants: raised</t>
        </is>
      </c>
      <c r="B28" s="13" t="n">
        <v>11007</v>
      </c>
    </row>
    <row r="29">
      <c r="A29" t="inlineStr">
        <is>
          <t>Donations: cost (donor campaigns)</t>
        </is>
      </c>
      <c r="B29" s="13" t="n">
        <v>315</v>
      </c>
    </row>
    <row r="30">
      <c r="A30" t="inlineStr">
        <is>
          <t>Donations: raised</t>
        </is>
      </c>
      <c r="B30" s="13" t="n">
        <v>3294</v>
      </c>
    </row>
    <row r="31">
      <c r="A31" t="inlineStr">
        <is>
          <t>Grants: cost per dollar raised</t>
        </is>
      </c>
      <c r="B31" s="16">
        <f>B27/B28*100</f>
        <v/>
      </c>
    </row>
    <row r="32">
      <c r="A32" s="14" t="inlineStr">
        <is>
          <t>Donations: cost per dollar raised</t>
        </is>
      </c>
      <c r="B32" s="15">
        <f>B29/B30*100</f>
        <v/>
      </c>
    </row>
    <row r="33">
      <c r="A33" s="2" t="inlineStr">
        <is>
          <t>Nothing raised from fundraising events in October so far. October is still in progress (data to 6 October), so it is a part month against full months.</t>
        </is>
      </c>
    </row>
    <row r="34"/>
    <row r="35"/>
    <row r="36">
      <c r="A36" s="5" t="inlineStr">
        <is>
          <t>Cost to raise a dollar, grants, October and September</t>
        </is>
      </c>
    </row>
    <row r="37">
      <c r="A37" s="12" t="inlineStr">
        <is>
          <t>Cost of raising it ÷ money raised, in cents</t>
        </is>
      </c>
    </row>
    <row r="38">
      <c r="A38" s="6" t="inlineStr"/>
      <c r="B38" s="7" t="inlineStr">
        <is>
          <t>Oct 26</t>
        </is>
      </c>
      <c r="C38" s="7" t="inlineStr">
        <is>
          <t>Sep 26</t>
        </is>
      </c>
    </row>
    <row r="39">
      <c r="A39" t="inlineStr">
        <is>
          <t>Cost of raising it</t>
        </is>
      </c>
      <c r="B39" s="13" t="n">
        <v>1016</v>
      </c>
      <c r="C39" s="13" t="n">
        <v>7100</v>
      </c>
    </row>
    <row r="40">
      <c r="A40" t="inlineStr">
        <is>
          <t>Money raised</t>
        </is>
      </c>
      <c r="B40" s="13" t="n">
        <v>11007</v>
      </c>
      <c r="C40" s="13" t="n">
        <v>77000</v>
      </c>
    </row>
    <row r="41">
      <c r="A41" s="14" t="inlineStr">
        <is>
          <t>Cents per dollar</t>
        </is>
      </c>
      <c r="B41" s="15">
        <f>B39/B40*100</f>
        <v/>
      </c>
      <c r="C41" s="15">
        <f>C39/C40*100</f>
        <v/>
      </c>
    </row>
    <row r="42"/>
    <row r="43"/>
    <row r="44">
      <c r="A44" s="5" t="inlineStr">
        <is>
          <t>Cost to raise a dollar, grants, year to date against the same period last year</t>
        </is>
      </c>
    </row>
    <row r="45">
      <c r="A45" s="12" t="inlineStr">
        <is>
          <t>Cost ÷ money raised, in cents</t>
        </is>
      </c>
    </row>
    <row r="46">
      <c r="A46" s="6" t="inlineStr"/>
      <c r="B46" s="7" t="inlineStr">
        <is>
          <t>Year to date</t>
        </is>
      </c>
    </row>
    <row r="47">
      <c r="A47" t="inlineStr">
        <is>
          <t>Cost, year to date</t>
        </is>
      </c>
      <c r="B47" s="13" t="n">
        <v>22316</v>
      </c>
    </row>
    <row r="48">
      <c r="A48" t="inlineStr">
        <is>
          <t>Raised, year to date</t>
        </is>
      </c>
      <c r="B48" s="13" t="n">
        <v>234325</v>
      </c>
    </row>
    <row r="49">
      <c r="A49" t="inlineStr">
        <is>
          <t>Cents, year to date</t>
        </is>
      </c>
      <c r="B49" s="16">
        <f>B47/B48*100</f>
        <v/>
      </c>
    </row>
    <row r="50">
      <c r="A50" t="inlineStr">
        <is>
          <t>Cost, same period last year</t>
        </is>
      </c>
      <c r="B50" s="13" t="n">
        <v>28400</v>
      </c>
    </row>
    <row r="51">
      <c r="A51" t="inlineStr">
        <is>
          <t>Raised, same period last year</t>
        </is>
      </c>
      <c r="B51" s="13" t="n">
        <v>251929</v>
      </c>
    </row>
    <row r="52">
      <c r="A52" s="14" t="inlineStr">
        <is>
          <t>Cents, same period last year</t>
        </is>
      </c>
      <c r="B52" s="15">
        <f>B50/B51*100</f>
        <v/>
      </c>
    </row>
    <row r="53"/>
    <row r="54"/>
    <row r="55">
      <c r="A55" s="5" t="inlineStr">
        <is>
          <t>Cost to raise a dollar, donations, October and September</t>
        </is>
      </c>
    </row>
    <row r="56">
      <c r="A56" s="12" t="inlineStr">
        <is>
          <t>Cost of raising it ÷ money raised, in cents</t>
        </is>
      </c>
    </row>
    <row r="57">
      <c r="A57" s="6" t="inlineStr"/>
      <c r="B57" s="7" t="inlineStr">
        <is>
          <t>Oct 26</t>
        </is>
      </c>
      <c r="C57" s="7" t="inlineStr">
        <is>
          <t>Sep 26</t>
        </is>
      </c>
    </row>
    <row r="58">
      <c r="A58" t="inlineStr">
        <is>
          <t>Cost of raising it</t>
        </is>
      </c>
      <c r="B58" s="13" t="n">
        <v>315</v>
      </c>
      <c r="C58" s="13" t="n">
        <v>5400</v>
      </c>
    </row>
    <row r="59">
      <c r="A59" t="inlineStr">
        <is>
          <t>Money raised</t>
        </is>
      </c>
      <c r="B59" s="13" t="n">
        <v>3294</v>
      </c>
      <c r="C59" s="13" t="n">
        <v>27900</v>
      </c>
    </row>
    <row r="60">
      <c r="A60" s="14" t="inlineStr">
        <is>
          <t>Cents per dollar</t>
        </is>
      </c>
      <c r="B60" s="15">
        <f>B58/B59*100</f>
        <v/>
      </c>
      <c r="C60" s="15">
        <f>C58/C59*100</f>
        <v/>
      </c>
    </row>
    <row r="61"/>
    <row r="62"/>
    <row r="63">
      <c r="A63" s="5" t="inlineStr">
        <is>
          <t>Cost to raise a dollar, donations, year to date against the same period last year</t>
        </is>
      </c>
    </row>
    <row r="64">
      <c r="A64" s="12" t="inlineStr">
        <is>
          <t>Cost ÷ money raised, in cents</t>
        </is>
      </c>
    </row>
    <row r="65">
      <c r="A65" s="6" t="inlineStr"/>
      <c r="B65" s="7" t="inlineStr">
        <is>
          <t>Year to date</t>
        </is>
      </c>
    </row>
    <row r="66">
      <c r="A66" t="inlineStr">
        <is>
          <t>Cost, year to date</t>
        </is>
      </c>
      <c r="B66" s="13" t="n">
        <v>10115</v>
      </c>
    </row>
    <row r="67">
      <c r="A67" t="inlineStr">
        <is>
          <t>Raised, year to date</t>
        </is>
      </c>
      <c r="B67" s="13" t="n">
        <v>63894</v>
      </c>
    </row>
    <row r="68">
      <c r="A68" t="inlineStr">
        <is>
          <t>Cents, year to date</t>
        </is>
      </c>
      <c r="B68" s="16">
        <f>B66/B67*100</f>
        <v/>
      </c>
    </row>
    <row r="69">
      <c r="A69" t="inlineStr">
        <is>
          <t>Cost, same period last year</t>
        </is>
      </c>
      <c r="B69" s="13" t="n">
        <v>8800</v>
      </c>
    </row>
    <row r="70">
      <c r="A70" t="inlineStr">
        <is>
          <t>Raised, same period last year</t>
        </is>
      </c>
      <c r="B70" s="13" t="n">
        <v>61800</v>
      </c>
    </row>
    <row r="71">
      <c r="A71" s="14" t="inlineStr">
        <is>
          <t>Cents, same period last year</t>
        </is>
      </c>
      <c r="B71" s="15">
        <f>B69/B70*100</f>
        <v/>
      </c>
    </row>
    <row r="72"/>
    <row r="73"/>
    <row r="74">
      <c r="A74" s="5" t="inlineStr">
        <is>
          <t>Cost to raise a dollar, fundraising events, October and September</t>
        </is>
      </c>
    </row>
    <row r="75">
      <c r="A75" s="12" t="inlineStr">
        <is>
          <t>Cost of raising it ÷ money raised, in cents</t>
        </is>
      </c>
    </row>
    <row r="76">
      <c r="A76" s="6" t="inlineStr"/>
      <c r="B76" s="7" t="inlineStr">
        <is>
          <t>Oct 26</t>
        </is>
      </c>
      <c r="C76" s="7" t="inlineStr">
        <is>
          <t>Sep 26</t>
        </is>
      </c>
    </row>
    <row r="77">
      <c r="A77" t="inlineStr">
        <is>
          <t>Cost of raising it</t>
        </is>
      </c>
      <c r="B77" s="13" t="n">
        <v>0</v>
      </c>
      <c r="C77" s="13" t="n">
        <v>16900</v>
      </c>
    </row>
    <row r="78">
      <c r="A78" t="inlineStr">
        <is>
          <t>Money raised</t>
        </is>
      </c>
      <c r="B78" s="13" t="n">
        <v>0</v>
      </c>
      <c r="C78" s="13" t="n">
        <v>41600</v>
      </c>
    </row>
    <row r="79">
      <c r="A79" s="14" t="inlineStr">
        <is>
          <t>Cents per dollar</t>
        </is>
      </c>
      <c r="B79" s="15">
        <f>IFERROR(B77/B78*100,"–")</f>
        <v/>
      </c>
      <c r="C79" s="15">
        <f>C77/C78*100</f>
        <v/>
      </c>
    </row>
    <row r="80">
      <c r="A80" s="2" t="inlineStr">
        <is>
          <t>Nothing raised in one of the months, so there's no cost per dollar for it.</t>
        </is>
      </c>
    </row>
    <row r="81"/>
    <row r="82"/>
    <row r="83">
      <c r="A83" s="5" t="inlineStr">
        <is>
          <t>Cost to raise a dollar, fundraising events, year to date against the same period last year</t>
        </is>
      </c>
    </row>
    <row r="84">
      <c r="A84" s="12" t="inlineStr">
        <is>
          <t>Cost ÷ money raised, in cents</t>
        </is>
      </c>
    </row>
    <row r="85">
      <c r="A85" s="6" t="inlineStr"/>
      <c r="B85" s="7" t="inlineStr">
        <is>
          <t>Year to date</t>
        </is>
      </c>
    </row>
    <row r="86">
      <c r="A86" t="inlineStr">
        <is>
          <t>Cost, year to date</t>
        </is>
      </c>
      <c r="B86" s="13" t="n">
        <v>19300</v>
      </c>
    </row>
    <row r="87">
      <c r="A87" t="inlineStr">
        <is>
          <t>Raised, year to date</t>
        </is>
      </c>
      <c r="B87" s="13" t="n">
        <v>41600</v>
      </c>
    </row>
    <row r="88">
      <c r="A88" t="inlineStr">
        <is>
          <t>Cents, year to date</t>
        </is>
      </c>
      <c r="B88" s="16">
        <f>B86/B87*100</f>
        <v/>
      </c>
    </row>
    <row r="89">
      <c r="A89" t="inlineStr">
        <is>
          <t>Cost, same period last year</t>
        </is>
      </c>
      <c r="B89" s="13" t="n">
        <v>15200</v>
      </c>
    </row>
    <row r="90">
      <c r="A90" t="inlineStr">
        <is>
          <t>Raised, same period last year</t>
        </is>
      </c>
      <c r="B90" s="13" t="n">
        <v>36800</v>
      </c>
    </row>
    <row r="91">
      <c r="A91" s="14" t="inlineStr">
        <is>
          <t>Cents, same period last year</t>
        </is>
      </c>
      <c r="B91" s="15">
        <f>B89/B90*100</f>
        <v/>
      </c>
    </row>
    <row r="92"/>
    <row r="93"/>
    <row r="9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3" min="0" max="16383" man="1"/>
    <brk id="54" min="0" max="16383" man="1"/>
    <brk id="8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7" t="inlineStr">
        <is>
          <t>Nov 24</t>
        </is>
      </c>
      <c r="B6" s="17" t="inlineStr">
        <is>
          <t>Locked</t>
        </is>
      </c>
      <c r="C6" s="13" t="n">
        <v>6500</v>
      </c>
      <c r="D6" s="13" t="n">
        <v>3100</v>
      </c>
      <c r="E6" s="13" t="n">
        <v>0</v>
      </c>
      <c r="F6" s="13" t="n">
        <v>31800</v>
      </c>
      <c r="G6" s="13" t="n">
        <v>17700</v>
      </c>
      <c r="H6" s="13" t="n">
        <v>0</v>
      </c>
      <c r="I6" s="16">
        <f>IF(SUM(F6:H6)=0,"",SUM(C6:E6)/SUM(F6:H6)*100)</f>
        <v/>
      </c>
    </row>
    <row r="7">
      <c r="A7" s="17" t="inlineStr">
        <is>
          <t>Dec 24</t>
        </is>
      </c>
      <c r="B7" s="17" t="inlineStr">
        <is>
          <t>Locked</t>
        </is>
      </c>
      <c r="C7" s="13" t="n">
        <v>6500</v>
      </c>
      <c r="D7" s="13" t="n">
        <v>4400</v>
      </c>
      <c r="E7" s="13" t="n">
        <v>2600</v>
      </c>
      <c r="F7" s="13" t="n">
        <v>29700</v>
      </c>
      <c r="G7" s="13" t="n">
        <v>24700</v>
      </c>
      <c r="H7" s="13" t="n">
        <v>6200</v>
      </c>
      <c r="I7" s="16">
        <f>IF(SUM(F7:H7)=0,"",SUM(C7:E7)/SUM(F7:H7)*100)</f>
        <v/>
      </c>
    </row>
    <row r="8">
      <c r="A8" s="17" t="inlineStr">
        <is>
          <t>Jan 25</t>
        </is>
      </c>
      <c r="B8" s="17" t="inlineStr">
        <is>
          <t>Locked</t>
        </is>
      </c>
      <c r="C8" s="13" t="n">
        <v>6500</v>
      </c>
      <c r="D8" s="13" t="n">
        <v>2200</v>
      </c>
      <c r="E8" s="13" t="n">
        <v>0</v>
      </c>
      <c r="F8" s="13" t="n">
        <v>62700</v>
      </c>
      <c r="G8" s="13" t="n">
        <v>12400</v>
      </c>
      <c r="H8" s="13" t="n">
        <v>0</v>
      </c>
      <c r="I8" s="16">
        <f>IF(SUM(F8:H8)=0,"",SUM(C8:E8)/SUM(F8:H8)*100)</f>
        <v/>
      </c>
    </row>
    <row r="9">
      <c r="A9" s="17" t="inlineStr">
        <is>
          <t>Feb 25</t>
        </is>
      </c>
      <c r="B9" s="17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61700</v>
      </c>
      <c r="G9" s="13" t="n">
        <v>15600</v>
      </c>
      <c r="H9" s="13" t="n">
        <v>0</v>
      </c>
      <c r="I9" s="16">
        <f>IF(SUM(F9:H9)=0,"",SUM(C9:E9)/SUM(F9:H9)*100)</f>
        <v/>
      </c>
    </row>
    <row r="10">
      <c r="A10" s="17" t="inlineStr">
        <is>
          <t>Mar 25</t>
        </is>
      </c>
      <c r="B10" s="17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54500</v>
      </c>
      <c r="G10" s="13" t="n">
        <v>15700</v>
      </c>
      <c r="H10" s="13" t="n">
        <v>0</v>
      </c>
      <c r="I10" s="16">
        <f>IF(SUM(F10:H10)=0,"",SUM(C10:E10)/SUM(F10:H10)*100)</f>
        <v/>
      </c>
    </row>
    <row r="11">
      <c r="A11" s="17" t="inlineStr">
        <is>
          <t>Apr 25</t>
        </is>
      </c>
      <c r="B11" s="17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61500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7" t="inlineStr">
        <is>
          <t>May 25</t>
        </is>
      </c>
      <c r="B12" s="17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61700</v>
      </c>
      <c r="G12" s="13" t="n">
        <v>15800</v>
      </c>
      <c r="H12" s="13" t="n">
        <v>0</v>
      </c>
      <c r="I12" s="16">
        <f>IF(SUM(F12:H12)=0,"",SUM(C12:E12)/SUM(F12:H12)*100)</f>
        <v/>
      </c>
    </row>
    <row r="13">
      <c r="A13" s="17" t="inlineStr">
        <is>
          <t>Jun 25</t>
        </is>
      </c>
      <c r="B13" s="17" t="inlineStr">
        <is>
          <t>Locked</t>
        </is>
      </c>
      <c r="C13" s="13" t="n">
        <v>6500</v>
      </c>
      <c r="D13" s="13" t="n">
        <v>5500</v>
      </c>
      <c r="E13" s="13" t="n">
        <v>0</v>
      </c>
      <c r="F13" s="13" t="n">
        <v>52200</v>
      </c>
      <c r="G13" s="13" t="n">
        <v>38100</v>
      </c>
      <c r="H13" s="13" t="n">
        <v>0</v>
      </c>
      <c r="I13" s="16">
        <f>IF(SUM(F13:H13)=0,"",SUM(C13:E13)/SUM(F13:H13)*100)</f>
        <v/>
      </c>
    </row>
    <row r="14">
      <c r="A14" s="17" t="inlineStr">
        <is>
          <t>Jul 25</t>
        </is>
      </c>
      <c r="B14" s="17" t="inlineStr">
        <is>
          <t>Locked</t>
        </is>
      </c>
      <c r="C14" s="13" t="n">
        <v>7100</v>
      </c>
      <c r="D14" s="13" t="n">
        <v>2200</v>
      </c>
      <c r="E14" s="13" t="n">
        <v>0</v>
      </c>
      <c r="F14" s="13" t="n">
        <v>59063</v>
      </c>
      <c r="G14" s="13" t="n">
        <v>13500</v>
      </c>
      <c r="H14" s="13" t="n">
        <v>0</v>
      </c>
      <c r="I14" s="16">
        <f>IF(SUM(F14:H14)=0,"",SUM(C14:E14)/SUM(F14:H14)*100)</f>
        <v/>
      </c>
    </row>
    <row r="15">
      <c r="A15" s="17" t="inlineStr">
        <is>
          <t>Aug 25</t>
        </is>
      </c>
      <c r="B15" s="17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61544</v>
      </c>
      <c r="G15" s="13" t="n">
        <v>16000</v>
      </c>
      <c r="H15" s="13" t="n">
        <v>0</v>
      </c>
      <c r="I15" s="16">
        <f>IF(SUM(F15:H15)=0,"",SUM(C15:E15)/SUM(F15:H15)*100)</f>
        <v/>
      </c>
    </row>
    <row r="16">
      <c r="A16" s="17" t="inlineStr">
        <is>
          <t>Sep 25</t>
        </is>
      </c>
      <c r="B16" s="17" t="inlineStr">
        <is>
          <t>Locked</t>
        </is>
      </c>
      <c r="C16" s="13" t="n">
        <v>7100</v>
      </c>
      <c r="D16" s="13" t="n">
        <v>2200</v>
      </c>
      <c r="E16" s="13" t="n">
        <v>15200</v>
      </c>
      <c r="F16" s="13" t="n">
        <v>62137</v>
      </c>
      <c r="G16" s="13" t="n">
        <v>16100</v>
      </c>
      <c r="H16" s="13" t="n">
        <v>36800</v>
      </c>
      <c r="I16" s="16">
        <f>IF(SUM(F16:H16)=0,"",SUM(C16:E16)/SUM(F16:H16)*100)</f>
        <v/>
      </c>
    </row>
    <row r="17">
      <c r="A17" s="17" t="inlineStr">
        <is>
          <t>Oct 25</t>
        </is>
      </c>
      <c r="B17" s="17" t="inlineStr">
        <is>
          <t>Locked</t>
        </is>
      </c>
      <c r="C17" s="13" t="n">
        <v>7100</v>
      </c>
      <c r="D17" s="13" t="n">
        <v>2200</v>
      </c>
      <c r="E17" s="13" t="n">
        <v>0</v>
      </c>
      <c r="F17" s="13" t="n">
        <v>69185</v>
      </c>
      <c r="G17" s="13" t="n">
        <v>16200</v>
      </c>
      <c r="H17" s="13" t="n">
        <v>0</v>
      </c>
      <c r="I17" s="16">
        <f>IF(SUM(F17:H17)=0,"",SUM(C17:E17)/SUM(F17:H17)*100)</f>
        <v/>
      </c>
    </row>
    <row r="18">
      <c r="A18" s="17" t="inlineStr">
        <is>
          <t>Nov 25</t>
        </is>
      </c>
      <c r="B18" s="17" t="inlineStr">
        <is>
          <t>Locked</t>
        </is>
      </c>
      <c r="C18" s="13" t="n">
        <v>7100</v>
      </c>
      <c r="D18" s="13" t="n">
        <v>3100</v>
      </c>
      <c r="E18" s="13" t="n">
        <v>0</v>
      </c>
      <c r="F18" s="13" t="n">
        <v>70164</v>
      </c>
      <c r="G18" s="13" t="n">
        <v>18700</v>
      </c>
      <c r="H18" s="13" t="n">
        <v>0</v>
      </c>
      <c r="I18" s="16">
        <f>IF(SUM(F18:H18)=0,"",SUM(C18:E18)/SUM(F18:H18)*100)</f>
        <v/>
      </c>
    </row>
    <row r="19">
      <c r="A19" s="17" t="inlineStr">
        <is>
          <t>Dec 25</t>
        </is>
      </c>
      <c r="B19" s="17" t="inlineStr">
        <is>
          <t>Locked</t>
        </is>
      </c>
      <c r="C19" s="13" t="n">
        <v>7100</v>
      </c>
      <c r="D19" s="13" t="n">
        <v>4400</v>
      </c>
      <c r="E19" s="13" t="n">
        <v>2600</v>
      </c>
      <c r="F19" s="13" t="n">
        <v>68793</v>
      </c>
      <c r="G19" s="13" t="n">
        <v>26100</v>
      </c>
      <c r="H19" s="13" t="n">
        <v>6200</v>
      </c>
      <c r="I19" s="16">
        <f>IF(SUM(F19:H19)=0,"",SUM(C19:E19)/SUM(F19:H19)*100)</f>
        <v/>
      </c>
    </row>
    <row r="20">
      <c r="A20" s="17" t="inlineStr">
        <is>
          <t>Jan 26</t>
        </is>
      </c>
      <c r="B20" s="17" t="inlineStr">
        <is>
          <t>Locked</t>
        </is>
      </c>
      <c r="C20" s="13" t="n">
        <v>7100</v>
      </c>
      <c r="D20" s="13" t="n">
        <v>2200</v>
      </c>
      <c r="E20" s="13" t="n">
        <v>0</v>
      </c>
      <c r="F20" s="13" t="n">
        <v>59785</v>
      </c>
      <c r="G20" s="13" t="n">
        <v>13100</v>
      </c>
      <c r="H20" s="13" t="n">
        <v>0</v>
      </c>
      <c r="I20" s="16">
        <f>IF(SUM(F20:H20)=0,"",SUM(C20:E20)/SUM(F20:H20)*100)</f>
        <v/>
      </c>
    </row>
    <row r="21">
      <c r="A21" s="17" t="inlineStr">
        <is>
          <t>Feb 26</t>
        </is>
      </c>
      <c r="B21" s="17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55759</v>
      </c>
      <c r="G21" s="13" t="n">
        <v>16400</v>
      </c>
      <c r="H21" s="13" t="n">
        <v>0</v>
      </c>
      <c r="I21" s="16">
        <f>IF(SUM(F21:H21)=0,"",SUM(C21:E21)/SUM(F21:H21)*100)</f>
        <v/>
      </c>
    </row>
    <row r="22">
      <c r="A22" s="17" t="inlineStr">
        <is>
          <t>Mar 26</t>
        </is>
      </c>
      <c r="B22" s="17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53806</v>
      </c>
      <c r="G22" s="13" t="n">
        <v>16500</v>
      </c>
      <c r="H22" s="13" t="n">
        <v>0</v>
      </c>
      <c r="I22" s="16">
        <f>IF(SUM(F22:H22)=0,"",SUM(C22:E22)/SUM(F22:H22)*100)</f>
        <v/>
      </c>
    </row>
    <row r="23">
      <c r="A23" s="17" t="inlineStr">
        <is>
          <t>Apr 26</t>
        </is>
      </c>
      <c r="B23" s="17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66729</v>
      </c>
      <c r="G23" s="13" t="n">
        <v>16600</v>
      </c>
      <c r="H23" s="13" t="n">
        <v>0</v>
      </c>
      <c r="I23" s="16">
        <f>IF(SUM(F23:H23)=0,"",SUM(C23:E23)/SUM(F23:H23)*100)</f>
        <v/>
      </c>
    </row>
    <row r="24">
      <c r="A24" s="17" t="inlineStr">
        <is>
          <t>May 26</t>
        </is>
      </c>
      <c r="B24" s="17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72245</v>
      </c>
      <c r="G24" s="13" t="n">
        <v>16600</v>
      </c>
      <c r="H24" s="13" t="n">
        <v>0</v>
      </c>
      <c r="I24" s="16">
        <f>IF(SUM(F24:H24)=0,"",SUM(C24:E24)/SUM(F24:H24)*100)</f>
        <v/>
      </c>
    </row>
    <row r="25">
      <c r="A25" s="17" t="inlineStr">
        <is>
          <t>Jun 26</t>
        </is>
      </c>
      <c r="B25" s="17" t="inlineStr">
        <is>
          <t>Locked</t>
        </is>
      </c>
      <c r="C25" s="13" t="n">
        <v>7100</v>
      </c>
      <c r="D25" s="13" t="n">
        <v>5500</v>
      </c>
      <c r="E25" s="13" t="n">
        <v>0</v>
      </c>
      <c r="F25" s="13" t="n">
        <v>70872</v>
      </c>
      <c r="G25" s="13" t="n">
        <v>40100</v>
      </c>
      <c r="H25" s="13" t="n">
        <v>0</v>
      </c>
      <c r="I25" s="16">
        <f>IF(SUM(F25:H25)=0,"",SUM(C25:E25)/SUM(F25:H25)*100)</f>
        <v/>
      </c>
    </row>
    <row r="26">
      <c r="A26" s="17" t="inlineStr">
        <is>
          <t>Jul 26</t>
        </is>
      </c>
      <c r="B26" s="17" t="inlineStr">
        <is>
          <t>Locked</t>
        </is>
      </c>
      <c r="C26" s="13" t="n">
        <v>7100</v>
      </c>
      <c r="D26" s="13" t="n">
        <v>2200</v>
      </c>
      <c r="E26" s="13" t="n">
        <v>0</v>
      </c>
      <c r="F26" s="13" t="n">
        <v>72618</v>
      </c>
      <c r="G26" s="13" t="n">
        <v>14300</v>
      </c>
      <c r="H26" s="13" t="n">
        <v>0</v>
      </c>
      <c r="I26" s="16">
        <f>IF(SUM(F26:H26)=0,"",SUM(C26:E26)/SUM(F26:H26)*100)</f>
        <v/>
      </c>
    </row>
    <row r="27">
      <c r="A27" s="17" t="inlineStr">
        <is>
          <t>Aug 26</t>
        </is>
      </c>
      <c r="B27" s="17" t="inlineStr">
        <is>
          <t>Locked</t>
        </is>
      </c>
      <c r="C27" s="13" t="n">
        <v>7100</v>
      </c>
      <c r="D27" s="13" t="n">
        <v>2200</v>
      </c>
      <c r="E27" s="13" t="n">
        <v>2400</v>
      </c>
      <c r="F27" s="13" t="n">
        <v>73700</v>
      </c>
      <c r="G27" s="13" t="n">
        <v>18400</v>
      </c>
      <c r="H27" s="13" t="n">
        <v>0</v>
      </c>
      <c r="I27" s="16">
        <f>IF(SUM(F27:H27)=0,"",SUM(C27:E27)/SUM(F27:H27)*100)</f>
        <v/>
      </c>
    </row>
    <row r="28">
      <c r="A28" s="17" t="inlineStr">
        <is>
          <t>Sep 26</t>
        </is>
      </c>
      <c r="B28" s="17" t="inlineStr">
        <is>
          <t>Locked</t>
        </is>
      </c>
      <c r="C28" s="13" t="n">
        <v>7100</v>
      </c>
      <c r="D28" s="13" t="n">
        <v>5400</v>
      </c>
      <c r="E28" s="13" t="n">
        <v>16900</v>
      </c>
      <c r="F28" s="13" t="n">
        <v>77000</v>
      </c>
      <c r="G28" s="13" t="n">
        <v>27900</v>
      </c>
      <c r="H28" s="13" t="n">
        <v>41600</v>
      </c>
      <c r="I28" s="16">
        <f>IF(SUM(F28:H28)=0,"",SUM(C28:E28)/SUM(F28:H28)*100)</f>
        <v/>
      </c>
    </row>
    <row r="29">
      <c r="A29" s="17" t="inlineStr">
        <is>
          <t>Oct 26</t>
        </is>
      </c>
      <c r="B29" s="17" t="inlineStr">
        <is>
          <t>Incomplete</t>
        </is>
      </c>
      <c r="C29" s="13" t="n">
        <v>1016</v>
      </c>
      <c r="D29" s="13" t="n">
        <v>315</v>
      </c>
      <c r="E29" s="13" t="n">
        <v>0</v>
      </c>
      <c r="F29" s="13" t="n">
        <v>11007</v>
      </c>
      <c r="G29" s="13" t="n">
        <v>3294</v>
      </c>
      <c r="H29" s="13" t="n">
        <v>0</v>
      </c>
      <c r="I29" s="16">
        <f>IF(SUM(F29:H29)=0,"",SUM(C29:E29)/SUM(F29:H29)*100)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