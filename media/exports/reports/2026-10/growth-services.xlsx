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October_so_far_against_October_last_year">'Report'!$B$16</definedName>
    <definedName name="Services_Year_to_date_against_the_same_period_last_year">'Report'!$B$17</definedName>
    <definedName name="Services_Gross_margin_year_to_date">'Report'!$B$18</definedName>
    <definedName name="Services_October_so_far_against_October_last_year_2">'Report'!$B$28</definedName>
    <definedName name="Services_Year_to_date_against_the_same_period_last_year_2">'Report'!$B$29</definedName>
    <definedName name="Services_Gross_margin_year_to_date_2">'Report'!$B$30</definedName>
    <definedName name="Services_October_so_far_against_October_last_year_3">'Report'!$B$40</definedName>
    <definedName name="Services_Year_to_date_against_the_same_period_last_year_3">'Report'!$B$41</definedName>
    <definedName name="Services_Gross_margin_year_to_date_3">'Report'!$B$42</definedName>
    <definedName name="Services_October_so_far_against_October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'Workings'!$A$1:$B$143</definedName>
    <definedName name="_xlnm.Print_Titles" localSheetId="2">'Data Services'!$5:$5</definedName>
    <definedName name="_xlnm.Print_Area" localSheetId="2">'Data Services'!$A$1:$G$101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Services'!$D$6:$D$29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Services'!$D$30:$D$53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Services'!$D$54:$D$77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Services'!$D$78:$D$101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101" headerRowCount="1">
  <autoFilter ref="A5:G10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 · latest closed month: September</t>
        </is>
      </c>
    </row>
    <row r="9" ht="75" customHeight="1">
      <c r="A9" s="3" t="inlineStr">
        <is>
          <t>October is still in progress and wages are paid fortnightly, so a part month can't be bridged: this is September, the latest closed month. September's client work made $81,890 gross margin (56.3%). Consultant time not charged to client work took $14,352 and overheads $52,140, leaving $15,398 profit before tax (10.6% of revenue). To cover overheads, client work needs a 45.8%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October so far against October last year</t>
        </is>
      </c>
      <c r="B16" s="9">
        <f>Workings!B27</f>
        <v/>
      </c>
      <c r="C16" s="10" t="inlineStr">
        <is>
          <t>$49,055 against $78,550</t>
        </is>
      </c>
    </row>
    <row r="17">
      <c r="A17" t="inlineStr">
        <is>
          <t>Year to date against the same period last year</t>
        </is>
      </c>
      <c r="B17" s="9">
        <f>Workings!B36</f>
        <v/>
      </c>
      <c r="C17" s="10" t="inlineStr">
        <is>
          <t>$454,340 against $306,750</t>
        </is>
      </c>
    </row>
    <row r="18">
      <c r="A18" t="inlineStr">
        <is>
          <t>Gross margin, year to date</t>
        </is>
      </c>
      <c r="B18" s="9">
        <f>Workings!B49</f>
        <v/>
      </c>
      <c r="C18" s="10" t="inlineStr">
        <is>
          <t>$290,660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48.1% up on the same period last year, year to date ($454,340 against $306,750). Retainers make the highest gross margin (71.3%); Projects the lowest (60.5%). The business needs 45.8%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60.5% gross margin, 20.5 points over the 40.0% target ($57,324 ahead on $280,040 this financial year to date). Retainers: 71.3% gross margin, 31.3 points over the 40.0% target ($44,700 ahead on $142,800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October so far against October last year</t>
        </is>
      </c>
      <c r="B28" s="9">
        <f>Workings!B58</f>
        <v/>
      </c>
      <c r="C28" s="10" t="inlineStr">
        <is>
          <t>$13,355 against $50,650</t>
        </is>
      </c>
    </row>
    <row r="29">
      <c r="A29" t="inlineStr">
        <is>
          <t>Year to date against the same period last year</t>
        </is>
      </c>
      <c r="B29" s="9">
        <f>Workings!B67</f>
        <v/>
      </c>
      <c r="C29" s="10" t="inlineStr">
        <is>
          <t>$280,040 against $206,750</t>
        </is>
      </c>
    </row>
    <row r="30">
      <c r="A30" t="inlineStr">
        <is>
          <t>Gross margin, year to date</t>
        </is>
      </c>
      <c r="B30" s="9">
        <f>Workings!B80</f>
        <v/>
      </c>
      <c r="C30" s="10" t="inlineStr">
        <is>
          <t>$169,340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$280,040 this financial year to date, 35.4% on the same period last year (slower than the business as a whole, 48.1%), at a 60.5% gross margin (below the 64.0%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60.5% gross margin, 20.5 points over the 40.0% target ($57,324 ahead on $280,040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October so far against October last year</t>
        </is>
      </c>
      <c r="B40" s="9">
        <f>Workings!B89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Workings!B98</f>
        <v/>
      </c>
      <c r="C41" s="10" t="inlineStr">
        <is>
          <t>$142,800 against $71,600</t>
        </is>
      </c>
    </row>
    <row r="42">
      <c r="A42" t="inlineStr">
        <is>
          <t>Gross margin, year to date</t>
        </is>
      </c>
      <c r="B42" s="9">
        <f>Workings!B111</f>
        <v/>
      </c>
      <c r="C42" s="10" t="inlineStr">
        <is>
          <t>$101,820 before overheads</t>
        </is>
      </c>
    </row>
    <row r="43"/>
    <row r="44">
      <c r="A44" s="5" t="inlineStr">
        <is>
          <t>What it shows</t>
        </is>
      </c>
    </row>
    <row r="45" ht="45" customHeight="1">
      <c r="A45" s="3" t="inlineStr">
        <is>
          <t>Retainers brought in $142,800 this financial year to date, 99.4% on the same period last year (faster than the business as a whole, 48.1%), at a 71.3% gross margin (above the 64.0%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71.3% gross margin, 31.3 points over the 40.0% target ($44,700 ahead on $142,800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October so far against October last year</t>
        </is>
      </c>
      <c r="B52" s="9">
        <f>Workings!B120</f>
        <v/>
      </c>
      <c r="C52" s="10" t="inlineStr">
        <is>
          <t>$0 against $10,000</t>
        </is>
      </c>
    </row>
    <row r="53">
      <c r="A53" t="inlineStr">
        <is>
          <t>Year to date against the same period last year</t>
        </is>
      </c>
      <c r="B53" s="9">
        <f>Workings!B129</f>
        <v/>
      </c>
      <c r="C53" s="10" t="inlineStr">
        <is>
          <t>$31,500 against $28,400</t>
        </is>
      </c>
    </row>
    <row r="54">
      <c r="A54" t="inlineStr">
        <is>
          <t>Gross margin, year to date</t>
        </is>
      </c>
      <c r="B54" s="9">
        <f>Workings!B142</f>
        <v/>
      </c>
      <c r="C54" s="10" t="inlineStr">
        <is>
          <t>$19,500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$31,500 this financial year to date, 10.9% on the same period last year (slower than the business as a whole, 48.1%), at a 61.9% gross margin (below the 64.0%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61.9% gross margin, 21.9 points over the 40.0% target ($6,900 ahead on $31,500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6" t="inlineStr">
        <is>
          <t>Services: From gross margin to profit, September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Gross margin on client work</t>
        </is>
      </c>
      <c r="B8" s="12" t="n">
        <v>81890</v>
      </c>
    </row>
    <row r="9">
      <c r="A9" t="inlineStr">
        <is>
          <t>Consultant wages and on-costs</t>
        </is>
      </c>
      <c r="B9" s="12" t="n">
        <v>60192</v>
      </c>
    </row>
    <row r="10">
      <c r="A10" t="inlineStr">
        <is>
          <t>Consultant time charged to client work (at cost)</t>
        </is>
      </c>
      <c r="B10" s="12" t="n">
        <v>45840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52140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145330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September 2026 P&amp;L (locked). Wages include their on-costs: super (12%) and leave as it's earned. No payroll tax: wages are under Queensland's $1.3 million threshold. October is still in progress, so this uses September.</t>
        </is>
      </c>
    </row>
    <row r="20"/>
    <row r="21"/>
    <row r="22">
      <c r="A22" s="6" t="inlineStr">
        <is>
          <t>Services, all lines: October against October last year</t>
        </is>
      </c>
    </row>
    <row r="23">
      <c r="A23" s="11" t="inlineStr">
        <is>
          <t>October 2026 to date ÷ October 2025 − 1 (year on year)</t>
        </is>
      </c>
    </row>
    <row r="24">
      <c r="A24" s="7" t="inlineStr"/>
      <c r="B24" s="8" t="inlineStr">
        <is>
          <t>Oct</t>
        </is>
      </c>
    </row>
    <row r="25">
      <c r="A25" t="inlineStr">
        <is>
          <t>Revenue, Oct 2026</t>
        </is>
      </c>
      <c r="B25" s="12" t="n">
        <v>49055</v>
      </c>
    </row>
    <row r="26">
      <c r="A26" t="inlineStr">
        <is>
          <t>Revenue, Oct 2025</t>
        </is>
      </c>
      <c r="B26" s="12" t="n">
        <v>78550</v>
      </c>
    </row>
    <row r="27">
      <c r="A27" s="14" t="inlineStr">
        <is>
          <t>Growth</t>
        </is>
      </c>
      <c r="B27" s="15">
        <f>B25/B26-1</f>
        <v/>
      </c>
    </row>
    <row r="28">
      <c r="A28" s="2" t="inlineStr">
        <is>
          <t>October is still in progress (data to 6 October), so it is a part month against full months.</t>
        </is>
      </c>
    </row>
    <row r="29"/>
    <row r="30"/>
    <row r="31">
      <c r="A31" s="6" t="inlineStr">
        <is>
          <t>Services, all lines: year to date against the same period last year</t>
        </is>
      </c>
    </row>
    <row r="32">
      <c r="A32" s="11" t="inlineStr">
        <is>
          <t>Jul to Oct 2026 ÷ Jul to Oct 2025 − 1 (financial year to date)</t>
        </is>
      </c>
    </row>
    <row r="33">
      <c r="A33" s="7" t="inlineStr"/>
      <c r="B33" s="8" t="inlineStr">
        <is>
          <t>Year to date</t>
        </is>
      </c>
    </row>
    <row r="34">
      <c r="A34" t="inlineStr">
        <is>
          <t>Revenue, year to date (Jul to Oct 2026)</t>
        </is>
      </c>
      <c r="B34" s="12" t="n">
        <v>454340</v>
      </c>
    </row>
    <row r="35">
      <c r="A35" t="inlineStr">
        <is>
          <t>Revenue, same period last year (Jul to Oct 2025)</t>
        </is>
      </c>
      <c r="B35" s="12" t="n">
        <v>306750</v>
      </c>
    </row>
    <row r="36">
      <c r="A36" t="inlineStr">
        <is>
          <t>Growth</t>
        </is>
      </c>
      <c r="B36" s="13">
        <f>B34/B35-1</f>
        <v/>
      </c>
    </row>
    <row r="37">
      <c r="A37" t="inlineStr">
        <is>
          <t>Gross margin, year to date</t>
        </is>
      </c>
      <c r="B37" s="12" t="n">
        <v>290660</v>
      </c>
    </row>
    <row r="38">
      <c r="A38" s="14" t="inlineStr">
        <is>
          <t>Gross margin %, year to date</t>
        </is>
      </c>
      <c r="B38" s="15">
        <f>B37/B34</f>
        <v/>
      </c>
    </row>
    <row r="39">
      <c r="A39" s="2" t="inlineStr">
        <is>
          <t>October is still in progress (data to 6 October), so it is a part month against full months.</t>
        </is>
      </c>
    </row>
    <row r="40"/>
    <row r="41"/>
    <row r="42">
      <c r="A42" s="6" t="inlineStr">
        <is>
          <t>Services, all lines: year to date against the same period last year</t>
        </is>
      </c>
    </row>
    <row r="43">
      <c r="A43" s="11" t="inlineStr">
        <is>
          <t>Jul to Oct 2026 ÷ Jul to Oct 2025 − 1 (financial year to date)</t>
        </is>
      </c>
    </row>
    <row r="44">
      <c r="A44" s="7" t="inlineStr"/>
      <c r="B44" s="8" t="inlineStr">
        <is>
          <t>Year to date</t>
        </is>
      </c>
    </row>
    <row r="45">
      <c r="A45" t="inlineStr">
        <is>
          <t>Revenue, year to date (Jul to Oct 2026)</t>
        </is>
      </c>
      <c r="B45" s="12" t="n">
        <v>454340</v>
      </c>
    </row>
    <row r="46">
      <c r="A46" t="inlineStr">
        <is>
          <t>Revenue, same period last year (Jul to Oct 2025)</t>
        </is>
      </c>
      <c r="B46" s="12" t="n">
        <v>306750</v>
      </c>
    </row>
    <row r="47">
      <c r="A47" t="inlineStr">
        <is>
          <t>Growth</t>
        </is>
      </c>
      <c r="B47" s="13">
        <f>B45/B46-1</f>
        <v/>
      </c>
    </row>
    <row r="48">
      <c r="A48" t="inlineStr">
        <is>
          <t>Gross margin, year to date</t>
        </is>
      </c>
      <c r="B48" s="12" t="n">
        <v>290660</v>
      </c>
    </row>
    <row r="49">
      <c r="A49" s="14" t="inlineStr">
        <is>
          <t>Gross margin %, year to date</t>
        </is>
      </c>
      <c r="B49" s="15">
        <f>B48/B45</f>
        <v/>
      </c>
    </row>
    <row r="50">
      <c r="A50" s="2" t="inlineStr">
        <is>
          <t>October is still in progress (data to 6 October), so it is a part month against full months.</t>
        </is>
      </c>
    </row>
    <row r="51"/>
    <row r="52"/>
    <row r="53">
      <c r="A53" s="6" t="inlineStr">
        <is>
          <t>Services, Projects: October against October last year</t>
        </is>
      </c>
    </row>
    <row r="54">
      <c r="A54" s="11" t="inlineStr">
        <is>
          <t>October 2026 to date ÷ October 2025 − 1 (year on year)</t>
        </is>
      </c>
    </row>
    <row r="55">
      <c r="A55" s="7" t="inlineStr"/>
      <c r="B55" s="8" t="inlineStr">
        <is>
          <t>Oct</t>
        </is>
      </c>
    </row>
    <row r="56">
      <c r="A56" t="inlineStr">
        <is>
          <t>Revenue, Oct 2026</t>
        </is>
      </c>
      <c r="B56" s="12" t="n">
        <v>13355</v>
      </c>
    </row>
    <row r="57">
      <c r="A57" t="inlineStr">
        <is>
          <t>Revenue, Oct 2025</t>
        </is>
      </c>
      <c r="B57" s="12" t="n">
        <v>50650</v>
      </c>
    </row>
    <row r="58">
      <c r="A58" s="14" t="inlineStr">
        <is>
          <t>Growth</t>
        </is>
      </c>
      <c r="B58" s="15">
        <f>B56/B57-1</f>
        <v/>
      </c>
    </row>
    <row r="59">
      <c r="A59" s="2" t="inlineStr">
        <is>
          <t>October is still in progress (data to 6 October), so it is a part month against full months.</t>
        </is>
      </c>
    </row>
    <row r="60"/>
    <row r="61"/>
    <row r="62">
      <c r="A62" s="6" t="inlineStr">
        <is>
          <t>Services, Projects: year to date against the same period last year</t>
        </is>
      </c>
    </row>
    <row r="63">
      <c r="A63" s="11" t="inlineStr">
        <is>
          <t>Jul to Oct 2026 ÷ Jul to Oct 2025 − 1 (financial year to date)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Oct 2026)</t>
        </is>
      </c>
      <c r="B65" s="12" t="n">
        <v>280040</v>
      </c>
    </row>
    <row r="66">
      <c r="A66" t="inlineStr">
        <is>
          <t>Revenue, same period last year (Jul to Oct 2025)</t>
        </is>
      </c>
      <c r="B66" s="12" t="n">
        <v>206750</v>
      </c>
    </row>
    <row r="67">
      <c r="A67" t="inlineStr">
        <is>
          <t>Growth</t>
        </is>
      </c>
      <c r="B67" s="13">
        <f>B65/B66-1</f>
        <v/>
      </c>
    </row>
    <row r="68">
      <c r="A68" t="inlineStr">
        <is>
          <t>Gross margin, year to date</t>
        </is>
      </c>
      <c r="B68" s="12" t="n">
        <v>169340</v>
      </c>
    </row>
    <row r="69">
      <c r="A69" s="14" t="inlineStr">
        <is>
          <t>Gross margin %, year to date</t>
        </is>
      </c>
      <c r="B69" s="15">
        <f>B68/B65</f>
        <v/>
      </c>
    </row>
    <row r="70">
      <c r="A70" s="2" t="inlineStr">
        <is>
          <t>October is still in progress (data to 6 October), so it is a part month against full months.</t>
        </is>
      </c>
    </row>
    <row r="71"/>
    <row r="72"/>
    <row r="73">
      <c r="A73" s="6" t="inlineStr">
        <is>
          <t>Services, Projects: year to date against the same period last year</t>
        </is>
      </c>
    </row>
    <row r="74">
      <c r="A74" s="11" t="inlineStr">
        <is>
          <t>Jul to Oct 2026 ÷ Jul to Oct 2025 − 1 (financial year to date)</t>
        </is>
      </c>
    </row>
    <row r="75">
      <c r="A75" s="7" t="inlineStr"/>
      <c r="B75" s="8" t="inlineStr">
        <is>
          <t>Year to date</t>
        </is>
      </c>
    </row>
    <row r="76">
      <c r="A76" t="inlineStr">
        <is>
          <t>Revenue, year to date (Jul to Oct 2026)</t>
        </is>
      </c>
      <c r="B76" s="12" t="n">
        <v>280040</v>
      </c>
    </row>
    <row r="77">
      <c r="A77" t="inlineStr">
        <is>
          <t>Revenue, same period last year (Jul to Oct 2025)</t>
        </is>
      </c>
      <c r="B77" s="12" t="n">
        <v>206750</v>
      </c>
    </row>
    <row r="78">
      <c r="A78" t="inlineStr">
        <is>
          <t>Growth</t>
        </is>
      </c>
      <c r="B78" s="13">
        <f>B76/B77-1</f>
        <v/>
      </c>
    </row>
    <row r="79">
      <c r="A79" t="inlineStr">
        <is>
          <t>Gross margin, year to date</t>
        </is>
      </c>
      <c r="B79" s="12" t="n">
        <v>169340</v>
      </c>
    </row>
    <row r="80">
      <c r="A80" s="14" t="inlineStr">
        <is>
          <t>Gross margin %, year to date</t>
        </is>
      </c>
      <c r="B80" s="15">
        <f>B79/B76</f>
        <v/>
      </c>
    </row>
    <row r="81">
      <c r="A81" s="2" t="inlineStr">
        <is>
          <t>October is still in progress (data to 6 October), so it is a part month against full months.</t>
        </is>
      </c>
    </row>
    <row r="82"/>
    <row r="83"/>
    <row r="84">
      <c r="A84" s="6" t="inlineStr">
        <is>
          <t>Services, Retainers: October against October last year</t>
        </is>
      </c>
    </row>
    <row r="85">
      <c r="A85" s="11" t="inlineStr">
        <is>
          <t>October 2026 to date ÷ October 2025 − 1 (year on year)</t>
        </is>
      </c>
    </row>
    <row r="86">
      <c r="A86" s="7" t="inlineStr"/>
      <c r="B86" s="8" t="inlineStr">
        <is>
          <t>Oct</t>
        </is>
      </c>
    </row>
    <row r="87">
      <c r="A87" t="inlineStr">
        <is>
          <t>Revenue, Oct 2026</t>
        </is>
      </c>
      <c r="B87" s="12" t="n">
        <v>35700</v>
      </c>
    </row>
    <row r="88">
      <c r="A88" t="inlineStr">
        <is>
          <t>Revenue, Oct 2025</t>
        </is>
      </c>
      <c r="B88" s="12" t="n">
        <v>17900</v>
      </c>
    </row>
    <row r="89">
      <c r="A89" s="14" t="inlineStr">
        <is>
          <t>Growth</t>
        </is>
      </c>
      <c r="B89" s="15">
        <f>B87/B88-1</f>
        <v/>
      </c>
    </row>
    <row r="90">
      <c r="A90" s="2" t="inlineStr">
        <is>
          <t>October is still in progress (data to 6 October), so it is a part month against full months.</t>
        </is>
      </c>
    </row>
    <row r="91"/>
    <row r="92"/>
    <row r="93">
      <c r="A93" s="6" t="inlineStr">
        <is>
          <t>Services, Retainers: year to date against the same period last year</t>
        </is>
      </c>
    </row>
    <row r="94">
      <c r="A94" s="11" t="inlineStr">
        <is>
          <t>Jul to Oct 2026 ÷ Jul to Oct 2025 − 1 (financial year to date)</t>
        </is>
      </c>
    </row>
    <row r="95">
      <c r="A95" s="7" t="inlineStr"/>
      <c r="B95" s="8" t="inlineStr">
        <is>
          <t>Year to date</t>
        </is>
      </c>
    </row>
    <row r="96">
      <c r="A96" t="inlineStr">
        <is>
          <t>Revenue, year to date (Jul to Oct 2026)</t>
        </is>
      </c>
      <c r="B96" s="12" t="n">
        <v>142800</v>
      </c>
    </row>
    <row r="97">
      <c r="A97" t="inlineStr">
        <is>
          <t>Revenue, same period last year (Jul to Oct 2025)</t>
        </is>
      </c>
      <c r="B97" s="12" t="n">
        <v>71600</v>
      </c>
    </row>
    <row r="98">
      <c r="A98" t="inlineStr">
        <is>
          <t>Growth</t>
        </is>
      </c>
      <c r="B98" s="13">
        <f>B96/B97-1</f>
        <v/>
      </c>
    </row>
    <row r="99">
      <c r="A99" t="inlineStr">
        <is>
          <t>Gross margin, year to date</t>
        </is>
      </c>
      <c r="B99" s="12" t="n">
        <v>101820</v>
      </c>
    </row>
    <row r="100">
      <c r="A100" s="14" t="inlineStr">
        <is>
          <t>Gross margin %, year to date</t>
        </is>
      </c>
      <c r="B100" s="15">
        <f>B99/B96</f>
        <v/>
      </c>
    </row>
    <row r="101">
      <c r="A101" s="2" t="inlineStr">
        <is>
          <t>October is still in progress (data to 6 October), so it is a part month against full months.</t>
        </is>
      </c>
    </row>
    <row r="102"/>
    <row r="103"/>
    <row r="104">
      <c r="A104" s="6" t="inlineStr">
        <is>
          <t>Services, Retainers: year to date against the same period last year</t>
        </is>
      </c>
    </row>
    <row r="105">
      <c r="A105" s="11" t="inlineStr">
        <is>
          <t>Jul to Oct 2026 ÷ Jul to Oct 2025 − 1 (financial year to date)</t>
        </is>
      </c>
    </row>
    <row r="106">
      <c r="A106" s="7" t="inlineStr"/>
      <c r="B106" s="8" t="inlineStr">
        <is>
          <t>Year to date</t>
        </is>
      </c>
    </row>
    <row r="107">
      <c r="A107" t="inlineStr">
        <is>
          <t>Revenue, year to date (Jul to Oct 2026)</t>
        </is>
      </c>
      <c r="B107" s="12" t="n">
        <v>142800</v>
      </c>
    </row>
    <row r="108">
      <c r="A108" t="inlineStr">
        <is>
          <t>Revenue, same period last year (Jul to Oct 2025)</t>
        </is>
      </c>
      <c r="B108" s="12" t="n">
        <v>71600</v>
      </c>
    </row>
    <row r="109">
      <c r="A109" t="inlineStr">
        <is>
          <t>Growth</t>
        </is>
      </c>
      <c r="B109" s="13">
        <f>B107/B108-1</f>
        <v/>
      </c>
    </row>
    <row r="110">
      <c r="A110" t="inlineStr">
        <is>
          <t>Gross margin, year to date</t>
        </is>
      </c>
      <c r="B110" s="12" t="n">
        <v>101820</v>
      </c>
    </row>
    <row r="111">
      <c r="A111" s="14" t="inlineStr">
        <is>
          <t>Gross margin %, year to date</t>
        </is>
      </c>
      <c r="B111" s="15">
        <f>B110/B107</f>
        <v/>
      </c>
    </row>
    <row r="112">
      <c r="A112" s="2" t="inlineStr">
        <is>
          <t>October is still in progress (data to 6 October), so it is a part month against full months.</t>
        </is>
      </c>
    </row>
    <row r="113"/>
    <row r="114"/>
    <row r="115">
      <c r="A115" s="6" t="inlineStr">
        <is>
          <t>Services, Training: October against October last year</t>
        </is>
      </c>
    </row>
    <row r="116">
      <c r="A116" s="11" t="inlineStr">
        <is>
          <t>October 2026 to date ÷ October 2025 − 1 (year on year)</t>
        </is>
      </c>
    </row>
    <row r="117">
      <c r="A117" s="7" t="inlineStr"/>
      <c r="B117" s="8" t="inlineStr">
        <is>
          <t>Oct</t>
        </is>
      </c>
    </row>
    <row r="118">
      <c r="A118" t="inlineStr">
        <is>
          <t>Revenue, Oct 2026</t>
        </is>
      </c>
      <c r="B118" s="12" t="n">
        <v>0</v>
      </c>
    </row>
    <row r="119">
      <c r="A119" t="inlineStr">
        <is>
          <t>Revenue, Oct 2025</t>
        </is>
      </c>
      <c r="B119" s="12" t="n">
        <v>10000</v>
      </c>
    </row>
    <row r="120">
      <c r="A120" s="14" t="inlineStr">
        <is>
          <t>Growth</t>
        </is>
      </c>
      <c r="B120" s="15">
        <f>B118/B119-1</f>
        <v/>
      </c>
    </row>
    <row r="121">
      <c r="A121" s="2" t="inlineStr">
        <is>
          <t>October is still in progress (data to 6 October), so it is a part month against full months.</t>
        </is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Oct 2026 ÷ Jul to Oct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Oct 2026)</t>
        </is>
      </c>
      <c r="B127" s="12" t="n">
        <v>31500</v>
      </c>
    </row>
    <row r="128">
      <c r="A128" t="inlineStr">
        <is>
          <t>Revenue, same period last year (Jul to Oct 2025)</t>
        </is>
      </c>
      <c r="B128" s="12" t="n">
        <v>28400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19500</v>
      </c>
    </row>
    <row r="131">
      <c r="A131" s="14" t="inlineStr">
        <is>
          <t>Gross margin %, year to date</t>
        </is>
      </c>
      <c r="B131" s="15">
        <f>B130/B127</f>
        <v/>
      </c>
    </row>
    <row r="132">
      <c r="A132" s="2" t="inlineStr">
        <is>
          <t>October is still in progress (data to 6 October), so it is a part month against full months.</t>
        </is>
      </c>
    </row>
    <row r="133"/>
    <row r="134"/>
    <row r="135">
      <c r="A135" s="6" t="inlineStr">
        <is>
          <t>Services, Training: year to date against the same period last year</t>
        </is>
      </c>
    </row>
    <row r="136">
      <c r="A136" s="11" t="inlineStr">
        <is>
          <t>Jul to Oct 2026 ÷ Jul to Oct 2025 − 1 (financial year to date)</t>
        </is>
      </c>
    </row>
    <row r="137">
      <c r="A137" s="7" t="inlineStr"/>
      <c r="B137" s="8" t="inlineStr">
        <is>
          <t>Year to date</t>
        </is>
      </c>
    </row>
    <row r="138">
      <c r="A138" t="inlineStr">
        <is>
          <t>Revenue, year to date (Jul to Oct 2026)</t>
        </is>
      </c>
      <c r="B138" s="12" t="n">
        <v>31500</v>
      </c>
    </row>
    <row r="139">
      <c r="A139" t="inlineStr">
        <is>
          <t>Revenue, same period last year (Jul to Oct 2025)</t>
        </is>
      </c>
      <c r="B139" s="12" t="n">
        <v>28400</v>
      </c>
    </row>
    <row r="140">
      <c r="A140" t="inlineStr">
        <is>
          <t>Growth</t>
        </is>
      </c>
      <c r="B140" s="13">
        <f>B138/B139-1</f>
        <v/>
      </c>
    </row>
    <row r="141">
      <c r="A141" t="inlineStr">
        <is>
          <t>Gross margin, year to date</t>
        </is>
      </c>
      <c r="B141" s="12" t="n">
        <v>19500</v>
      </c>
    </row>
    <row r="142">
      <c r="A142" s="14" t="inlineStr">
        <is>
          <t>Gross margin %, year to date</t>
        </is>
      </c>
      <c r="B142" s="15">
        <f>B141/B138</f>
        <v/>
      </c>
    </row>
    <row r="143">
      <c r="A143" s="2" t="inlineStr">
        <is>
          <t>October is still in progress (data to 6 October), so it is a part month against full months.</t>
        </is>
      </c>
    </row>
    <row r="144"/>
    <row r="145"/>
    <row r="14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30" min="0" max="16383" man="1"/>
    <brk id="61" min="0" max="16383" man="1"/>
    <brk id="92" min="0" max="16383" man="1"/>
    <brk id="12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Nov 24</t>
        </is>
      </c>
      <c r="C6" s="16" t="inlineStr">
        <is>
          <t>Locked</t>
        </is>
      </c>
      <c r="D6" s="12" t="n">
        <v>118390</v>
      </c>
      <c r="E6" s="12" t="n">
        <v>40040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Dec 24</t>
        </is>
      </c>
      <c r="C7" s="16" t="inlineStr">
        <is>
          <t>Locked</t>
        </is>
      </c>
      <c r="D7" s="12" t="n">
        <v>125715</v>
      </c>
      <c r="E7" s="12" t="n">
        <v>42940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Jan 25</t>
        </is>
      </c>
      <c r="C8" s="16" t="inlineStr">
        <is>
          <t>Locked</t>
        </is>
      </c>
      <c r="D8" s="12" t="n">
        <v>96560</v>
      </c>
      <c r="E8" s="12" t="n">
        <v>33260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Feb 25</t>
        </is>
      </c>
      <c r="C9" s="16" t="inlineStr">
        <is>
          <t>Locked</t>
        </is>
      </c>
      <c r="D9" s="12" t="n">
        <v>121275</v>
      </c>
      <c r="E9" s="12" t="n">
        <v>42820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Mar 25</t>
        </is>
      </c>
      <c r="C10" s="16" t="inlineStr">
        <is>
          <t>Locked</t>
        </is>
      </c>
      <c r="D10" s="12" t="n">
        <v>84340</v>
      </c>
      <c r="E10" s="12" t="n">
        <v>31940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Apr 25</t>
        </is>
      </c>
      <c r="C11" s="16" t="inlineStr">
        <is>
          <t>Locked</t>
        </is>
      </c>
      <c r="D11" s="12" t="n">
        <v>69985</v>
      </c>
      <c r="E11" s="12" t="n">
        <v>25520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May 25</t>
        </is>
      </c>
      <c r="C12" s="16" t="inlineStr">
        <is>
          <t>Locked</t>
        </is>
      </c>
      <c r="D12" s="12" t="n">
        <v>104970</v>
      </c>
      <c r="E12" s="12" t="n">
        <v>36100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Jun 25</t>
        </is>
      </c>
      <c r="C13" s="16" t="inlineStr">
        <is>
          <t>Locked</t>
        </is>
      </c>
      <c r="D13" s="12" t="n">
        <v>99060</v>
      </c>
      <c r="E13" s="12" t="n">
        <v>35380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Jul 25</t>
        </is>
      </c>
      <c r="C14" s="16" t="inlineStr">
        <is>
          <t>Locked</t>
        </is>
      </c>
      <c r="D14" s="12" t="n">
        <v>94805</v>
      </c>
      <c r="E14" s="12" t="n">
        <v>32820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Aug 25</t>
        </is>
      </c>
      <c r="C15" s="16" t="inlineStr">
        <is>
          <t>Locked</t>
        </is>
      </c>
      <c r="D15" s="12" t="n">
        <v>67745</v>
      </c>
      <c r="E15" s="12" t="n">
        <v>21360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Sep 25</t>
        </is>
      </c>
      <c r="C16" s="16" t="inlineStr">
        <is>
          <t>Locked</t>
        </is>
      </c>
      <c r="D16" s="12" t="n">
        <v>65650</v>
      </c>
      <c r="E16" s="12" t="n">
        <v>20280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Oct 25</t>
        </is>
      </c>
      <c r="C17" s="16" t="inlineStr">
        <is>
          <t>Locked</t>
        </is>
      </c>
      <c r="D17" s="12" t="n">
        <v>78550</v>
      </c>
      <c r="E17" s="12" t="n">
        <v>25540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Nov 25</t>
        </is>
      </c>
      <c r="C18" s="16" t="inlineStr">
        <is>
          <t>Locked</t>
        </is>
      </c>
      <c r="D18" s="12" t="n">
        <v>92575</v>
      </c>
      <c r="E18" s="12" t="n">
        <v>31140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Dec 25</t>
        </is>
      </c>
      <c r="C19" s="16" t="inlineStr">
        <is>
          <t>Locked</t>
        </is>
      </c>
      <c r="D19" s="12" t="n">
        <v>76600</v>
      </c>
      <c r="E19" s="12" t="n">
        <v>24520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Jan 26</t>
        </is>
      </c>
      <c r="C20" s="16" t="inlineStr">
        <is>
          <t>Locked</t>
        </is>
      </c>
      <c r="D20" s="12" t="n">
        <v>102350</v>
      </c>
      <c r="E20" s="12" t="n">
        <v>32520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Feb 26</t>
        </is>
      </c>
      <c r="C21" s="16" t="inlineStr">
        <is>
          <t>Locked</t>
        </is>
      </c>
      <c r="D21" s="12" t="n">
        <v>110835</v>
      </c>
      <c r="E21" s="12" t="n">
        <v>36580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Mar 26</t>
        </is>
      </c>
      <c r="C22" s="16" t="inlineStr">
        <is>
          <t>Locked</t>
        </is>
      </c>
      <c r="D22" s="12" t="n">
        <v>121215</v>
      </c>
      <c r="E22" s="12" t="n">
        <v>40720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Apr 26</t>
        </is>
      </c>
      <c r="C23" s="16" t="inlineStr">
        <is>
          <t>Locked</t>
        </is>
      </c>
      <c r="D23" s="12" t="n">
        <v>88665</v>
      </c>
      <c r="E23" s="12" t="n">
        <v>27860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May 26</t>
        </is>
      </c>
      <c r="C24" s="16" t="inlineStr">
        <is>
          <t>Locked</t>
        </is>
      </c>
      <c r="D24" s="12" t="n">
        <v>84920</v>
      </c>
      <c r="E24" s="12" t="n">
        <v>27680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Jun 26</t>
        </is>
      </c>
      <c r="C25" s="16" t="inlineStr">
        <is>
          <t>Locked</t>
        </is>
      </c>
      <c r="D25" s="12" t="n">
        <v>127580</v>
      </c>
      <c r="E25" s="12" t="n">
        <v>46060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Jul 26</t>
        </is>
      </c>
      <c r="C26" s="16" t="inlineStr">
        <is>
          <t>Locked</t>
        </is>
      </c>
      <c r="D26" s="12" t="n">
        <v>133455</v>
      </c>
      <c r="E26" s="12" t="n">
        <v>47680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Aug 26</t>
        </is>
      </c>
      <c r="C27" s="16" t="inlineStr">
        <is>
          <t>Locked</t>
        </is>
      </c>
      <c r="D27" s="12" t="n">
        <v>126500</v>
      </c>
      <c r="E27" s="12" t="n">
        <v>46620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Sep 26</t>
        </is>
      </c>
      <c r="C28" s="16" t="inlineStr">
        <is>
          <t>Locked</t>
        </is>
      </c>
      <c r="D28" s="12" t="n">
        <v>145330</v>
      </c>
      <c r="E28" s="12" t="n">
        <v>63440</v>
      </c>
      <c r="F28" s="12">
        <f>D28-E28</f>
        <v/>
      </c>
      <c r="G28" s="13">
        <f>IF(D28=0,"",F28/D28)</f>
        <v/>
      </c>
    </row>
    <row r="29">
      <c r="A29" s="16" t="inlineStr">
        <is>
          <t>All</t>
        </is>
      </c>
      <c r="B29" s="16" t="inlineStr">
        <is>
          <t>Oct 26</t>
        </is>
      </c>
      <c r="C29" s="16" t="inlineStr">
        <is>
          <t>Incomplete</t>
        </is>
      </c>
      <c r="D29" s="12" t="n">
        <v>49055</v>
      </c>
      <c r="E29" s="12" t="n">
        <v>5940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Nov 24</t>
        </is>
      </c>
      <c r="C30" s="16" t="inlineStr">
        <is>
          <t>Locked</t>
        </is>
      </c>
      <c r="D30" s="12" t="n">
        <v>96790</v>
      </c>
      <c r="E30" s="12" t="n">
        <v>34400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Dec 24</t>
        </is>
      </c>
      <c r="C31" s="16" t="inlineStr">
        <is>
          <t>Locked</t>
        </is>
      </c>
      <c r="D31" s="12" t="n">
        <v>103515</v>
      </c>
      <c r="E31" s="12" t="n">
        <v>36880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Jan 25</t>
        </is>
      </c>
      <c r="C32" s="16" t="inlineStr">
        <is>
          <t>Locked</t>
        </is>
      </c>
      <c r="D32" s="12" t="n">
        <v>73060</v>
      </c>
      <c r="E32" s="12" t="n">
        <v>26240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Feb 25</t>
        </is>
      </c>
      <c r="C33" s="16" t="inlineStr">
        <is>
          <t>Locked</t>
        </is>
      </c>
      <c r="D33" s="12" t="n">
        <v>92075</v>
      </c>
      <c r="E33" s="12" t="n">
        <v>34360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Mar 25</t>
        </is>
      </c>
      <c r="C34" s="16" t="inlineStr">
        <is>
          <t>Locked</t>
        </is>
      </c>
      <c r="D34" s="12" t="n">
        <v>53340</v>
      </c>
      <c r="E34" s="12" t="n">
        <v>21860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Apr 25</t>
        </is>
      </c>
      <c r="C35" s="16" t="inlineStr">
        <is>
          <t>Locked</t>
        </is>
      </c>
      <c r="D35" s="12" t="n">
        <v>40885</v>
      </c>
      <c r="E35" s="12" t="n">
        <v>17660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May 25</t>
        </is>
      </c>
      <c r="C36" s="16" t="inlineStr">
        <is>
          <t>Locked</t>
        </is>
      </c>
      <c r="D36" s="12" t="n">
        <v>65570</v>
      </c>
      <c r="E36" s="12" t="n">
        <v>23980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Jun 25</t>
        </is>
      </c>
      <c r="C37" s="16" t="inlineStr">
        <is>
          <t>Locked</t>
        </is>
      </c>
      <c r="D37" s="12" t="n">
        <v>70760</v>
      </c>
      <c r="E37" s="12" t="n">
        <v>26860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Jul 25</t>
        </is>
      </c>
      <c r="C38" s="16" t="inlineStr">
        <is>
          <t>Locked</t>
        </is>
      </c>
      <c r="D38" s="12" t="n">
        <v>71205</v>
      </c>
      <c r="E38" s="12" t="n">
        <v>25920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Aug 25</t>
        </is>
      </c>
      <c r="C39" s="16" t="inlineStr">
        <is>
          <t>Locked</t>
        </is>
      </c>
      <c r="D39" s="12" t="n">
        <v>42845</v>
      </c>
      <c r="E39" s="12" t="n">
        <v>13860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Sep 25</t>
        </is>
      </c>
      <c r="C40" s="16" t="inlineStr">
        <is>
          <t>Locked</t>
        </is>
      </c>
      <c r="D40" s="12" t="n">
        <v>42050</v>
      </c>
      <c r="E40" s="12" t="n">
        <v>13560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Oct 25</t>
        </is>
      </c>
      <c r="C41" s="16" t="inlineStr">
        <is>
          <t>Locked</t>
        </is>
      </c>
      <c r="D41" s="12" t="n">
        <v>50650</v>
      </c>
      <c r="E41" s="12" t="n">
        <v>18220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Nov 25</t>
        </is>
      </c>
      <c r="C42" s="16" t="inlineStr">
        <is>
          <t>Locked</t>
        </is>
      </c>
      <c r="D42" s="12" t="n">
        <v>51775</v>
      </c>
      <c r="E42" s="12" t="n">
        <v>18960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Dec 25</t>
        </is>
      </c>
      <c r="C43" s="16" t="inlineStr">
        <is>
          <t>Locked</t>
        </is>
      </c>
      <c r="D43" s="12" t="n">
        <v>32800</v>
      </c>
      <c r="E43" s="12" t="n">
        <v>12340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Jan 26</t>
        </is>
      </c>
      <c r="C44" s="16" t="inlineStr">
        <is>
          <t>Locked</t>
        </is>
      </c>
      <c r="D44" s="12" t="n">
        <v>66950</v>
      </c>
      <c r="E44" s="12" t="n">
        <v>22440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Feb 26</t>
        </is>
      </c>
      <c r="C45" s="16" t="inlineStr">
        <is>
          <t>Locked</t>
        </is>
      </c>
      <c r="D45" s="12" t="n">
        <v>70035</v>
      </c>
      <c r="E45" s="12" t="n">
        <v>23440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Mar 26</t>
        </is>
      </c>
      <c r="C46" s="16" t="inlineStr">
        <is>
          <t>Locked</t>
        </is>
      </c>
      <c r="D46" s="12" t="n">
        <v>83115</v>
      </c>
      <c r="E46" s="12" t="n">
        <v>29380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Apr 26</t>
        </is>
      </c>
      <c r="C47" s="16" t="inlineStr">
        <is>
          <t>Locked</t>
        </is>
      </c>
      <c r="D47" s="12" t="n">
        <v>51865</v>
      </c>
      <c r="E47" s="12" t="n">
        <v>17480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May 26</t>
        </is>
      </c>
      <c r="C48" s="16" t="inlineStr">
        <is>
          <t>Locked</t>
        </is>
      </c>
      <c r="D48" s="12" t="n">
        <v>48120</v>
      </c>
      <c r="E48" s="12" t="n">
        <v>16220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Jun 26</t>
        </is>
      </c>
      <c r="C49" s="16" t="inlineStr">
        <is>
          <t>Locked</t>
        </is>
      </c>
      <c r="D49" s="12" t="n">
        <v>84880</v>
      </c>
      <c r="E49" s="12" t="n">
        <v>31780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Jul 26</t>
        </is>
      </c>
      <c r="C50" s="16" t="inlineStr">
        <is>
          <t>Locked</t>
        </is>
      </c>
      <c r="D50" s="12" t="n">
        <v>88055</v>
      </c>
      <c r="E50" s="12" t="n">
        <v>32080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Aug 26</t>
        </is>
      </c>
      <c r="C51" s="16" t="inlineStr">
        <is>
          <t>Locked</t>
        </is>
      </c>
      <c r="D51" s="12" t="n">
        <v>83800</v>
      </c>
      <c r="E51" s="12" t="n">
        <v>31680</v>
      </c>
      <c r="F51" s="12">
        <f>D51-E51</f>
        <v/>
      </c>
      <c r="G51" s="13">
        <f>IF(D51=0,"",F51/D51)</f>
        <v/>
      </c>
    </row>
    <row r="52">
      <c r="A52" s="16" t="inlineStr">
        <is>
          <t>Projects</t>
        </is>
      </c>
      <c r="B52" s="16" t="inlineStr">
        <is>
          <t>Sep 26</t>
        </is>
      </c>
      <c r="C52" s="16" t="inlineStr">
        <is>
          <t>Locked</t>
        </is>
      </c>
      <c r="D52" s="12" t="n">
        <v>94830</v>
      </c>
      <c r="E52" s="12" t="n">
        <v>42800</v>
      </c>
      <c r="F52" s="12">
        <f>D52-E52</f>
        <v/>
      </c>
      <c r="G52" s="13">
        <f>IF(D52=0,"",F52/D52)</f>
        <v/>
      </c>
    </row>
    <row r="53">
      <c r="A53" s="16" t="inlineStr">
        <is>
          <t>Projects</t>
        </is>
      </c>
      <c r="B53" s="16" t="inlineStr">
        <is>
          <t>Oct 26</t>
        </is>
      </c>
      <c r="C53" s="16" t="inlineStr">
        <is>
          <t>Incomplete</t>
        </is>
      </c>
      <c r="D53" s="12" t="n">
        <v>13355</v>
      </c>
      <c r="E53" s="12" t="n">
        <v>4140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Nov 24</t>
        </is>
      </c>
      <c r="C54" s="16" t="inlineStr">
        <is>
          <t>Locked</t>
        </is>
      </c>
      <c r="D54" s="12" t="n">
        <v>16500</v>
      </c>
      <c r="E54" s="12" t="n">
        <v>4800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Dec 24</t>
        </is>
      </c>
      <c r="C55" s="16" t="inlineStr">
        <is>
          <t>Locked</t>
        </is>
      </c>
      <c r="D55" s="12" t="n">
        <v>16500</v>
      </c>
      <c r="E55" s="12" t="n">
        <v>5100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Jan 25</t>
        </is>
      </c>
      <c r="C56" s="16" t="inlineStr">
        <is>
          <t>Locked</t>
        </is>
      </c>
      <c r="D56" s="12" t="n">
        <v>16500</v>
      </c>
      <c r="E56" s="12" t="n">
        <v>4920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Feb 25</t>
        </is>
      </c>
      <c r="C57" s="16" t="inlineStr">
        <is>
          <t>Locked</t>
        </is>
      </c>
      <c r="D57" s="12" t="n">
        <v>16500</v>
      </c>
      <c r="E57" s="12" t="n">
        <v>5400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Mar 25</t>
        </is>
      </c>
      <c r="C58" s="16" t="inlineStr">
        <is>
          <t>Locked</t>
        </is>
      </c>
      <c r="D58" s="12" t="n">
        <v>24000</v>
      </c>
      <c r="E58" s="12" t="n">
        <v>7980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Apr 25</t>
        </is>
      </c>
      <c r="C59" s="16" t="inlineStr">
        <is>
          <t>Locked</t>
        </is>
      </c>
      <c r="D59" s="12" t="n">
        <v>24000</v>
      </c>
      <c r="E59" s="12" t="n">
        <v>7020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May 25</t>
        </is>
      </c>
      <c r="C60" s="16" t="inlineStr">
        <is>
          <t>Locked</t>
        </is>
      </c>
      <c r="D60" s="12" t="n">
        <v>24000</v>
      </c>
      <c r="E60" s="12" t="n">
        <v>8460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Jun 25</t>
        </is>
      </c>
      <c r="C61" s="16" t="inlineStr">
        <is>
          <t>Locked</t>
        </is>
      </c>
      <c r="D61" s="12" t="n">
        <v>24000</v>
      </c>
      <c r="E61" s="12" t="n">
        <v>7800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Jul 25</t>
        </is>
      </c>
      <c r="C62" s="16" t="inlineStr">
        <is>
          <t>Locked</t>
        </is>
      </c>
      <c r="D62" s="12" t="n">
        <v>17900</v>
      </c>
      <c r="E62" s="12" t="n">
        <v>5940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Aug 25</t>
        </is>
      </c>
      <c r="C63" s="16" t="inlineStr">
        <is>
          <t>Locked</t>
        </is>
      </c>
      <c r="D63" s="12" t="n">
        <v>17900</v>
      </c>
      <c r="E63" s="12" t="n">
        <v>5400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Sep 25</t>
        </is>
      </c>
      <c r="C64" s="16" t="inlineStr">
        <is>
          <t>Locked</t>
        </is>
      </c>
      <c r="D64" s="12" t="n">
        <v>17900</v>
      </c>
      <c r="E64" s="12" t="n">
        <v>5760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Oct 25</t>
        </is>
      </c>
      <c r="C65" s="16" t="inlineStr">
        <is>
          <t>Locked</t>
        </is>
      </c>
      <c r="D65" s="12" t="n">
        <v>17900</v>
      </c>
      <c r="E65" s="12" t="n">
        <v>5640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Nov 25</t>
        </is>
      </c>
      <c r="C66" s="16" t="inlineStr">
        <is>
          <t>Locked</t>
        </is>
      </c>
      <c r="D66" s="12" t="n">
        <v>31100</v>
      </c>
      <c r="E66" s="12" t="n">
        <v>9480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Dec 25</t>
        </is>
      </c>
      <c r="C67" s="16" t="inlineStr">
        <is>
          <t>Locked</t>
        </is>
      </c>
      <c r="D67" s="12" t="n">
        <v>31100</v>
      </c>
      <c r="E67" s="12" t="n">
        <v>9120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Jan 26</t>
        </is>
      </c>
      <c r="C68" s="16" t="inlineStr">
        <is>
          <t>Locked</t>
        </is>
      </c>
      <c r="D68" s="12" t="n">
        <v>31100</v>
      </c>
      <c r="E68" s="12" t="n">
        <v>9360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Feb 26</t>
        </is>
      </c>
      <c r="C69" s="16" t="inlineStr">
        <is>
          <t>Locked</t>
        </is>
      </c>
      <c r="D69" s="12" t="n">
        <v>31100</v>
      </c>
      <c r="E69" s="12" t="n">
        <v>10440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Mar 26</t>
        </is>
      </c>
      <c r="C70" s="16" t="inlineStr">
        <is>
          <t>Locked</t>
        </is>
      </c>
      <c r="D70" s="12" t="n">
        <v>31100</v>
      </c>
      <c r="E70" s="12" t="n">
        <v>9240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Apr 26</t>
        </is>
      </c>
      <c r="C71" s="16" t="inlineStr">
        <is>
          <t>Locked</t>
        </is>
      </c>
      <c r="D71" s="12" t="n">
        <v>31100</v>
      </c>
      <c r="E71" s="12" t="n">
        <v>9420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May 26</t>
        </is>
      </c>
      <c r="C72" s="16" t="inlineStr">
        <is>
          <t>Locked</t>
        </is>
      </c>
      <c r="D72" s="12" t="n">
        <v>31100</v>
      </c>
      <c r="E72" s="12" t="n">
        <v>10500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Jun 26</t>
        </is>
      </c>
      <c r="C73" s="16" t="inlineStr">
        <is>
          <t>Locked</t>
        </is>
      </c>
      <c r="D73" s="12" t="n">
        <v>35700</v>
      </c>
      <c r="E73" s="12" t="n">
        <v>12180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Jul 26</t>
        </is>
      </c>
      <c r="C74" s="16" t="inlineStr">
        <is>
          <t>Locked</t>
        </is>
      </c>
      <c r="D74" s="12" t="n">
        <v>35700</v>
      </c>
      <c r="E74" s="12" t="n">
        <v>12900</v>
      </c>
      <c r="F74" s="12">
        <f>D74-E74</f>
        <v/>
      </c>
      <c r="G74" s="13">
        <f>IF(D74=0,"",F74/D74)</f>
        <v/>
      </c>
    </row>
    <row r="75">
      <c r="A75" s="16" t="inlineStr">
        <is>
          <t>Retainers</t>
        </is>
      </c>
      <c r="B75" s="16" t="inlineStr">
        <is>
          <t>Aug 26</t>
        </is>
      </c>
      <c r="C75" s="16" t="inlineStr">
        <is>
          <t>Locked</t>
        </is>
      </c>
      <c r="D75" s="12" t="n">
        <v>35700</v>
      </c>
      <c r="E75" s="12" t="n">
        <v>12840</v>
      </c>
      <c r="F75" s="12">
        <f>D75-E75</f>
        <v/>
      </c>
      <c r="G75" s="13">
        <f>IF(D75=0,"",F75/D75)</f>
        <v/>
      </c>
    </row>
    <row r="76">
      <c r="A76" s="16" t="inlineStr">
        <is>
          <t>Retainers</t>
        </is>
      </c>
      <c r="B76" s="16" t="inlineStr">
        <is>
          <t>Sep 26</t>
        </is>
      </c>
      <c r="C76" s="16" t="inlineStr">
        <is>
          <t>Locked</t>
        </is>
      </c>
      <c r="D76" s="12" t="n">
        <v>35700</v>
      </c>
      <c r="E76" s="12" t="n">
        <v>13440</v>
      </c>
      <c r="F76" s="12">
        <f>D76-E76</f>
        <v/>
      </c>
      <c r="G76" s="13">
        <f>IF(D76=0,"",F76/D76)</f>
        <v/>
      </c>
    </row>
    <row r="77">
      <c r="A77" s="16" t="inlineStr">
        <is>
          <t>Retainers</t>
        </is>
      </c>
      <c r="B77" s="16" t="inlineStr">
        <is>
          <t>Oct 26</t>
        </is>
      </c>
      <c r="C77" s="16" t="inlineStr">
        <is>
          <t>Incomplete</t>
        </is>
      </c>
      <c r="D77" s="12" t="n">
        <v>35700</v>
      </c>
      <c r="E77" s="12" t="n">
        <v>1800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Nov 24</t>
        </is>
      </c>
      <c r="C78" s="16" t="inlineStr">
        <is>
          <t>Locked</t>
        </is>
      </c>
      <c r="D78" s="12" t="n">
        <v>5100</v>
      </c>
      <c r="E78" s="12" t="n">
        <v>840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Dec 24</t>
        </is>
      </c>
      <c r="C79" s="16" t="inlineStr">
        <is>
          <t>Locked</t>
        </is>
      </c>
      <c r="D79" s="12" t="n">
        <v>5700</v>
      </c>
      <c r="E79" s="12" t="n">
        <v>960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Jan 25</t>
        </is>
      </c>
      <c r="C80" s="16" t="inlineStr">
        <is>
          <t>Locked</t>
        </is>
      </c>
      <c r="D80" s="12" t="n">
        <v>7000</v>
      </c>
      <c r="E80" s="12" t="n">
        <v>2100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Feb 25</t>
        </is>
      </c>
      <c r="C81" s="16" t="inlineStr">
        <is>
          <t>Locked</t>
        </is>
      </c>
      <c r="D81" s="12" t="n">
        <v>12700</v>
      </c>
      <c r="E81" s="12" t="n">
        <v>3060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Mar 25</t>
        </is>
      </c>
      <c r="C82" s="16" t="inlineStr">
        <is>
          <t>Locked</t>
        </is>
      </c>
      <c r="D82" s="12" t="n">
        <v>7000</v>
      </c>
      <c r="E82" s="12" t="n">
        <v>2100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Apr 25</t>
        </is>
      </c>
      <c r="C83" s="16" t="inlineStr">
        <is>
          <t>Locked</t>
        </is>
      </c>
      <c r="D83" s="12" t="n">
        <v>5100</v>
      </c>
      <c r="E83" s="12" t="n">
        <v>840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May 25</t>
        </is>
      </c>
      <c r="C84" s="16" t="inlineStr">
        <is>
          <t>Locked</t>
        </is>
      </c>
      <c r="D84" s="12" t="n">
        <v>15400</v>
      </c>
      <c r="E84" s="12" t="n">
        <v>3660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Jun 25</t>
        </is>
      </c>
      <c r="C85" s="16" t="inlineStr">
        <is>
          <t>Locked</t>
        </is>
      </c>
      <c r="D85" s="12" t="n">
        <v>4300</v>
      </c>
      <c r="E85" s="12" t="n">
        <v>720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Jul 25</t>
        </is>
      </c>
      <c r="C86" s="16" t="inlineStr">
        <is>
          <t>Locked</t>
        </is>
      </c>
      <c r="D86" s="12" t="n">
        <v>5700</v>
      </c>
      <c r="E86" s="12" t="n">
        <v>960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Aug 25</t>
        </is>
      </c>
      <c r="C87" s="16" t="inlineStr">
        <is>
          <t>Locked</t>
        </is>
      </c>
      <c r="D87" s="12" t="n">
        <v>7000</v>
      </c>
      <c r="E87" s="12" t="n">
        <v>2100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Sep 25</t>
        </is>
      </c>
      <c r="C88" s="16" t="inlineStr">
        <is>
          <t>Locked</t>
        </is>
      </c>
      <c r="D88" s="12" t="n">
        <v>5700</v>
      </c>
      <c r="E88" s="12" t="n">
        <v>960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Oct 25</t>
        </is>
      </c>
      <c r="C89" s="16" t="inlineStr">
        <is>
          <t>Locked</t>
        </is>
      </c>
      <c r="D89" s="12" t="n">
        <v>10000</v>
      </c>
      <c r="E89" s="12" t="n">
        <v>1680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Nov 25</t>
        </is>
      </c>
      <c r="C90" s="16" t="inlineStr">
        <is>
          <t>Locked</t>
        </is>
      </c>
      <c r="D90" s="12" t="n">
        <v>9700</v>
      </c>
      <c r="E90" s="12" t="n">
        <v>2700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Dec 25</t>
        </is>
      </c>
      <c r="C91" s="16" t="inlineStr">
        <is>
          <t>Locked</t>
        </is>
      </c>
      <c r="D91" s="12" t="n">
        <v>12700</v>
      </c>
      <c r="E91" s="12" t="n">
        <v>3060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Jan 26</t>
        </is>
      </c>
      <c r="C92" s="16" t="inlineStr">
        <is>
          <t>Locked</t>
        </is>
      </c>
      <c r="D92" s="12" t="n">
        <v>4300</v>
      </c>
      <c r="E92" s="12" t="n">
        <v>720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Feb 26</t>
        </is>
      </c>
      <c r="C93" s="16" t="inlineStr">
        <is>
          <t>Locked</t>
        </is>
      </c>
      <c r="D93" s="12" t="n">
        <v>9700</v>
      </c>
      <c r="E93" s="12" t="n">
        <v>2700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Mar 26</t>
        </is>
      </c>
      <c r="C94" s="16" t="inlineStr">
        <is>
          <t>Locked</t>
        </is>
      </c>
      <c r="D94" s="12" t="n">
        <v>7000</v>
      </c>
      <c r="E94" s="12" t="n">
        <v>2100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Apr 26</t>
        </is>
      </c>
      <c r="C95" s="16" t="inlineStr">
        <is>
          <t>Locked</t>
        </is>
      </c>
      <c r="D95" s="12" t="n">
        <v>5700</v>
      </c>
      <c r="E95" s="12" t="n">
        <v>960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May 26</t>
        </is>
      </c>
      <c r="C96" s="16" t="inlineStr">
        <is>
          <t>Locked</t>
        </is>
      </c>
      <c r="D96" s="12" t="n">
        <v>5700</v>
      </c>
      <c r="E96" s="12" t="n">
        <v>960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Jun 26</t>
        </is>
      </c>
      <c r="C97" s="16" t="inlineStr">
        <is>
          <t>Locked</t>
        </is>
      </c>
      <c r="D97" s="12" t="n">
        <v>7000</v>
      </c>
      <c r="E97" s="12" t="n">
        <v>2100</v>
      </c>
      <c r="F97" s="12">
        <f>D97-E97</f>
        <v/>
      </c>
      <c r="G97" s="13">
        <f>IF(D97=0,"",F97/D97)</f>
        <v/>
      </c>
    </row>
    <row r="98">
      <c r="A98" s="16" t="inlineStr">
        <is>
          <t>Training</t>
        </is>
      </c>
      <c r="B98" s="16" t="inlineStr">
        <is>
          <t>Jul 26</t>
        </is>
      </c>
      <c r="C98" s="16" t="inlineStr">
        <is>
          <t>Locked</t>
        </is>
      </c>
      <c r="D98" s="12" t="n">
        <v>9700</v>
      </c>
      <c r="E98" s="12" t="n">
        <v>2700</v>
      </c>
      <c r="F98" s="12">
        <f>D98-E98</f>
        <v/>
      </c>
      <c r="G98" s="13">
        <f>IF(D98=0,"",F98/D98)</f>
        <v/>
      </c>
    </row>
    <row r="99">
      <c r="A99" s="16" t="inlineStr">
        <is>
          <t>Training</t>
        </is>
      </c>
      <c r="B99" s="16" t="inlineStr">
        <is>
          <t>Aug 26</t>
        </is>
      </c>
      <c r="C99" s="16" t="inlineStr">
        <is>
          <t>Locked</t>
        </is>
      </c>
      <c r="D99" s="12" t="n">
        <v>7000</v>
      </c>
      <c r="E99" s="12" t="n">
        <v>2100</v>
      </c>
      <c r="F99" s="12">
        <f>D99-E99</f>
        <v/>
      </c>
      <c r="G99" s="13">
        <f>IF(D99=0,"",F99/D99)</f>
        <v/>
      </c>
    </row>
    <row r="100">
      <c r="A100" s="16" t="inlineStr">
        <is>
          <t>Training</t>
        </is>
      </c>
      <c r="B100" s="16" t="inlineStr">
        <is>
          <t>Sep 26</t>
        </is>
      </c>
      <c r="C100" s="16" t="inlineStr">
        <is>
          <t>Locked</t>
        </is>
      </c>
      <c r="D100" s="12" t="n">
        <v>14800</v>
      </c>
      <c r="E100" s="12" t="n">
        <v>7200</v>
      </c>
      <c r="F100" s="12">
        <f>D100-E100</f>
        <v/>
      </c>
      <c r="G100" s="13">
        <f>IF(D100=0,"",F100/D100)</f>
        <v/>
      </c>
    </row>
    <row r="101">
      <c r="A101" s="16" t="inlineStr">
        <is>
          <t>Training</t>
        </is>
      </c>
      <c r="B101" s="16" t="inlineStr">
        <is>
          <t>Oct 26</t>
        </is>
      </c>
      <c r="C101" s="16" t="inlineStr">
        <is>
          <t>Incomplete</t>
        </is>
      </c>
      <c r="D101" s="12" t="n">
        <v>0</v>
      </c>
      <c r="E101" s="12" t="n">
        <v>0</v>
      </c>
      <c r="F101" s="12">
        <f>D101-E101</f>
        <v/>
      </c>
      <c r="G101" s="13">
        <f>IF(D101=0,"",F101/D101)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53" min="0" max="16383" man="1"/>
    <brk id="7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280040</v>
      </c>
      <c r="C6" s="12" t="n">
        <v>206750</v>
      </c>
      <c r="D6" s="13">
        <f>IF(C6=0,"",B6/C6-1)</f>
        <v/>
      </c>
      <c r="E6" s="12" t="n">
        <v>169340</v>
      </c>
      <c r="F6" s="13">
        <f>IF(B6=0,"",E6/B6)</f>
        <v/>
      </c>
    </row>
    <row r="7">
      <c r="A7" s="16" t="inlineStr">
        <is>
          <t>Retainers</t>
        </is>
      </c>
      <c r="B7" s="12" t="n">
        <v>142800</v>
      </c>
      <c r="C7" s="12" t="n">
        <v>71600</v>
      </c>
      <c r="D7" s="13">
        <f>IF(C7=0,"",B7/C7-1)</f>
        <v/>
      </c>
      <c r="E7" s="12" t="n">
        <v>101820</v>
      </c>
      <c r="F7" s="13">
        <f>IF(B7=0,"",E7/B7)</f>
        <v/>
      </c>
    </row>
    <row r="8">
      <c r="A8" s="16" t="inlineStr">
        <is>
          <t>Training</t>
        </is>
      </c>
      <c r="B8" s="12" t="n">
        <v>31500</v>
      </c>
      <c r="C8" s="12" t="n">
        <v>28400</v>
      </c>
      <c r="D8" s="13">
        <f>IF(C8=0,"",B8/C8-1)</f>
        <v/>
      </c>
      <c r="E8" s="12" t="n">
        <v>19500</v>
      </c>
      <c r="F8" s="13">
        <f>IF(B8=0,"",E8/B8)</f>
        <v/>
      </c>
    </row>
    <row r="9">
      <c r="A9" s="16" t="inlineStr">
        <is>
          <t>Total</t>
        </is>
      </c>
      <c r="B9" s="12" t="n">
        <v>454340</v>
      </c>
      <c r="C9" s="12" t="n">
        <v>306750</v>
      </c>
      <c r="D9" s="13">
        <f>IF(C9=0,"",B9/C9-1)</f>
        <v/>
      </c>
      <c r="E9" s="12" t="n">
        <v>290660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2026-10-22T06:58:21Z</dcterms:created>
  <dcterms:modified xmlns:dcterms="http://purl.org/dc/terms/" xmlns:xsi="http://www.w3.org/2001/XMLSchema-instance" xsi:type="dcterms:W3CDTF">2026-10-22T06:58:21Z</dcterms:modified>
</cp:coreProperties>
</file>