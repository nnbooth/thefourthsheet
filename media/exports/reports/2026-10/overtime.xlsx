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October_so_far">'Report'!$B$9</definedName>
    <definedName name="Overtime_hours_October_so_far">'Report'!$B$10</definedName>
    <definedName name="October_last_year">'Report'!$B$11</definedName>
    <definedName name="_xlnm.Print_Area" localSheetId="0">'Report'!$A$1:$D$47</definedName>
    <definedName name="_xlnm.Print_Area" localSheetId="1">'Workings'!$A$1:$C$71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'Report'!$A$29:$A$31</f>
            </numRef>
          </cat>
          <val>
            <numRef>
              <f>'Report'!$B$29:$B$31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19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9" headerRowCount="1">
  <autoFilter ref="A5:E29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Overtime was 8.1% of ordinary hours in October so far (target under 5.0%), up from 3.9%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October so far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October so far</t>
        </is>
      </c>
      <c r="B10" s="9">
        <f>Workings!B17</f>
        <v/>
      </c>
      <c r="C10" s="8" t="inlineStr">
        <is>
          <t>September 64.5 h</t>
        </is>
      </c>
    </row>
    <row r="11">
      <c r="A11" t="inlineStr">
        <is>
          <t>October last year</t>
        </is>
      </c>
      <c r="B11" s="7">
        <f>Workings!B28</f>
        <v/>
      </c>
      <c r="C11" s="8" t="inlineStr">
        <is>
          <t>38.0 h of overtime</t>
        </is>
      </c>
    </row>
    <row r="12"/>
    <row r="13">
      <c r="A13" s="10" t="inlineStr">
        <is>
          <t>Why the overtime, October 2026 to date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Installation ran over</t>
        </is>
      </c>
      <c r="B15" s="9">
        <f>Workings!B35</f>
        <v/>
      </c>
    </row>
    <row r="16">
      <c r="A16" t="inlineStr">
        <is>
          <t>After-hours call-out</t>
        </is>
      </c>
      <c r="B16" s="9">
        <f>Workings!B43</f>
        <v/>
      </c>
    </row>
    <row r="17">
      <c r="A17" t="inlineStr">
        <is>
          <t>Short-staffed</t>
        </is>
      </c>
      <c r="B17" s="9">
        <f>Workings!B51</f>
        <v/>
      </c>
    </row>
    <row r="18"/>
    <row r="19"/>
    <row r="20"/>
    <row r="21"/>
    <row r="22"/>
    <row r="23"/>
    <row r="24"/>
    <row r="25"/>
    <row r="26"/>
    <row r="27">
      <c r="A27" s="10" t="inlineStr">
        <is>
          <t>Overtime by technician, October 2026 to date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T5</t>
        </is>
      </c>
      <c r="B29" s="9">
        <f>Workings!B59</f>
        <v/>
      </c>
    </row>
    <row r="30">
      <c r="A30" t="inlineStr">
        <is>
          <t>Technician T4</t>
        </is>
      </c>
      <c r="B30" s="9">
        <f>Workings!B65</f>
        <v/>
      </c>
    </row>
    <row r="31">
      <c r="A31" t="inlineStr">
        <is>
          <t>Technician T6</t>
        </is>
      </c>
      <c r="B31" s="9">
        <f>Workings!B71</f>
        <v/>
      </c>
    </row>
    <row r="32"/>
    <row r="33"/>
    <row r="34"/>
    <row r="35"/>
    <row r="36"/>
    <row r="37"/>
    <row r="38"/>
    <row r="39"/>
    <row r="40"/>
    <row r="41">
      <c r="A41" s="11" t="inlineStr">
        <is>
          <t>Overtime by month: every month is on the Data sheet.</t>
        </is>
      </c>
    </row>
    <row r="42"/>
    <row r="43">
      <c r="A43" s="12" t="inlineStr">
        <is>
          <t>What it shows</t>
        </is>
      </c>
    </row>
    <row r="44" ht="30" customHeight="1">
      <c r="A44" s="4" t="inlineStr">
        <is>
          <t>Technicians worked 8.0 h of overtime in October so far, 8.1% of ordinary hours (target under 5.0%), against 5.8% in September. Over the last year it has gone from 3.9% to 8.1%.</t>
        </is>
      </c>
    </row>
    <row r="45"/>
    <row r="46">
      <c r="A46" s="12" t="inlineStr">
        <is>
          <t>What you'd do about it</t>
        </is>
      </c>
    </row>
    <row r="47" ht="30" customHeight="1">
      <c r="A47" s="4" t="inlineStr">
        <is>
          <t>Installation ran over is the main reason: 4.0 h, 50.0% of the overtime. Technician T5 carried the most (3.5 h). Above target by 3.1 h.</t>
        </is>
      </c>
    </row>
    <row r="48"/>
    <row r="49"/>
  </sheetData>
  <mergeCells count="4">
    <mergeCell ref="A5:D5"/>
    <mergeCell ref="A44:D44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13" t="inlineStr">
        <is>
          <t>Overtime, October and September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Overtime hours</t>
        </is>
      </c>
      <c r="B8" s="14" t="n">
        <v>8</v>
      </c>
      <c r="C8" s="14" t="n">
        <v>64.5</v>
      </c>
    </row>
    <row r="9">
      <c r="A9" t="inlineStr">
        <is>
          <t>Ordinary hours</t>
        </is>
      </c>
      <c r="B9" s="14" t="n">
        <v>98.79999999999998</v>
      </c>
      <c r="C9" s="14" t="n">
        <v>1109.600000000001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3" t="inlineStr">
        <is>
          <t>Overtime, October and September</t>
        </is>
      </c>
    </row>
    <row r="15">
      <c r="A15" s="11" t="inlineStr">
        <is>
          <t>Overtime hours ÷ ordinary hours</t>
        </is>
      </c>
    </row>
    <row r="16">
      <c r="A16" s="5" t="inlineStr"/>
      <c r="B16" s="6" t="inlineStr">
        <is>
          <t>Oct 26</t>
        </is>
      </c>
      <c r="C16" s="6" t="inlineStr">
        <is>
          <t>Sep 26</t>
        </is>
      </c>
    </row>
    <row r="17">
      <c r="A17" t="inlineStr">
        <is>
          <t>Overtime hours</t>
        </is>
      </c>
      <c r="B17" s="14" t="n">
        <v>8</v>
      </c>
      <c r="C17" s="14" t="n">
        <v>64.5</v>
      </c>
    </row>
    <row r="18">
      <c r="A18" t="inlineStr">
        <is>
          <t>Ordinary hours</t>
        </is>
      </c>
      <c r="B18" s="14" t="n">
        <v>98.79999999999998</v>
      </c>
      <c r="C18" s="14" t="n">
        <v>1109.600000000001</v>
      </c>
    </row>
    <row r="19">
      <c r="A19" s="15" t="inlineStr">
        <is>
          <t>Share</t>
        </is>
      </c>
      <c r="B19" s="16">
        <f>B17/B18</f>
        <v/>
      </c>
      <c r="C19" s="16">
        <f>C17/C18</f>
        <v/>
      </c>
    </row>
    <row r="20">
      <c r="A20" s="2" t="inlineStr">
        <is>
          <t>October is still in progress (data to 6 October), so it is a part month against full months.</t>
        </is>
      </c>
    </row>
    <row r="21"/>
    <row r="22"/>
    <row r="23">
      <c r="A23" s="13" t="inlineStr">
        <is>
          <t>Overtime, Oct 25</t>
        </is>
      </c>
    </row>
    <row r="24">
      <c r="A24" s="11" t="inlineStr">
        <is>
          <t>Overtime hours ÷ ordinary hours</t>
        </is>
      </c>
    </row>
    <row r="25">
      <c r="A25" s="5" t="inlineStr"/>
      <c r="B25" s="6" t="inlineStr">
        <is>
          <t>Oct 25</t>
        </is>
      </c>
    </row>
    <row r="26">
      <c r="A26" t="inlineStr">
        <is>
          <t>Overtime hours</t>
        </is>
      </c>
      <c r="B26" s="14" t="n">
        <v>38</v>
      </c>
    </row>
    <row r="27">
      <c r="A27" t="inlineStr">
        <is>
          <t>Ordinary hours</t>
        </is>
      </c>
      <c r="B27" s="14" t="n">
        <v>980.400000000002</v>
      </c>
    </row>
    <row r="28">
      <c r="A28" s="15" t="inlineStr">
        <is>
          <t>Overtime as a share of ordinary hours</t>
        </is>
      </c>
      <c r="B28" s="16">
        <f>B26/B27</f>
        <v/>
      </c>
    </row>
    <row r="29">
      <c r="A29" s="2" t="inlineStr">
        <is>
          <t>From each technician's shifts (fact_shift_daily).</t>
        </is>
      </c>
    </row>
    <row r="30"/>
    <row r="31"/>
    <row r="32">
      <c r="A32" s="13" t="inlineStr">
        <is>
          <t>Installation ran over: overtime, October 2026 to date</t>
        </is>
      </c>
    </row>
    <row r="33">
      <c r="A33" s="11" t="inlineStr">
        <is>
          <t>Overtime hours with this as the main reason</t>
        </is>
      </c>
    </row>
    <row r="34">
      <c r="A34" s="5" t="inlineStr"/>
      <c r="B34" s="6" t="inlineStr">
        <is>
          <t>Oct 2026</t>
        </is>
      </c>
    </row>
    <row r="35">
      <c r="A35" t="inlineStr">
        <is>
          <t>Overtime hours</t>
        </is>
      </c>
      <c r="B35" s="14" t="n">
        <v>4</v>
      </c>
    </row>
    <row r="36">
      <c r="A36" t="inlineStr">
        <is>
          <t>All overtime hours</t>
        </is>
      </c>
      <c r="B36" s="14" t="n">
        <v>8</v>
      </c>
    </row>
    <row r="37">
      <c r="A37" s="15" t="inlineStr">
        <is>
          <t>Share</t>
        </is>
      </c>
      <c r="B37" s="16">
        <f>B35/B36</f>
        <v/>
      </c>
    </row>
    <row r="38"/>
    <row r="39"/>
    <row r="40">
      <c r="A40" s="13" t="inlineStr">
        <is>
          <t>After-hours call-out: overtime, October 2026 to date</t>
        </is>
      </c>
    </row>
    <row r="41">
      <c r="A41" s="11" t="inlineStr">
        <is>
          <t>Overtime hours with this as the main reason</t>
        </is>
      </c>
    </row>
    <row r="42">
      <c r="A42" s="5" t="inlineStr"/>
      <c r="B42" s="6" t="inlineStr">
        <is>
          <t>Oct 2026</t>
        </is>
      </c>
    </row>
    <row r="43">
      <c r="A43" t="inlineStr">
        <is>
          <t>Overtime hours</t>
        </is>
      </c>
      <c r="B43" s="14" t="n">
        <v>2</v>
      </c>
    </row>
    <row r="44">
      <c r="A44" t="inlineStr">
        <is>
          <t>All overtime hours</t>
        </is>
      </c>
      <c r="B44" s="14" t="n">
        <v>8</v>
      </c>
    </row>
    <row r="45">
      <c r="A45" s="15" t="inlineStr">
        <is>
          <t>Share</t>
        </is>
      </c>
      <c r="B45" s="16">
        <f>B43/B44</f>
        <v/>
      </c>
    </row>
    <row r="46"/>
    <row r="47"/>
    <row r="48">
      <c r="A48" s="13" t="inlineStr">
        <is>
          <t>Short-staffed: overtime, October 2026 to date</t>
        </is>
      </c>
    </row>
    <row r="49">
      <c r="A49" s="11" t="inlineStr">
        <is>
          <t>Overtime hours with this as the main reason</t>
        </is>
      </c>
    </row>
    <row r="50">
      <c r="A50" s="5" t="inlineStr"/>
      <c r="B50" s="6" t="inlineStr">
        <is>
          <t>Oct 2026</t>
        </is>
      </c>
    </row>
    <row r="51">
      <c r="A51" t="inlineStr">
        <is>
          <t>Overtime hours</t>
        </is>
      </c>
      <c r="B51" s="14" t="n">
        <v>2</v>
      </c>
    </row>
    <row r="52">
      <c r="A52" t="inlineStr">
        <is>
          <t>All overtime hours</t>
        </is>
      </c>
      <c r="B52" s="14" t="n">
        <v>8</v>
      </c>
    </row>
    <row r="53">
      <c r="A53" s="15" t="inlineStr">
        <is>
          <t>Share</t>
        </is>
      </c>
      <c r="B53" s="16">
        <f>B51/B52</f>
        <v/>
      </c>
    </row>
    <row r="54"/>
    <row r="55"/>
    <row r="56">
      <c r="A56" s="13" t="inlineStr">
        <is>
          <t>Technician T5: overtime, October 2026 to date</t>
        </is>
      </c>
    </row>
    <row r="57">
      <c r="A57" s="11" t="inlineStr">
        <is>
          <t>Overtime hours on this technician's shifts</t>
        </is>
      </c>
    </row>
    <row r="58">
      <c r="A58" s="5" t="inlineStr"/>
      <c r="B58" s="6" t="inlineStr">
        <is>
          <t>Oct 2026</t>
        </is>
      </c>
    </row>
    <row r="59">
      <c r="A59" s="15" t="inlineStr">
        <is>
          <t>Overtime hours</t>
        </is>
      </c>
      <c r="B59" s="17" t="n">
        <v>3.5</v>
      </c>
    </row>
    <row r="60"/>
    <row r="61"/>
    <row r="62">
      <c r="A62" s="13" t="inlineStr">
        <is>
          <t>Technician T4: overtime, October 2026 to date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Oct 2026</t>
        </is>
      </c>
    </row>
    <row r="65">
      <c r="A65" s="15" t="inlineStr">
        <is>
          <t>Overtime hours</t>
        </is>
      </c>
      <c r="B65" s="17" t="n">
        <v>2.5</v>
      </c>
    </row>
    <row r="66"/>
    <row r="67"/>
    <row r="68">
      <c r="A68" s="13" t="inlineStr">
        <is>
          <t>Technician T6: overtime, October 2026 to date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Oct 2026</t>
        </is>
      </c>
    </row>
    <row r="71">
      <c r="A71" s="15" t="inlineStr">
        <is>
          <t>Overtime hours</t>
        </is>
      </c>
      <c r="B71" s="17" t="n">
        <v>2</v>
      </c>
    </row>
    <row r="72"/>
    <row r="73"/>
    <row r="7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1" min="0" max="16383" man="1"/>
    <brk id="6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Nov 24</t>
        </is>
      </c>
      <c r="B6" s="18" t="inlineStr">
        <is>
          <t>Locked</t>
        </is>
      </c>
      <c r="C6" s="14" t="n">
        <v>866.4000000000017</v>
      </c>
      <c r="D6" s="14" t="n">
        <v>23.5</v>
      </c>
      <c r="E6" s="19">
        <f>IF(C6=0,"",D6/C6)</f>
        <v/>
      </c>
    </row>
    <row r="7">
      <c r="A7" s="18" t="inlineStr">
        <is>
          <t>Dec 24</t>
        </is>
      </c>
      <c r="B7" s="18" t="inlineStr">
        <is>
          <t>Locked</t>
        </is>
      </c>
      <c r="C7" s="14" t="n">
        <v>896.8000000000018</v>
      </c>
      <c r="D7" s="14" t="n">
        <v>19.5</v>
      </c>
      <c r="E7" s="19">
        <f>IF(C7=0,"",D7/C7)</f>
        <v/>
      </c>
    </row>
    <row r="8">
      <c r="A8" s="18" t="inlineStr">
        <is>
          <t>Jan 25</t>
        </is>
      </c>
      <c r="B8" s="18" t="inlineStr">
        <is>
          <t>Locked</t>
        </is>
      </c>
      <c r="C8" s="14" t="n">
        <v>904.4000000000018</v>
      </c>
      <c r="D8" s="14" t="n">
        <v>27.5</v>
      </c>
      <c r="E8" s="19">
        <f>IF(C8=0,"",D8/C8)</f>
        <v/>
      </c>
    </row>
    <row r="9">
      <c r="A9" s="18" t="inlineStr">
        <is>
          <t>Feb 25</t>
        </is>
      </c>
      <c r="B9" s="18" t="inlineStr">
        <is>
          <t>Locked</t>
        </is>
      </c>
      <c r="C9" s="14" t="n">
        <v>896.8000000000018</v>
      </c>
      <c r="D9" s="14" t="n">
        <v>41.5</v>
      </c>
      <c r="E9" s="19">
        <f>IF(C9=0,"",D9/C9)</f>
        <v/>
      </c>
    </row>
    <row r="10">
      <c r="A10" s="18" t="inlineStr">
        <is>
          <t>Mar 25</t>
        </is>
      </c>
      <c r="B10" s="18" t="inlineStr">
        <is>
          <t>Locked</t>
        </is>
      </c>
      <c r="C10" s="14" t="n">
        <v>912.0000000000018</v>
      </c>
      <c r="D10" s="14" t="n">
        <v>40.5</v>
      </c>
      <c r="E10" s="19">
        <f>IF(C10=0,"",D10/C10)</f>
        <v/>
      </c>
    </row>
    <row r="11">
      <c r="A11" s="18" t="inlineStr">
        <is>
          <t>Apr 25</t>
        </is>
      </c>
      <c r="B11" s="18" t="inlineStr">
        <is>
          <t>Locked</t>
        </is>
      </c>
      <c r="C11" s="14" t="n">
        <v>836.0000000000016</v>
      </c>
      <c r="D11" s="14" t="n">
        <v>30.5</v>
      </c>
      <c r="E11" s="19">
        <f>IF(C11=0,"",D11/C11)</f>
        <v/>
      </c>
    </row>
    <row r="12">
      <c r="A12" s="18" t="inlineStr">
        <is>
          <t>May 25</t>
        </is>
      </c>
      <c r="B12" s="18" t="inlineStr">
        <is>
          <t>Locked</t>
        </is>
      </c>
      <c r="C12" s="14" t="n">
        <v>896.8000000000018</v>
      </c>
      <c r="D12" s="14" t="n">
        <v>33</v>
      </c>
      <c r="E12" s="19">
        <f>IF(C12=0,"",D12/C12)</f>
        <v/>
      </c>
    </row>
    <row r="13">
      <c r="A13" s="18" t="inlineStr">
        <is>
          <t>Jun 25</t>
        </is>
      </c>
      <c r="B13" s="18" t="inlineStr">
        <is>
          <t>Locked</t>
        </is>
      </c>
      <c r="C13" s="14" t="n">
        <v>942.4000000000019</v>
      </c>
      <c r="D13" s="14" t="n">
        <v>26.5</v>
      </c>
      <c r="E13" s="19">
        <f>IF(C13=0,"",D13/C13)</f>
        <v/>
      </c>
    </row>
    <row r="14">
      <c r="A14" s="18" t="inlineStr">
        <is>
          <t>Jul 25</t>
        </is>
      </c>
      <c r="B14" s="18" t="inlineStr">
        <is>
          <t>Locked</t>
        </is>
      </c>
      <c r="C14" s="14" t="n">
        <v>1033.600000000002</v>
      </c>
      <c r="D14" s="14" t="n">
        <v>34.5</v>
      </c>
      <c r="E14" s="19">
        <f>IF(C14=0,"",D14/C14)</f>
        <v/>
      </c>
    </row>
    <row r="15">
      <c r="A15" s="18" t="inlineStr">
        <is>
          <t>Aug 25</t>
        </is>
      </c>
      <c r="B15" s="18" t="inlineStr">
        <is>
          <t>Locked</t>
        </is>
      </c>
      <c r="C15" s="14" t="n">
        <v>874.0000000000017</v>
      </c>
      <c r="D15" s="14" t="n">
        <v>28.5</v>
      </c>
      <c r="E15" s="19">
        <f>IF(C15=0,"",D15/C15)</f>
        <v/>
      </c>
    </row>
    <row r="16">
      <c r="A16" s="18" t="inlineStr">
        <is>
          <t>Sep 25</t>
        </is>
      </c>
      <c r="B16" s="18" t="inlineStr">
        <is>
          <t>Locked</t>
        </is>
      </c>
      <c r="C16" s="14" t="n">
        <v>957.600000000002</v>
      </c>
      <c r="D16" s="14" t="n">
        <v>35.5</v>
      </c>
      <c r="E16" s="19">
        <f>IF(C16=0,"",D16/C16)</f>
        <v/>
      </c>
    </row>
    <row r="17">
      <c r="A17" s="18" t="inlineStr">
        <is>
          <t>Oct 25</t>
        </is>
      </c>
      <c r="B17" s="18" t="inlineStr">
        <is>
          <t>Locked</t>
        </is>
      </c>
      <c r="C17" s="14" t="n">
        <v>980.400000000002</v>
      </c>
      <c r="D17" s="14" t="n">
        <v>38</v>
      </c>
      <c r="E17" s="19">
        <f>IF(C17=0,"",D17/C17)</f>
        <v/>
      </c>
    </row>
    <row r="18">
      <c r="A18" s="18" t="inlineStr">
        <is>
          <t>Nov 25</t>
        </is>
      </c>
      <c r="B18" s="18" t="inlineStr">
        <is>
          <t>Locked</t>
        </is>
      </c>
      <c r="C18" s="14" t="n">
        <v>851.2000000000016</v>
      </c>
      <c r="D18" s="14" t="n">
        <v>32</v>
      </c>
      <c r="E18" s="19">
        <f>IF(C18=0,"",D18/C18)</f>
        <v/>
      </c>
    </row>
    <row r="19">
      <c r="A19" s="18" t="inlineStr">
        <is>
          <t>Dec 25</t>
        </is>
      </c>
      <c r="B19" s="18" t="inlineStr">
        <is>
          <t>Locked</t>
        </is>
      </c>
      <c r="C19" s="14" t="n">
        <v>919.6000000000018</v>
      </c>
      <c r="D19" s="14" t="n">
        <v>70.5</v>
      </c>
      <c r="E19" s="19">
        <f>IF(C19=0,"",D19/C19)</f>
        <v/>
      </c>
    </row>
    <row r="20">
      <c r="A20" s="18" t="inlineStr">
        <is>
          <t>Jan 26</t>
        </is>
      </c>
      <c r="B20" s="18" t="inlineStr">
        <is>
          <t>Locked</t>
        </is>
      </c>
      <c r="C20" s="14" t="n">
        <v>1003.200000000002</v>
      </c>
      <c r="D20" s="14" t="n">
        <v>31</v>
      </c>
      <c r="E20" s="19">
        <f>IF(C20=0,"",D20/C20)</f>
        <v/>
      </c>
    </row>
    <row r="21">
      <c r="A21" s="18" t="inlineStr">
        <is>
          <t>Feb 26</t>
        </is>
      </c>
      <c r="B21" s="18" t="inlineStr">
        <is>
          <t>Locked</t>
        </is>
      </c>
      <c r="C21" s="14" t="n">
        <v>1026.000000000002</v>
      </c>
      <c r="D21" s="14" t="n">
        <v>43.5</v>
      </c>
      <c r="E21" s="19">
        <f>IF(C21=0,"",D21/C21)</f>
        <v/>
      </c>
    </row>
    <row r="22">
      <c r="A22" s="18" t="inlineStr">
        <is>
          <t>Mar 26</t>
        </is>
      </c>
      <c r="B22" s="18" t="inlineStr">
        <is>
          <t>Locked</t>
        </is>
      </c>
      <c r="C22" s="14" t="n">
        <v>1147.600000000001</v>
      </c>
      <c r="D22" s="14" t="n">
        <v>48.5</v>
      </c>
      <c r="E22" s="19">
        <f>IF(C22=0,"",D22/C22)</f>
        <v/>
      </c>
    </row>
    <row r="23">
      <c r="A23" s="18" t="inlineStr">
        <is>
          <t>Apr 26</t>
        </is>
      </c>
      <c r="B23" s="18" t="inlineStr">
        <is>
          <t>Locked</t>
        </is>
      </c>
      <c r="C23" s="14" t="n">
        <v>1033.600000000002</v>
      </c>
      <c r="D23" s="14" t="n">
        <v>60.5</v>
      </c>
      <c r="E23" s="19">
        <f>IF(C23=0,"",D23/C23)</f>
        <v/>
      </c>
    </row>
    <row r="24">
      <c r="A24" s="18" t="inlineStr">
        <is>
          <t>May 26</t>
        </is>
      </c>
      <c r="B24" s="18" t="inlineStr">
        <is>
          <t>Locked</t>
        </is>
      </c>
      <c r="C24" s="14" t="n">
        <v>1018.400000000002</v>
      </c>
      <c r="D24" s="14" t="n">
        <v>68</v>
      </c>
      <c r="E24" s="19">
        <f>IF(C24=0,"",D24/C24)</f>
        <v/>
      </c>
    </row>
    <row r="25">
      <c r="A25" s="18" t="inlineStr">
        <is>
          <t>Jun 26</t>
        </is>
      </c>
      <c r="B25" s="18" t="inlineStr">
        <is>
          <t>Locked</t>
        </is>
      </c>
      <c r="C25" s="14" t="n">
        <v>1124.800000000001</v>
      </c>
      <c r="D25" s="14" t="n">
        <v>81</v>
      </c>
      <c r="E25" s="19">
        <f>IF(C25=0,"",D25/C25)</f>
        <v/>
      </c>
    </row>
    <row r="26">
      <c r="A26" s="18" t="inlineStr">
        <is>
          <t>Jul 26</t>
        </is>
      </c>
      <c r="B26" s="18" t="inlineStr">
        <is>
          <t>Locked</t>
        </is>
      </c>
      <c r="C26" s="14" t="n">
        <v>1170.4</v>
      </c>
      <c r="D26" s="14" t="n">
        <v>57.5</v>
      </c>
      <c r="E26" s="19">
        <f>IF(C26=0,"",D26/C26)</f>
        <v/>
      </c>
    </row>
    <row r="27">
      <c r="A27" s="18" t="inlineStr">
        <is>
          <t>Aug 26</t>
        </is>
      </c>
      <c r="B27" s="18" t="inlineStr">
        <is>
          <t>Locked</t>
        </is>
      </c>
      <c r="C27" s="14" t="n">
        <v>1041.200000000002</v>
      </c>
      <c r="D27" s="14" t="n">
        <v>58.5</v>
      </c>
      <c r="E27" s="19">
        <f>IF(C27=0,"",D27/C27)</f>
        <v/>
      </c>
    </row>
    <row r="28">
      <c r="A28" s="18" t="inlineStr">
        <is>
          <t>Sep 26</t>
        </is>
      </c>
      <c r="B28" s="18" t="inlineStr">
        <is>
          <t>Locked</t>
        </is>
      </c>
      <c r="C28" s="14" t="n">
        <v>1109.600000000001</v>
      </c>
      <c r="D28" s="14" t="n">
        <v>64.5</v>
      </c>
      <c r="E28" s="19">
        <f>IF(C28=0,"",D28/C28)</f>
        <v/>
      </c>
    </row>
    <row r="29">
      <c r="A29" s="18" t="inlineStr">
        <is>
          <t>Oct 26</t>
        </is>
      </c>
      <c r="B29" s="18" t="inlineStr">
        <is>
          <t>Incomplete</t>
        </is>
      </c>
      <c r="C29" s="14" t="n">
        <v>98.79999999999998</v>
      </c>
      <c r="D29" s="14" t="n">
        <v>8</v>
      </c>
      <c r="E29" s="19">
        <f>IF(C29=0,"",D29/C29)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