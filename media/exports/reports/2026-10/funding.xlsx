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October 2026 to date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'Data'!$B$6:$B$29</f>
            </numRef>
          </cat>
          <val>
            <numRef>
              <f>'Data'!$D$6:$D$29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'Data'!$B$6:$B$29</f>
            </numRef>
          </cat>
          <val>
            <numRef>
              <f>'Data'!$D$30:$D$53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'Data'!$B$6:$B$29</f>
            </numRef>
          </cat>
          <val>
            <numRef>
              <f>'Data'!$D$54:$D$77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77" headerRowCount="1">
  <autoFilter ref="A5:G77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In short: Grants cost 9¢ to raise each dollar in October so far; donations 10¢.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October 2026 to date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9</v>
      </c>
    </row>
    <row r="12">
      <c r="A12" t="inlineStr">
        <is>
          <t>Donations</t>
        </is>
      </c>
      <c r="B12" s="9" t="n">
        <v>10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October so far it cost: Grants 9¢, donations 10¢ to raise each dollar. October is still in progress (data to 6 October), so it is a part month against full months.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October so far: grants (9¢ a dollar). Dearest: donations (10¢).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$234,325 raised this financial year to date (69.0% of everything raised), $22,316 to raise it, so $212,009 left for programs: 10¢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$63,894 raised this financial year to date (18.8% of everything raised), $10,115 to raise it, so $53,779 left for programs: 16¢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$41,600 raised this financial year to date (12.2% of everything raised), $19,300 to raise it, so $22,300 left for programs: 46¢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October so far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October so far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Oct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Oct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$234,325</t>
        </is>
      </c>
      <c r="C60" s="15" t="inlineStr">
        <is>
          <t>$22,316</t>
        </is>
      </c>
      <c r="D60" s="15" t="inlineStr">
        <is>
          <t>$212,009</t>
        </is>
      </c>
      <c r="E60" s="15" t="inlineStr">
        <is>
          <t>10¢</t>
        </is>
      </c>
    </row>
    <row r="61">
      <c r="A61" s="14" t="inlineStr">
        <is>
          <t>Donations</t>
        </is>
      </c>
      <c r="B61" s="15" t="inlineStr">
        <is>
          <t>$63,894</t>
        </is>
      </c>
      <c r="C61" s="15" t="inlineStr">
        <is>
          <t>$10,115</t>
        </is>
      </c>
      <c r="D61" s="15" t="inlineStr">
        <is>
          <t>$53,779</t>
        </is>
      </c>
      <c r="E61" s="15" t="inlineStr">
        <is>
          <t>16¢</t>
        </is>
      </c>
    </row>
    <row r="62">
      <c r="A62" s="14" t="inlineStr">
        <is>
          <t>Fundraising events</t>
        </is>
      </c>
      <c r="B62" s="15" t="inlineStr">
        <is>
          <t>$41,600</t>
        </is>
      </c>
      <c r="C62" s="15" t="inlineStr">
        <is>
          <t>$19,300</t>
        </is>
      </c>
      <c r="D62" s="15" t="inlineStr">
        <is>
          <t>$22,300</t>
        </is>
      </c>
      <c r="E62" s="15" t="inlineStr">
        <is>
          <t>46¢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5" t="inlineStr">
        <is>
          <t>Cost to raise a dollar, by source, October 2026 to date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Oct 2026</t>
        </is>
      </c>
    </row>
    <row r="8">
      <c r="A8" t="inlineStr">
        <is>
          <t>Grants: cost (grant writing and reporting)</t>
        </is>
      </c>
      <c r="B8" s="16" t="n">
        <v>1016</v>
      </c>
    </row>
    <row r="9">
      <c r="A9" t="inlineStr">
        <is>
          <t>Grants: raised</t>
        </is>
      </c>
      <c r="B9" s="16" t="n">
        <v>11007</v>
      </c>
    </row>
    <row r="10">
      <c r="A10" t="inlineStr">
        <is>
          <t>Donations: cost (donor campaigns)</t>
        </is>
      </c>
      <c r="B10" s="16" t="n">
        <v>315</v>
      </c>
    </row>
    <row r="11">
      <c r="A11" t="inlineStr">
        <is>
          <t>Donations: raised</t>
        </is>
      </c>
      <c r="B11" s="16" t="n">
        <v>3294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>Nothing raised from fundraising events in October so far. October is still in progress (data to 6 October), so it is a part month against full months.</t>
        </is>
      </c>
    </row>
    <row r="15"/>
    <row r="16"/>
    <row r="17">
      <c r="A17" s="5" t="inlineStr">
        <is>
          <t>Cost to raise a dollar, by source, October 2026 to date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Oct 2026</t>
        </is>
      </c>
    </row>
    <row r="20">
      <c r="A20" t="inlineStr">
        <is>
          <t>Grants: cost (grant writing and reporting)</t>
        </is>
      </c>
      <c r="B20" s="16" t="n">
        <v>1016</v>
      </c>
    </row>
    <row r="21">
      <c r="A21" t="inlineStr">
        <is>
          <t>Grants: raised</t>
        </is>
      </c>
      <c r="B21" s="16" t="n">
        <v>11007</v>
      </c>
    </row>
    <row r="22">
      <c r="A22" t="inlineStr">
        <is>
          <t>Donations: cost (donor campaigns)</t>
        </is>
      </c>
      <c r="B22" s="16" t="n">
        <v>315</v>
      </c>
    </row>
    <row r="23">
      <c r="A23" t="inlineStr">
        <is>
          <t>Donations: raised</t>
        </is>
      </c>
      <c r="B23" s="16" t="n">
        <v>3294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>Nothing raised from fundraising events in October so far. October is still in progress (data to 6 October), so it is a part month against full months.</t>
        </is>
      </c>
    </row>
    <row r="27"/>
    <row r="28"/>
    <row r="29">
      <c r="A29" s="5" t="inlineStr">
        <is>
          <t>Cost to raise a dollar, by source, October 2026 to date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Oct 2026</t>
        </is>
      </c>
    </row>
    <row r="32">
      <c r="A32" t="inlineStr">
        <is>
          <t>Grants: cost (grant writing and reporting)</t>
        </is>
      </c>
      <c r="B32" s="16" t="n">
        <v>1016</v>
      </c>
    </row>
    <row r="33">
      <c r="A33" t="inlineStr">
        <is>
          <t>Grants: raised</t>
        </is>
      </c>
      <c r="B33" s="16" t="n">
        <v>11007</v>
      </c>
    </row>
    <row r="34">
      <c r="A34" t="inlineStr">
        <is>
          <t>Donations: cost (donor campaigns)</t>
        </is>
      </c>
      <c r="B34" s="16" t="n">
        <v>315</v>
      </c>
    </row>
    <row r="35">
      <c r="A35" t="inlineStr">
        <is>
          <t>Donations: raised</t>
        </is>
      </c>
      <c r="B35" s="16" t="n">
        <v>3294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>Nothing raised from fundraising events in October so far. October is still in progress (data to 6 October), so it is a part month against full months.</t>
        </is>
      </c>
    </row>
    <row r="39"/>
    <row r="40"/>
    <row r="41">
      <c r="A41" s="5" t="inlineStr">
        <is>
          <t>Raised, financial year to date (Jul to Oct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234325</v>
      </c>
    </row>
    <row r="45">
      <c r="A45" t="inlineStr">
        <is>
          <t>Donations, raised</t>
        </is>
      </c>
      <c r="B45" s="16" t="n">
        <v>63894</v>
      </c>
    </row>
    <row r="46">
      <c r="A46" t="inlineStr">
        <is>
          <t>Fundraising events, raised</t>
        </is>
      </c>
      <c r="B46" s="16" t="n">
        <v>41600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Nov 24</t>
        </is>
      </c>
      <c r="C6" s="21" t="inlineStr">
        <is>
          <t>Locked</t>
        </is>
      </c>
      <c r="D6" s="16" t="n">
        <v>31800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Dec 24</t>
        </is>
      </c>
      <c r="C7" s="21" t="inlineStr">
        <is>
          <t>Locked</t>
        </is>
      </c>
      <c r="D7" s="16" t="n">
        <v>29700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Jan 25</t>
        </is>
      </c>
      <c r="C8" s="21" t="inlineStr">
        <is>
          <t>Locked</t>
        </is>
      </c>
      <c r="D8" s="16" t="n">
        <v>62700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Feb 25</t>
        </is>
      </c>
      <c r="C9" s="21" t="inlineStr">
        <is>
          <t>Locked</t>
        </is>
      </c>
      <c r="D9" s="16" t="n">
        <v>61700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Mar 25</t>
        </is>
      </c>
      <c r="C10" s="21" t="inlineStr">
        <is>
          <t>Locked</t>
        </is>
      </c>
      <c r="D10" s="16" t="n">
        <v>54500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Apr 25</t>
        </is>
      </c>
      <c r="C11" s="21" t="inlineStr">
        <is>
          <t>Locked</t>
        </is>
      </c>
      <c r="D11" s="16" t="n">
        <v>61500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May 25</t>
        </is>
      </c>
      <c r="C12" s="21" t="inlineStr">
        <is>
          <t>Locked</t>
        </is>
      </c>
      <c r="D12" s="16" t="n">
        <v>61700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Jun 25</t>
        </is>
      </c>
      <c r="C13" s="21" t="inlineStr">
        <is>
          <t>Locked</t>
        </is>
      </c>
      <c r="D13" s="16" t="n">
        <v>52200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Jul 25</t>
        </is>
      </c>
      <c r="C14" s="21" t="inlineStr">
        <is>
          <t>Locked</t>
        </is>
      </c>
      <c r="D14" s="16" t="n">
        <v>59063</v>
      </c>
      <c r="E14" s="16" t="n">
        <v>7100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Aug 25</t>
        </is>
      </c>
      <c r="C15" s="21" t="inlineStr">
        <is>
          <t>Locked</t>
        </is>
      </c>
      <c r="D15" s="16" t="n">
        <v>61544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Sep 25</t>
        </is>
      </c>
      <c r="C16" s="21" t="inlineStr">
        <is>
          <t>Locked</t>
        </is>
      </c>
      <c r="D16" s="16" t="n">
        <v>62137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Oct 25</t>
        </is>
      </c>
      <c r="C17" s="21" t="inlineStr">
        <is>
          <t>Locked</t>
        </is>
      </c>
      <c r="D17" s="16" t="n">
        <v>69185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Nov 25</t>
        </is>
      </c>
      <c r="C18" s="21" t="inlineStr">
        <is>
          <t>Locked</t>
        </is>
      </c>
      <c r="D18" s="16" t="n">
        <v>70164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Dec 25</t>
        </is>
      </c>
      <c r="C19" s="21" t="inlineStr">
        <is>
          <t>Locked</t>
        </is>
      </c>
      <c r="D19" s="16" t="n">
        <v>68793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Jan 26</t>
        </is>
      </c>
      <c r="C20" s="21" t="inlineStr">
        <is>
          <t>Locked</t>
        </is>
      </c>
      <c r="D20" s="16" t="n">
        <v>59785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Feb 26</t>
        </is>
      </c>
      <c r="C21" s="21" t="inlineStr">
        <is>
          <t>Locked</t>
        </is>
      </c>
      <c r="D21" s="16" t="n">
        <v>55759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Mar 26</t>
        </is>
      </c>
      <c r="C22" s="21" t="inlineStr">
        <is>
          <t>Locked</t>
        </is>
      </c>
      <c r="D22" s="16" t="n">
        <v>53806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Apr 26</t>
        </is>
      </c>
      <c r="C23" s="21" t="inlineStr">
        <is>
          <t>Locked</t>
        </is>
      </c>
      <c r="D23" s="16" t="n">
        <v>66729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Grants</t>
        </is>
      </c>
      <c r="B24" s="21" t="inlineStr">
        <is>
          <t>May 26</t>
        </is>
      </c>
      <c r="C24" s="21" t="inlineStr">
        <is>
          <t>Locked</t>
        </is>
      </c>
      <c r="D24" s="16" t="n">
        <v>72245</v>
      </c>
      <c r="E24" s="16" t="n">
        <v>7100</v>
      </c>
      <c r="F24" s="16">
        <f>D24-E24</f>
        <v/>
      </c>
      <c r="G24" s="17">
        <f>IF(D24=0,"",E24/D24*100)</f>
        <v/>
      </c>
    </row>
    <row r="25">
      <c r="A25" s="21" t="inlineStr">
        <is>
          <t>Grants</t>
        </is>
      </c>
      <c r="B25" s="21" t="inlineStr">
        <is>
          <t>Jun 26</t>
        </is>
      </c>
      <c r="C25" s="21" t="inlineStr">
        <is>
          <t>Locked</t>
        </is>
      </c>
      <c r="D25" s="16" t="n">
        <v>70872</v>
      </c>
      <c r="E25" s="16" t="n">
        <v>7100</v>
      </c>
      <c r="F25" s="16">
        <f>D25-E25</f>
        <v/>
      </c>
      <c r="G25" s="17">
        <f>IF(D25=0,"",E25/D25*100)</f>
        <v/>
      </c>
    </row>
    <row r="26">
      <c r="A26" s="21" t="inlineStr">
        <is>
          <t>Grants</t>
        </is>
      </c>
      <c r="B26" s="21" t="inlineStr">
        <is>
          <t>Jul 26</t>
        </is>
      </c>
      <c r="C26" s="21" t="inlineStr">
        <is>
          <t>Locked</t>
        </is>
      </c>
      <c r="D26" s="16" t="n">
        <v>72618</v>
      </c>
      <c r="E26" s="16" t="n">
        <v>7100</v>
      </c>
      <c r="F26" s="16">
        <f>D26-E26</f>
        <v/>
      </c>
      <c r="G26" s="17">
        <f>IF(D26=0,"",E26/D26*100)</f>
        <v/>
      </c>
    </row>
    <row r="27">
      <c r="A27" s="21" t="inlineStr">
        <is>
          <t>Grants</t>
        </is>
      </c>
      <c r="B27" s="21" t="inlineStr">
        <is>
          <t>Aug 26</t>
        </is>
      </c>
      <c r="C27" s="21" t="inlineStr">
        <is>
          <t>Locked</t>
        </is>
      </c>
      <c r="D27" s="16" t="n">
        <v>73700</v>
      </c>
      <c r="E27" s="16" t="n">
        <v>7100</v>
      </c>
      <c r="F27" s="16">
        <f>D27-E27</f>
        <v/>
      </c>
      <c r="G27" s="17">
        <f>IF(D27=0,"",E27/D27*100)</f>
        <v/>
      </c>
    </row>
    <row r="28">
      <c r="A28" s="21" t="inlineStr">
        <is>
          <t>Grants</t>
        </is>
      </c>
      <c r="B28" s="21" t="inlineStr">
        <is>
          <t>Sep 26</t>
        </is>
      </c>
      <c r="C28" s="21" t="inlineStr">
        <is>
          <t>Locked</t>
        </is>
      </c>
      <c r="D28" s="16" t="n">
        <v>77000</v>
      </c>
      <c r="E28" s="16" t="n">
        <v>7100</v>
      </c>
      <c r="F28" s="16">
        <f>D28-E28</f>
        <v/>
      </c>
      <c r="G28" s="17">
        <f>IF(D28=0,"",E28/D28*100)</f>
        <v/>
      </c>
    </row>
    <row r="29">
      <c r="A29" s="21" t="inlineStr">
        <is>
          <t>Grants</t>
        </is>
      </c>
      <c r="B29" s="21" t="inlineStr">
        <is>
          <t>Oct 26</t>
        </is>
      </c>
      <c r="C29" s="21" t="inlineStr">
        <is>
          <t>Incomplete</t>
        </is>
      </c>
      <c r="D29" s="16" t="n">
        <v>11007</v>
      </c>
      <c r="E29" s="16" t="n">
        <v>1016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Nov 24</t>
        </is>
      </c>
      <c r="C30" s="21" t="inlineStr">
        <is>
          <t>Locked</t>
        </is>
      </c>
      <c r="D30" s="16" t="n">
        <v>17700</v>
      </c>
      <c r="E30" s="16" t="n">
        <v>3100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Dec 24</t>
        </is>
      </c>
      <c r="C31" s="21" t="inlineStr">
        <is>
          <t>Locked</t>
        </is>
      </c>
      <c r="D31" s="16" t="n">
        <v>24700</v>
      </c>
      <c r="E31" s="16" t="n">
        <v>4400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Jan 25</t>
        </is>
      </c>
      <c r="C32" s="21" t="inlineStr">
        <is>
          <t>Locked</t>
        </is>
      </c>
      <c r="D32" s="16" t="n">
        <v>12400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Feb 25</t>
        </is>
      </c>
      <c r="C33" s="21" t="inlineStr">
        <is>
          <t>Locked</t>
        </is>
      </c>
      <c r="D33" s="16" t="n">
        <v>15600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Mar 25</t>
        </is>
      </c>
      <c r="C34" s="21" t="inlineStr">
        <is>
          <t>Locked</t>
        </is>
      </c>
      <c r="D34" s="16" t="n">
        <v>15700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Apr 25</t>
        </is>
      </c>
      <c r="C35" s="21" t="inlineStr">
        <is>
          <t>Locked</t>
        </is>
      </c>
      <c r="D35" s="16" t="n">
        <v>15700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May 25</t>
        </is>
      </c>
      <c r="C36" s="21" t="inlineStr">
        <is>
          <t>Locked</t>
        </is>
      </c>
      <c r="D36" s="16" t="n">
        <v>15800</v>
      </c>
      <c r="E36" s="16" t="n">
        <v>2200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Jun 25</t>
        </is>
      </c>
      <c r="C37" s="21" t="inlineStr">
        <is>
          <t>Locked</t>
        </is>
      </c>
      <c r="D37" s="16" t="n">
        <v>38100</v>
      </c>
      <c r="E37" s="16" t="n">
        <v>5500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Jul 25</t>
        </is>
      </c>
      <c r="C38" s="21" t="inlineStr">
        <is>
          <t>Locked</t>
        </is>
      </c>
      <c r="D38" s="16" t="n">
        <v>13500</v>
      </c>
      <c r="E38" s="16" t="n">
        <v>2200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Aug 25</t>
        </is>
      </c>
      <c r="C39" s="21" t="inlineStr">
        <is>
          <t>Locked</t>
        </is>
      </c>
      <c r="D39" s="16" t="n">
        <v>16000</v>
      </c>
      <c r="E39" s="16" t="n">
        <v>2200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Sep 25</t>
        </is>
      </c>
      <c r="C40" s="21" t="inlineStr">
        <is>
          <t>Locked</t>
        </is>
      </c>
      <c r="D40" s="16" t="n">
        <v>16100</v>
      </c>
      <c r="E40" s="16" t="n">
        <v>2200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Oct 25</t>
        </is>
      </c>
      <c r="C41" s="21" t="inlineStr">
        <is>
          <t>Locked</t>
        </is>
      </c>
      <c r="D41" s="16" t="n">
        <v>16200</v>
      </c>
      <c r="E41" s="16" t="n">
        <v>2200</v>
      </c>
      <c r="F41" s="16">
        <f>D41-E41</f>
        <v/>
      </c>
      <c r="G41" s="17">
        <f>IF(D41=0,"",E41/D41*100)</f>
        <v/>
      </c>
    </row>
    <row r="42">
      <c r="A42" s="21" t="inlineStr">
        <is>
          <t>Donations</t>
        </is>
      </c>
      <c r="B42" s="21" t="inlineStr">
        <is>
          <t>Nov 25</t>
        </is>
      </c>
      <c r="C42" s="21" t="inlineStr">
        <is>
          <t>Locked</t>
        </is>
      </c>
      <c r="D42" s="16" t="n">
        <v>18700</v>
      </c>
      <c r="E42" s="16" t="n">
        <v>3100</v>
      </c>
      <c r="F42" s="16">
        <f>D42-E42</f>
        <v/>
      </c>
      <c r="G42" s="17">
        <f>IF(D42=0,"",E42/D42*100)</f>
        <v/>
      </c>
    </row>
    <row r="43">
      <c r="A43" s="21" t="inlineStr">
        <is>
          <t>Donations</t>
        </is>
      </c>
      <c r="B43" s="21" t="inlineStr">
        <is>
          <t>Dec 25</t>
        </is>
      </c>
      <c r="C43" s="21" t="inlineStr">
        <is>
          <t>Locked</t>
        </is>
      </c>
      <c r="D43" s="16" t="n">
        <v>26100</v>
      </c>
      <c r="E43" s="16" t="n">
        <v>4400</v>
      </c>
      <c r="F43" s="16">
        <f>D43-E43</f>
        <v/>
      </c>
      <c r="G43" s="17">
        <f>IF(D43=0,"",E43/D43*100)</f>
        <v/>
      </c>
    </row>
    <row r="44">
      <c r="A44" s="21" t="inlineStr">
        <is>
          <t>Donations</t>
        </is>
      </c>
      <c r="B44" s="21" t="inlineStr">
        <is>
          <t>Jan 26</t>
        </is>
      </c>
      <c r="C44" s="21" t="inlineStr">
        <is>
          <t>Locked</t>
        </is>
      </c>
      <c r="D44" s="16" t="n">
        <v>13100</v>
      </c>
      <c r="E44" s="16" t="n">
        <v>2200</v>
      </c>
      <c r="F44" s="16">
        <f>D44-E44</f>
        <v/>
      </c>
      <c r="G44" s="17">
        <f>IF(D44=0,"",E44/D44*100)</f>
        <v/>
      </c>
    </row>
    <row r="45">
      <c r="A45" s="21" t="inlineStr">
        <is>
          <t>Donations</t>
        </is>
      </c>
      <c r="B45" s="21" t="inlineStr">
        <is>
          <t>Feb 26</t>
        </is>
      </c>
      <c r="C45" s="21" t="inlineStr">
        <is>
          <t>Locked</t>
        </is>
      </c>
      <c r="D45" s="16" t="n">
        <v>16400</v>
      </c>
      <c r="E45" s="16" t="n">
        <v>2200</v>
      </c>
      <c r="F45" s="16">
        <f>D45-E45</f>
        <v/>
      </c>
      <c r="G45" s="17">
        <f>IF(D45=0,"",E45/D45*100)</f>
        <v/>
      </c>
    </row>
    <row r="46">
      <c r="A46" s="21" t="inlineStr">
        <is>
          <t>Donations</t>
        </is>
      </c>
      <c r="B46" s="21" t="inlineStr">
        <is>
          <t>Mar 26</t>
        </is>
      </c>
      <c r="C46" s="21" t="inlineStr">
        <is>
          <t>Locked</t>
        </is>
      </c>
      <c r="D46" s="16" t="n">
        <v>16500</v>
      </c>
      <c r="E46" s="16" t="n">
        <v>2200</v>
      </c>
      <c r="F46" s="16">
        <f>D46-E46</f>
        <v/>
      </c>
      <c r="G46" s="17">
        <f>IF(D46=0,"",E46/D46*100)</f>
        <v/>
      </c>
    </row>
    <row r="47">
      <c r="A47" s="21" t="inlineStr">
        <is>
          <t>Donations</t>
        </is>
      </c>
      <c r="B47" s="21" t="inlineStr">
        <is>
          <t>Apr 26</t>
        </is>
      </c>
      <c r="C47" s="21" t="inlineStr">
        <is>
          <t>Locked</t>
        </is>
      </c>
      <c r="D47" s="16" t="n">
        <v>16600</v>
      </c>
      <c r="E47" s="16" t="n">
        <v>2200</v>
      </c>
      <c r="F47" s="16">
        <f>D47-E47</f>
        <v/>
      </c>
      <c r="G47" s="17">
        <f>IF(D47=0,"",E47/D47*100)</f>
        <v/>
      </c>
    </row>
    <row r="48">
      <c r="A48" s="21" t="inlineStr">
        <is>
          <t>Donations</t>
        </is>
      </c>
      <c r="B48" s="21" t="inlineStr">
        <is>
          <t>May 26</t>
        </is>
      </c>
      <c r="C48" s="21" t="inlineStr">
        <is>
          <t>Locked</t>
        </is>
      </c>
      <c r="D48" s="16" t="n">
        <v>16600</v>
      </c>
      <c r="E48" s="16" t="n">
        <v>2200</v>
      </c>
      <c r="F48" s="16">
        <f>D48-E48</f>
        <v/>
      </c>
      <c r="G48" s="17">
        <f>IF(D48=0,"",E48/D48*100)</f>
        <v/>
      </c>
    </row>
    <row r="49">
      <c r="A49" s="21" t="inlineStr">
        <is>
          <t>Donations</t>
        </is>
      </c>
      <c r="B49" s="21" t="inlineStr">
        <is>
          <t>Jun 26</t>
        </is>
      </c>
      <c r="C49" s="21" t="inlineStr">
        <is>
          <t>Locked</t>
        </is>
      </c>
      <c r="D49" s="16" t="n">
        <v>40100</v>
      </c>
      <c r="E49" s="16" t="n">
        <v>5500</v>
      </c>
      <c r="F49" s="16">
        <f>D49-E49</f>
        <v/>
      </c>
      <c r="G49" s="17">
        <f>IF(D49=0,"",E49/D49*100)</f>
        <v/>
      </c>
    </row>
    <row r="50">
      <c r="A50" s="21" t="inlineStr">
        <is>
          <t>Donations</t>
        </is>
      </c>
      <c r="B50" s="21" t="inlineStr">
        <is>
          <t>Jul 26</t>
        </is>
      </c>
      <c r="C50" s="21" t="inlineStr">
        <is>
          <t>Locked</t>
        </is>
      </c>
      <c r="D50" s="16" t="n">
        <v>14300</v>
      </c>
      <c r="E50" s="16" t="n">
        <v>2200</v>
      </c>
      <c r="F50" s="16">
        <f>D50-E50</f>
        <v/>
      </c>
      <c r="G50" s="17">
        <f>IF(D50=0,"",E50/D50*100)</f>
        <v/>
      </c>
    </row>
    <row r="51">
      <c r="A51" s="21" t="inlineStr">
        <is>
          <t>Donations</t>
        </is>
      </c>
      <c r="B51" s="21" t="inlineStr">
        <is>
          <t>Aug 26</t>
        </is>
      </c>
      <c r="C51" s="21" t="inlineStr">
        <is>
          <t>Locked</t>
        </is>
      </c>
      <c r="D51" s="16" t="n">
        <v>18400</v>
      </c>
      <c r="E51" s="16" t="n">
        <v>2200</v>
      </c>
      <c r="F51" s="16">
        <f>D51-E51</f>
        <v/>
      </c>
      <c r="G51" s="17">
        <f>IF(D51=0,"",E51/D51*100)</f>
        <v/>
      </c>
    </row>
    <row r="52">
      <c r="A52" s="21" t="inlineStr">
        <is>
          <t>Donations</t>
        </is>
      </c>
      <c r="B52" s="21" t="inlineStr">
        <is>
          <t>Sep 26</t>
        </is>
      </c>
      <c r="C52" s="21" t="inlineStr">
        <is>
          <t>Locked</t>
        </is>
      </c>
      <c r="D52" s="16" t="n">
        <v>27900</v>
      </c>
      <c r="E52" s="16" t="n">
        <v>5400</v>
      </c>
      <c r="F52" s="16">
        <f>D52-E52</f>
        <v/>
      </c>
      <c r="G52" s="17">
        <f>IF(D52=0,"",E52/D52*100)</f>
        <v/>
      </c>
    </row>
    <row r="53">
      <c r="A53" s="21" t="inlineStr">
        <is>
          <t>Donations</t>
        </is>
      </c>
      <c r="B53" s="21" t="inlineStr">
        <is>
          <t>Oct 26</t>
        </is>
      </c>
      <c r="C53" s="21" t="inlineStr">
        <is>
          <t>Incomplete</t>
        </is>
      </c>
      <c r="D53" s="16" t="n">
        <v>3294</v>
      </c>
      <c r="E53" s="16" t="n">
        <v>315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Nov 24</t>
        </is>
      </c>
      <c r="C54" s="21" t="inlineStr">
        <is>
          <t>Locked</t>
        </is>
      </c>
      <c r="D54" s="16" t="n">
        <v>0</v>
      </c>
      <c r="E54" s="16" t="n">
        <v>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Dec 24</t>
        </is>
      </c>
      <c r="C55" s="21" t="inlineStr">
        <is>
          <t>Locked</t>
        </is>
      </c>
      <c r="D55" s="16" t="n">
        <v>6200</v>
      </c>
      <c r="E55" s="16" t="n">
        <v>2600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Jan 25</t>
        </is>
      </c>
      <c r="C56" s="21" t="inlineStr">
        <is>
          <t>Locked</t>
        </is>
      </c>
      <c r="D56" s="16" t="n">
        <v>0</v>
      </c>
      <c r="E56" s="16" t="n">
        <v>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Feb 25</t>
        </is>
      </c>
      <c r="C57" s="21" t="inlineStr">
        <is>
          <t>Locked</t>
        </is>
      </c>
      <c r="D57" s="16" t="n">
        <v>0</v>
      </c>
      <c r="E57" s="16" t="n">
        <v>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Mar 25</t>
        </is>
      </c>
      <c r="C58" s="21" t="inlineStr">
        <is>
          <t>Locked</t>
        </is>
      </c>
      <c r="D58" s="16" t="n">
        <v>0</v>
      </c>
      <c r="E58" s="16" t="n">
        <v>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Apr 25</t>
        </is>
      </c>
      <c r="C59" s="21" t="inlineStr">
        <is>
          <t>Locked</t>
        </is>
      </c>
      <c r="D59" s="16" t="n">
        <v>0</v>
      </c>
      <c r="E59" s="16" t="n">
        <v>0</v>
      </c>
      <c r="F59" s="16">
        <f>D59-E59</f>
        <v/>
      </c>
      <c r="G59" s="17">
        <f>IF(D59=0,"",E59/D59*100)</f>
        <v/>
      </c>
    </row>
    <row r="60">
      <c r="A60" s="21" t="inlineStr">
        <is>
          <t>Fundraising events</t>
        </is>
      </c>
      <c r="B60" s="21" t="inlineStr">
        <is>
          <t>May 25</t>
        </is>
      </c>
      <c r="C60" s="21" t="inlineStr">
        <is>
          <t>Locked</t>
        </is>
      </c>
      <c r="D60" s="16" t="n">
        <v>0</v>
      </c>
      <c r="E60" s="16" t="n">
        <v>0</v>
      </c>
      <c r="F60" s="16">
        <f>D60-E60</f>
        <v/>
      </c>
      <c r="G60" s="17">
        <f>IF(D60=0,"",E60/D60*100)</f>
        <v/>
      </c>
    </row>
    <row r="61">
      <c r="A61" s="21" t="inlineStr">
        <is>
          <t>Fundraising events</t>
        </is>
      </c>
      <c r="B61" s="21" t="inlineStr">
        <is>
          <t>Jun 25</t>
        </is>
      </c>
      <c r="C61" s="21" t="inlineStr">
        <is>
          <t>Locked</t>
        </is>
      </c>
      <c r="D61" s="16" t="n">
        <v>0</v>
      </c>
      <c r="E61" s="16" t="n">
        <v>0</v>
      </c>
      <c r="F61" s="16">
        <f>D61-E61</f>
        <v/>
      </c>
      <c r="G61" s="17">
        <f>IF(D61=0,"",E61/D61*100)</f>
        <v/>
      </c>
    </row>
    <row r="62">
      <c r="A62" s="21" t="inlineStr">
        <is>
          <t>Fundraising events</t>
        </is>
      </c>
      <c r="B62" s="21" t="inlineStr">
        <is>
          <t>Jul 25</t>
        </is>
      </c>
      <c r="C62" s="21" t="inlineStr">
        <is>
          <t>Locked</t>
        </is>
      </c>
      <c r="D62" s="16" t="n">
        <v>0</v>
      </c>
      <c r="E62" s="16" t="n">
        <v>0</v>
      </c>
      <c r="F62" s="16">
        <f>D62-E62</f>
        <v/>
      </c>
      <c r="G62" s="17">
        <f>IF(D62=0,"",E62/D62*100)</f>
        <v/>
      </c>
    </row>
    <row r="63">
      <c r="A63" s="21" t="inlineStr">
        <is>
          <t>Fundraising events</t>
        </is>
      </c>
      <c r="B63" s="21" t="inlineStr">
        <is>
          <t>Aug 25</t>
        </is>
      </c>
      <c r="C63" s="21" t="inlineStr">
        <is>
          <t>Locked</t>
        </is>
      </c>
      <c r="D63" s="16" t="n">
        <v>0</v>
      </c>
      <c r="E63" s="16" t="n">
        <v>0</v>
      </c>
      <c r="F63" s="16">
        <f>D63-E63</f>
        <v/>
      </c>
      <c r="G63" s="17">
        <f>IF(D63=0,"",E63/D63*100)</f>
        <v/>
      </c>
    </row>
    <row r="64">
      <c r="A64" s="21" t="inlineStr">
        <is>
          <t>Fundraising events</t>
        </is>
      </c>
      <c r="B64" s="21" t="inlineStr">
        <is>
          <t>Sep 25</t>
        </is>
      </c>
      <c r="C64" s="21" t="inlineStr">
        <is>
          <t>Locked</t>
        </is>
      </c>
      <c r="D64" s="16" t="n">
        <v>36800</v>
      </c>
      <c r="E64" s="16" t="n">
        <v>15200</v>
      </c>
      <c r="F64" s="16">
        <f>D64-E64</f>
        <v/>
      </c>
      <c r="G64" s="17">
        <f>IF(D64=0,"",E64/D64*100)</f>
        <v/>
      </c>
    </row>
    <row r="65">
      <c r="A65" s="21" t="inlineStr">
        <is>
          <t>Fundraising events</t>
        </is>
      </c>
      <c r="B65" s="21" t="inlineStr">
        <is>
          <t>Oct 25</t>
        </is>
      </c>
      <c r="C65" s="21" t="inlineStr">
        <is>
          <t>Locked</t>
        </is>
      </c>
      <c r="D65" s="16" t="n">
        <v>0</v>
      </c>
      <c r="E65" s="16" t="n">
        <v>0</v>
      </c>
      <c r="F65" s="16">
        <f>D65-E65</f>
        <v/>
      </c>
      <c r="G65" s="17">
        <f>IF(D65=0,"",E65/D65*100)</f>
        <v/>
      </c>
    </row>
    <row r="66">
      <c r="A66" s="21" t="inlineStr">
        <is>
          <t>Fundraising events</t>
        </is>
      </c>
      <c r="B66" s="21" t="inlineStr">
        <is>
          <t>Nov 25</t>
        </is>
      </c>
      <c r="C66" s="21" t="inlineStr">
        <is>
          <t>Locked</t>
        </is>
      </c>
      <c r="D66" s="16" t="n">
        <v>0</v>
      </c>
      <c r="E66" s="16" t="n">
        <v>0</v>
      </c>
      <c r="F66" s="16">
        <f>D66-E66</f>
        <v/>
      </c>
      <c r="G66" s="17">
        <f>IF(D66=0,"",E66/D66*100)</f>
        <v/>
      </c>
    </row>
    <row r="67">
      <c r="A67" s="21" t="inlineStr">
        <is>
          <t>Fundraising events</t>
        </is>
      </c>
      <c r="B67" s="21" t="inlineStr">
        <is>
          <t>Dec 25</t>
        </is>
      </c>
      <c r="C67" s="21" t="inlineStr">
        <is>
          <t>Locked</t>
        </is>
      </c>
      <c r="D67" s="16" t="n">
        <v>6200</v>
      </c>
      <c r="E67" s="16" t="n">
        <v>2600</v>
      </c>
      <c r="F67" s="16">
        <f>D67-E67</f>
        <v/>
      </c>
      <c r="G67" s="17">
        <f>IF(D67=0,"",E67/D67*100)</f>
        <v/>
      </c>
    </row>
    <row r="68">
      <c r="A68" s="21" t="inlineStr">
        <is>
          <t>Fundraising events</t>
        </is>
      </c>
      <c r="B68" s="21" t="inlineStr">
        <is>
          <t>Jan 26</t>
        </is>
      </c>
      <c r="C68" s="21" t="inlineStr">
        <is>
          <t>Locked</t>
        </is>
      </c>
      <c r="D68" s="16" t="n">
        <v>0</v>
      </c>
      <c r="E68" s="16" t="n">
        <v>0</v>
      </c>
      <c r="F68" s="16">
        <f>D68-E68</f>
        <v/>
      </c>
      <c r="G68" s="17">
        <f>IF(D68=0,"",E68/D68*100)</f>
        <v/>
      </c>
    </row>
    <row r="69">
      <c r="A69" s="21" t="inlineStr">
        <is>
          <t>Fundraising events</t>
        </is>
      </c>
      <c r="B69" s="21" t="inlineStr">
        <is>
          <t>Feb 26</t>
        </is>
      </c>
      <c r="C69" s="21" t="inlineStr">
        <is>
          <t>Locked</t>
        </is>
      </c>
      <c r="D69" s="16" t="n">
        <v>0</v>
      </c>
      <c r="E69" s="16" t="n">
        <v>0</v>
      </c>
      <c r="F69" s="16">
        <f>D69-E69</f>
        <v/>
      </c>
      <c r="G69" s="17">
        <f>IF(D69=0,"",E69/D69*100)</f>
        <v/>
      </c>
    </row>
    <row r="70">
      <c r="A70" s="21" t="inlineStr">
        <is>
          <t>Fundraising events</t>
        </is>
      </c>
      <c r="B70" s="21" t="inlineStr">
        <is>
          <t>Mar 26</t>
        </is>
      </c>
      <c r="C70" s="21" t="inlineStr">
        <is>
          <t>Locked</t>
        </is>
      </c>
      <c r="D70" s="16" t="n">
        <v>0</v>
      </c>
      <c r="E70" s="16" t="n">
        <v>0</v>
      </c>
      <c r="F70" s="16">
        <f>D70-E70</f>
        <v/>
      </c>
      <c r="G70" s="17">
        <f>IF(D70=0,"",E70/D70*100)</f>
        <v/>
      </c>
    </row>
    <row r="71">
      <c r="A71" s="21" t="inlineStr">
        <is>
          <t>Fundraising events</t>
        </is>
      </c>
      <c r="B71" s="21" t="inlineStr">
        <is>
          <t>Apr 26</t>
        </is>
      </c>
      <c r="C71" s="21" t="inlineStr">
        <is>
          <t>Locked</t>
        </is>
      </c>
      <c r="D71" s="16" t="n">
        <v>0</v>
      </c>
      <c r="E71" s="16" t="n">
        <v>0</v>
      </c>
      <c r="F71" s="16">
        <f>D71-E71</f>
        <v/>
      </c>
      <c r="G71" s="17">
        <f>IF(D71=0,"",E71/D71*100)</f>
        <v/>
      </c>
    </row>
    <row r="72">
      <c r="A72" s="21" t="inlineStr">
        <is>
          <t>Fundraising events</t>
        </is>
      </c>
      <c r="B72" s="21" t="inlineStr">
        <is>
          <t>May 26</t>
        </is>
      </c>
      <c r="C72" s="21" t="inlineStr">
        <is>
          <t>Locked</t>
        </is>
      </c>
      <c r="D72" s="16" t="n">
        <v>0</v>
      </c>
      <c r="E72" s="16" t="n">
        <v>0</v>
      </c>
      <c r="F72" s="16">
        <f>D72-E72</f>
        <v/>
      </c>
      <c r="G72" s="17">
        <f>IF(D72=0,"",E72/D72*100)</f>
        <v/>
      </c>
    </row>
    <row r="73">
      <c r="A73" s="21" t="inlineStr">
        <is>
          <t>Fundraising events</t>
        </is>
      </c>
      <c r="B73" s="21" t="inlineStr">
        <is>
          <t>Jun 26</t>
        </is>
      </c>
      <c r="C73" s="21" t="inlineStr">
        <is>
          <t>Locked</t>
        </is>
      </c>
      <c r="D73" s="16" t="n">
        <v>0</v>
      </c>
      <c r="E73" s="16" t="n">
        <v>0</v>
      </c>
      <c r="F73" s="16">
        <f>D73-E73</f>
        <v/>
      </c>
      <c r="G73" s="17">
        <f>IF(D73=0,"",E73/D73*100)</f>
        <v/>
      </c>
    </row>
    <row r="74">
      <c r="A74" s="21" t="inlineStr">
        <is>
          <t>Fundraising events</t>
        </is>
      </c>
      <c r="B74" s="21" t="inlineStr">
        <is>
          <t>Jul 26</t>
        </is>
      </c>
      <c r="C74" s="21" t="inlineStr">
        <is>
          <t>Locked</t>
        </is>
      </c>
      <c r="D74" s="16" t="n">
        <v>0</v>
      </c>
      <c r="E74" s="16" t="n">
        <v>0</v>
      </c>
      <c r="F74" s="16">
        <f>D74-E74</f>
        <v/>
      </c>
      <c r="G74" s="17">
        <f>IF(D74=0,"",E74/D74*100)</f>
        <v/>
      </c>
    </row>
    <row r="75">
      <c r="A75" s="21" t="inlineStr">
        <is>
          <t>Fundraising events</t>
        </is>
      </c>
      <c r="B75" s="21" t="inlineStr">
        <is>
          <t>Aug 26</t>
        </is>
      </c>
      <c r="C75" s="21" t="inlineStr">
        <is>
          <t>Locked</t>
        </is>
      </c>
      <c r="D75" s="16" t="n">
        <v>0</v>
      </c>
      <c r="E75" s="16" t="n">
        <v>2400</v>
      </c>
      <c r="F75" s="16">
        <f>D75-E75</f>
        <v/>
      </c>
      <c r="G75" s="17">
        <f>IF(D75=0,"",E75/D75*100)</f>
        <v/>
      </c>
    </row>
    <row r="76">
      <c r="A76" s="21" t="inlineStr">
        <is>
          <t>Fundraising events</t>
        </is>
      </c>
      <c r="B76" s="21" t="inlineStr">
        <is>
          <t>Sep 26</t>
        </is>
      </c>
      <c r="C76" s="21" t="inlineStr">
        <is>
          <t>Locked</t>
        </is>
      </c>
      <c r="D76" s="16" t="n">
        <v>41600</v>
      </c>
      <c r="E76" s="16" t="n">
        <v>16900</v>
      </c>
      <c r="F76" s="16">
        <f>D76-E76</f>
        <v/>
      </c>
      <c r="G76" s="17">
        <f>IF(D76=0,"",E76/D76*100)</f>
        <v/>
      </c>
    </row>
    <row r="77">
      <c r="A77" s="21" t="inlineStr">
        <is>
          <t>Fundraising events</t>
        </is>
      </c>
      <c r="B77" s="21" t="inlineStr">
        <is>
          <t>Oct 26</t>
        </is>
      </c>
      <c r="C77" s="21" t="inlineStr">
        <is>
          <t>Incomplete</t>
        </is>
      </c>
      <c r="D77" s="16" t="n">
        <v>0</v>
      </c>
      <c r="E77" s="16" t="n">
        <v>0</v>
      </c>
      <c r="F77" s="16">
        <f>D77-E77</f>
        <v/>
      </c>
      <c r="G77" s="17">
        <f>IF(D77=0,"",E77/D77*100)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9" min="0" max="16383" man="1"/>
    <brk id="53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