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October_so_far">'Report'!$B$9</definedName>
    <definedName name="Couldn_t_reach_October_so_far">'Report'!$B$10</definedName>
    <definedName name="Share_reached_October_so_far">'Report'!$B$11</definedName>
    <definedName name="_xlnm.Print_Area" localSheetId="0">'Report'!$A$1:$D$39</definedName>
    <definedName name="_xlnm.Print_Area" localSheetId="1">'Workings'!$A$1:$C$69</definedName>
    <definedName name="_xlnm.Print_Titles" localSheetId="3">'Data'!$5:$5</definedName>
    <definedName name="_xlnm.Print_Area" localSheetId="3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1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9" headerRowCount="1">
  <autoFilter ref="A5:E29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78 people helped in October so far; 12 couldn't be reached (86.7%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October so far</t>
        </is>
      </c>
      <c r="B9" s="7">
        <f>Workings!B8</f>
        <v/>
      </c>
      <c r="C9" s="8" t="inlineStr">
        <is>
          <t>September 548</t>
        </is>
      </c>
    </row>
    <row r="10">
      <c r="A10" t="inlineStr">
        <is>
          <t>Couldn't reach, October so far</t>
        </is>
      </c>
      <c r="B10" s="7">
        <f>Workings!B18</f>
        <v/>
      </c>
      <c r="C10" s="8" t="inlineStr">
        <is>
          <t>September 100</t>
        </is>
      </c>
    </row>
    <row r="11">
      <c r="A11" t="inlineStr">
        <is>
          <t>Share reached, October so far</t>
        </is>
      </c>
      <c r="B11" s="9">
        <f>Workings!B28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October 2026 to date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Workings!B37</f>
        <v/>
      </c>
      <c r="C15" s="7">
        <f>Workings!B35</f>
        <v/>
      </c>
    </row>
    <row r="16">
      <c r="A16" t="inlineStr">
        <is>
          <t>Youth outreach</t>
        </is>
      </c>
      <c r="B16" s="9">
        <f>Workings!B45</f>
        <v/>
      </c>
      <c r="C16" s="7">
        <f>Workings!B43</f>
        <v/>
      </c>
    </row>
    <row r="17">
      <c r="A17" t="inlineStr">
        <is>
          <t>Mental health first aid</t>
        </is>
      </c>
      <c r="B17" s="9">
        <f>Workings!B53</f>
        <v/>
      </c>
      <c r="C17" s="7">
        <f>Workings!B51</f>
        <v/>
      </c>
    </row>
    <row r="18">
      <c r="A18" t="inlineStr">
        <is>
          <t>Housing support</t>
        </is>
      </c>
      <c r="B18" s="9">
        <f>Workings!B61</f>
        <v/>
      </c>
      <c r="C18" s="7">
        <f>Workings!B59</f>
        <v/>
      </c>
    </row>
    <row r="19">
      <c r="A19" t="inlineStr">
        <is>
          <t>Digital literacy</t>
        </is>
      </c>
      <c r="B19" s="9">
        <f>Workings!B69</f>
        <v/>
      </c>
      <c r="C19" s="7">
        <f>Workings!B67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October 2026 to date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6</t>
        </is>
      </c>
    </row>
    <row r="32">
      <c r="A32" s="12" t="inlineStr">
        <is>
          <t>Waitlist</t>
        </is>
      </c>
      <c r="B32" s="13" t="inlineStr">
        <is>
          <t>5</t>
        </is>
      </c>
    </row>
    <row r="33">
      <c r="A33" s="12" t="inlineStr">
        <is>
          <t>Outside the service area</t>
        </is>
      </c>
      <c r="B33" s="13" t="inlineStr">
        <is>
          <t>1</t>
        </is>
      </c>
    </row>
    <row r="34"/>
    <row r="35">
      <c r="A35" s="14" t="inlineStr">
        <is>
          <t>What it shows</t>
        </is>
      </c>
    </row>
    <row r="36" ht="30" customHeight="1">
      <c r="A36" s="4" t="inlineStr">
        <is>
          <t>78 people were helped in October so far, and 12 came to a program but couldn't be helped: 86.7% reached (target 90.0%), against 84.6% in September.</t>
        </is>
      </c>
    </row>
    <row r="37"/>
    <row r="38">
      <c r="A38" s="14" t="inlineStr">
        <is>
          <t>What you'd do about it</t>
        </is>
      </c>
    </row>
    <row r="39" ht="30" customHeight="1">
      <c r="A39" s="4" t="inlineStr">
        <is>
          <t>Mental health first aid reached the smallest share: 73.3% (4 couldn't be helped). The main reason: program at capacity (6 people).</t>
        </is>
      </c>
    </row>
    <row r="40"/>
    <row r="41"/>
  </sheetData>
  <mergeCells count="4">
    <mergeCell ref="A5:D5"/>
    <mergeCell ref="A39:D39"/>
    <mergeCell ref="A36:D3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15" t="inlineStr">
        <is>
          <t>People helped, October and September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People helped</t>
        </is>
      </c>
      <c r="B8" s="16" t="n">
        <v>78</v>
      </c>
      <c r="C8" s="16" t="n">
        <v>548</v>
      </c>
    </row>
    <row r="9">
      <c r="A9" t="inlineStr">
        <is>
          <t>People not reached</t>
        </is>
      </c>
      <c r="B9" s="16" t="n">
        <v>12</v>
      </c>
      <c r="C9" s="16" t="n">
        <v>100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5" t="inlineStr">
        <is>
          <t>People helped, October and September</t>
        </is>
      </c>
    </row>
    <row r="15">
      <c r="A15" s="11" t="inlineStr">
        <is>
          <t>Helped ÷ (helped + couldn't reach)</t>
        </is>
      </c>
    </row>
    <row r="16">
      <c r="A16" s="5" t="inlineStr"/>
      <c r="B16" s="6" t="inlineStr">
        <is>
          <t>Oct 26</t>
        </is>
      </c>
      <c r="C16" s="6" t="inlineStr">
        <is>
          <t>Sep 26</t>
        </is>
      </c>
    </row>
    <row r="17">
      <c r="A17" t="inlineStr">
        <is>
          <t>People helped</t>
        </is>
      </c>
      <c r="B17" s="16" t="n">
        <v>78</v>
      </c>
      <c r="C17" s="16" t="n">
        <v>548</v>
      </c>
    </row>
    <row r="18">
      <c r="A18" t="inlineStr">
        <is>
          <t>People not reached</t>
        </is>
      </c>
      <c r="B18" s="16" t="n">
        <v>12</v>
      </c>
      <c r="C18" s="16" t="n">
        <v>100</v>
      </c>
    </row>
    <row r="19">
      <c r="A19" s="17" t="inlineStr">
        <is>
          <t>Share reached</t>
        </is>
      </c>
      <c r="B19" s="18">
        <f>B17/(B17+B18)</f>
        <v/>
      </c>
      <c r="C19" s="18">
        <f>C17/(C17+C18)</f>
        <v/>
      </c>
    </row>
    <row r="20">
      <c r="A20" s="2" t="inlineStr">
        <is>
          <t>October is still in progress (data to 6 October), so it is a part month against full months.</t>
        </is>
      </c>
    </row>
    <row r="21"/>
    <row r="22"/>
    <row r="23">
      <c r="A23" s="15" t="inlineStr">
        <is>
          <t>People helped, October and September</t>
        </is>
      </c>
    </row>
    <row r="24">
      <c r="A24" s="11" t="inlineStr">
        <is>
          <t>Helped ÷ (helped + couldn't reach)</t>
        </is>
      </c>
    </row>
    <row r="25">
      <c r="A25" s="5" t="inlineStr"/>
      <c r="B25" s="6" t="inlineStr">
        <is>
          <t>Oct 26</t>
        </is>
      </c>
      <c r="C25" s="6" t="inlineStr">
        <is>
          <t>Sep 26</t>
        </is>
      </c>
    </row>
    <row r="26">
      <c r="A26" t="inlineStr">
        <is>
          <t>People helped</t>
        </is>
      </c>
      <c r="B26" s="16" t="n">
        <v>78</v>
      </c>
      <c r="C26" s="16" t="n">
        <v>548</v>
      </c>
    </row>
    <row r="27">
      <c r="A27" t="inlineStr">
        <is>
          <t>People not reached</t>
        </is>
      </c>
      <c r="B27" s="16" t="n">
        <v>12</v>
      </c>
      <c r="C27" s="16" t="n">
        <v>100</v>
      </c>
    </row>
    <row r="28">
      <c r="A28" s="17" t="inlineStr">
        <is>
          <t>Share reached</t>
        </is>
      </c>
      <c r="B28" s="18">
        <f>B26/(B26+B27)</f>
        <v/>
      </c>
      <c r="C28" s="18">
        <f>C26/(C26+C27)</f>
        <v/>
      </c>
    </row>
    <row r="29">
      <c r="A29" s="2" t="inlineStr">
        <is>
          <t>October is still in progress (data to 6 October), so it is a part month against full months.</t>
        </is>
      </c>
    </row>
    <row r="30"/>
    <row r="31"/>
    <row r="32">
      <c r="A32" s="15" t="inlineStr">
        <is>
          <t>Community meals, October 2026 to date</t>
        </is>
      </c>
    </row>
    <row r="33">
      <c r="A33" s="11" t="inlineStr">
        <is>
          <t>Helped ÷ (helped + couldn't reach)</t>
        </is>
      </c>
    </row>
    <row r="34">
      <c r="A34" s="5" t="inlineStr"/>
      <c r="B34" s="6" t="inlineStr">
        <is>
          <t>Oct 2026</t>
        </is>
      </c>
    </row>
    <row r="35">
      <c r="A35" t="inlineStr">
        <is>
          <t>People helped</t>
        </is>
      </c>
      <c r="B35" s="16" t="n">
        <v>28</v>
      </c>
    </row>
    <row r="36">
      <c r="A36" t="inlineStr">
        <is>
          <t>Couldn't reach</t>
        </is>
      </c>
      <c r="B36" s="16" t="n">
        <v>5</v>
      </c>
    </row>
    <row r="37">
      <c r="A37" s="17" t="inlineStr">
        <is>
          <t>Share reached</t>
        </is>
      </c>
      <c r="B37" s="18">
        <f>B35/(B35+B36)</f>
        <v/>
      </c>
    </row>
    <row r="38"/>
    <row r="39"/>
    <row r="40">
      <c r="A40" s="15" t="inlineStr">
        <is>
          <t>Youth outreach, October 2026 to date</t>
        </is>
      </c>
    </row>
    <row r="41">
      <c r="A41" s="11" t="inlineStr">
        <is>
          <t>Helped ÷ (helped + couldn't reach)</t>
        </is>
      </c>
    </row>
    <row r="42">
      <c r="A42" s="5" t="inlineStr"/>
      <c r="B42" s="6" t="inlineStr">
        <is>
          <t>Oct 2026</t>
        </is>
      </c>
    </row>
    <row r="43">
      <c r="A43" t="inlineStr">
        <is>
          <t>People helped</t>
        </is>
      </c>
      <c r="B43" s="16" t="n">
        <v>18</v>
      </c>
    </row>
    <row r="44">
      <c r="A44" t="inlineStr">
        <is>
          <t>Couldn't reach</t>
        </is>
      </c>
      <c r="B44" s="16" t="n">
        <v>2</v>
      </c>
    </row>
    <row r="45">
      <c r="A45" s="17" t="inlineStr">
        <is>
          <t>Share reached</t>
        </is>
      </c>
      <c r="B45" s="18">
        <f>B43/(B43+B44)</f>
        <v/>
      </c>
    </row>
    <row r="46"/>
    <row r="47"/>
    <row r="48">
      <c r="A48" s="15" t="inlineStr">
        <is>
          <t>Mental health first aid, October 2026 to date</t>
        </is>
      </c>
    </row>
    <row r="49">
      <c r="A49" s="11" t="inlineStr">
        <is>
          <t>Helped ÷ (helped + couldn't reach)</t>
        </is>
      </c>
    </row>
    <row r="50">
      <c r="A50" s="5" t="inlineStr"/>
      <c r="B50" s="6" t="inlineStr">
        <is>
          <t>Oct 2026</t>
        </is>
      </c>
    </row>
    <row r="51">
      <c r="A51" t="inlineStr">
        <is>
          <t>People helped</t>
        </is>
      </c>
      <c r="B51" s="16" t="n">
        <v>11</v>
      </c>
    </row>
    <row r="52">
      <c r="A52" t="inlineStr">
        <is>
          <t>Couldn't reach</t>
        </is>
      </c>
      <c r="B52" s="16" t="n">
        <v>4</v>
      </c>
    </row>
    <row r="53">
      <c r="A53" s="17" t="inlineStr">
        <is>
          <t>Share reached</t>
        </is>
      </c>
      <c r="B53" s="18">
        <f>B51/(B51+B52)</f>
        <v/>
      </c>
    </row>
    <row r="54"/>
    <row r="55"/>
    <row r="56">
      <c r="A56" s="15" t="inlineStr">
        <is>
          <t>Housing support, October 2026 to date</t>
        </is>
      </c>
    </row>
    <row r="57">
      <c r="A57" s="11" t="inlineStr">
        <is>
          <t>Helped ÷ (helped + couldn't reach)</t>
        </is>
      </c>
    </row>
    <row r="58">
      <c r="A58" s="5" t="inlineStr"/>
      <c r="B58" s="6" t="inlineStr">
        <is>
          <t>Oct 2026</t>
        </is>
      </c>
    </row>
    <row r="59">
      <c r="A59" t="inlineStr">
        <is>
          <t>People helped</t>
        </is>
      </c>
      <c r="B59" s="16" t="n">
        <v>14</v>
      </c>
    </row>
    <row r="60">
      <c r="A60" t="inlineStr">
        <is>
          <t>Couldn't reach</t>
        </is>
      </c>
      <c r="B60" s="16" t="n">
        <v>0</v>
      </c>
    </row>
    <row r="61">
      <c r="A61" s="17" t="inlineStr">
        <is>
          <t>Share reached</t>
        </is>
      </c>
      <c r="B61" s="18">
        <f>B59/(B59+B60)</f>
        <v/>
      </c>
    </row>
    <row r="62"/>
    <row r="63"/>
    <row r="64">
      <c r="A64" s="15" t="inlineStr">
        <is>
          <t>Digital literacy, October 2026 to date</t>
        </is>
      </c>
    </row>
    <row r="65">
      <c r="A65" s="11" t="inlineStr">
        <is>
          <t>Helped ÷ (helped + couldn't reach)</t>
        </is>
      </c>
    </row>
    <row r="66">
      <c r="A66" s="5" t="inlineStr"/>
      <c r="B66" s="6" t="inlineStr">
        <is>
          <t>Oct 2026</t>
        </is>
      </c>
    </row>
    <row r="67">
      <c r="A67" t="inlineStr">
        <is>
          <t>People helped</t>
        </is>
      </c>
      <c r="B67" s="16" t="n">
        <v>7</v>
      </c>
    </row>
    <row r="68">
      <c r="A68" t="inlineStr">
        <is>
          <t>Couldn't reach</t>
        </is>
      </c>
      <c r="B68" s="16" t="n">
        <v>1</v>
      </c>
    </row>
    <row r="69">
      <c r="A69" s="17" t="inlineStr">
        <is>
          <t>Share reached</t>
        </is>
      </c>
      <c r="B69" s="18">
        <f>B67/(B67+B68)</f>
        <v/>
      </c>
    </row>
    <row r="70"/>
    <row r="71"/>
    <row r="72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1" min="0" max="16383" man="1"/>
    <brk id="6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October 2026 to date: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Nov 24</t>
        </is>
      </c>
      <c r="B6" s="19" t="inlineStr">
        <is>
          <t>Locked</t>
        </is>
      </c>
      <c r="C6" s="16" t="n">
        <v>211</v>
      </c>
      <c r="D6" s="16" t="n">
        <v>12</v>
      </c>
      <c r="E6" s="20">
        <f>IF(C6+D6=0,"",C6/(C6+D6))</f>
        <v/>
      </c>
    </row>
    <row r="7">
      <c r="A7" s="19" t="inlineStr">
        <is>
          <t>Dec 24</t>
        </is>
      </c>
      <c r="B7" s="19" t="inlineStr">
        <is>
          <t>Locked</t>
        </is>
      </c>
      <c r="C7" s="16" t="n">
        <v>195</v>
      </c>
      <c r="D7" s="16" t="n">
        <v>20</v>
      </c>
      <c r="E7" s="20">
        <f>IF(C7+D7=0,"",C7/(C7+D7))</f>
        <v/>
      </c>
    </row>
    <row r="8">
      <c r="A8" s="19" t="inlineStr">
        <is>
          <t>Jan 25</t>
        </is>
      </c>
      <c r="B8" s="19" t="inlineStr">
        <is>
          <t>Locked</t>
        </is>
      </c>
      <c r="C8" s="16" t="n">
        <v>308</v>
      </c>
      <c r="D8" s="16" t="n">
        <v>27</v>
      </c>
      <c r="E8" s="20">
        <f>IF(C8+D8=0,"",C8/(C8+D8))</f>
        <v/>
      </c>
    </row>
    <row r="9">
      <c r="A9" s="19" t="inlineStr">
        <is>
          <t>Feb 25</t>
        </is>
      </c>
      <c r="B9" s="19" t="inlineStr">
        <is>
          <t>Locked</t>
        </is>
      </c>
      <c r="C9" s="16" t="n">
        <v>297</v>
      </c>
      <c r="D9" s="16" t="n">
        <v>20</v>
      </c>
      <c r="E9" s="20">
        <f>IF(C9+D9=0,"",C9/(C9+D9))</f>
        <v/>
      </c>
    </row>
    <row r="10">
      <c r="A10" s="19" t="inlineStr">
        <is>
          <t>Mar 25</t>
        </is>
      </c>
      <c r="B10" s="19" t="inlineStr">
        <is>
          <t>Locked</t>
        </is>
      </c>
      <c r="C10" s="16" t="n">
        <v>278</v>
      </c>
      <c r="D10" s="16" t="n">
        <v>25</v>
      </c>
      <c r="E10" s="20">
        <f>IF(C10+D10=0,"",C10/(C10+D10))</f>
        <v/>
      </c>
    </row>
    <row r="11">
      <c r="A11" s="19" t="inlineStr">
        <is>
          <t>Apr 25</t>
        </is>
      </c>
      <c r="B11" s="19" t="inlineStr">
        <is>
          <t>Locked</t>
        </is>
      </c>
      <c r="C11" s="16" t="n">
        <v>314</v>
      </c>
      <c r="D11" s="16" t="n">
        <v>25</v>
      </c>
      <c r="E11" s="20">
        <f>IF(C11+D11=0,"",C11/(C11+D11))</f>
        <v/>
      </c>
    </row>
    <row r="12">
      <c r="A12" s="19" t="inlineStr">
        <is>
          <t>May 25</t>
        </is>
      </c>
      <c r="B12" s="19" t="inlineStr">
        <is>
          <t>Locked</t>
        </is>
      </c>
      <c r="C12" s="16" t="n">
        <v>305</v>
      </c>
      <c r="D12" s="16" t="n">
        <v>34</v>
      </c>
      <c r="E12" s="20">
        <f>IF(C12+D12=0,"",C12/(C12+D12))</f>
        <v/>
      </c>
    </row>
    <row r="13">
      <c r="A13" s="19" t="inlineStr">
        <is>
          <t>Jun 25</t>
        </is>
      </c>
      <c r="B13" s="19" t="inlineStr">
        <is>
          <t>Locked</t>
        </is>
      </c>
      <c r="C13" s="16" t="n">
        <v>265</v>
      </c>
      <c r="D13" s="16" t="n">
        <v>32</v>
      </c>
      <c r="E13" s="20">
        <f>IF(C13+D13=0,"",C13/(C13+D13))</f>
        <v/>
      </c>
    </row>
    <row r="14">
      <c r="A14" s="19" t="inlineStr">
        <is>
          <t>Jul 25</t>
        </is>
      </c>
      <c r="B14" s="19" t="inlineStr">
        <is>
          <t>Locked</t>
        </is>
      </c>
      <c r="C14" s="16" t="n">
        <v>425</v>
      </c>
      <c r="D14" s="16" t="n">
        <v>68</v>
      </c>
      <c r="E14" s="20">
        <f>IF(C14+D14=0,"",C14/(C14+D14))</f>
        <v/>
      </c>
    </row>
    <row r="15">
      <c r="A15" s="19" t="inlineStr">
        <is>
          <t>Aug 25</t>
        </is>
      </c>
      <c r="B15" s="19" t="inlineStr">
        <is>
          <t>Locked</t>
        </is>
      </c>
      <c r="C15" s="16" t="n">
        <v>446</v>
      </c>
      <c r="D15" s="16" t="n">
        <v>65</v>
      </c>
      <c r="E15" s="20">
        <f>IF(C15+D15=0,"",C15/(C15+D15))</f>
        <v/>
      </c>
    </row>
    <row r="16">
      <c r="A16" s="19" t="inlineStr">
        <is>
          <t>Sep 25</t>
        </is>
      </c>
      <c r="B16" s="19" t="inlineStr">
        <is>
          <t>Locked</t>
        </is>
      </c>
      <c r="C16" s="16" t="n">
        <v>474</v>
      </c>
      <c r="D16" s="16" t="n">
        <v>55</v>
      </c>
      <c r="E16" s="20">
        <f>IF(C16+D16=0,"",C16/(C16+D16))</f>
        <v/>
      </c>
    </row>
    <row r="17">
      <c r="A17" s="19" t="inlineStr">
        <is>
          <t>Oct 25</t>
        </is>
      </c>
      <c r="B17" s="19" t="inlineStr">
        <is>
          <t>Locked</t>
        </is>
      </c>
      <c r="C17" s="16" t="n">
        <v>506</v>
      </c>
      <c r="D17" s="16" t="n">
        <v>50</v>
      </c>
      <c r="E17" s="20">
        <f>IF(C17+D17=0,"",C17/(C17+D17))</f>
        <v/>
      </c>
    </row>
    <row r="18">
      <c r="A18" s="19" t="inlineStr">
        <is>
          <t>Nov 25</t>
        </is>
      </c>
      <c r="B18" s="19" t="inlineStr">
        <is>
          <t>Locked</t>
        </is>
      </c>
      <c r="C18" s="16" t="n">
        <v>495</v>
      </c>
      <c r="D18" s="16" t="n">
        <v>52</v>
      </c>
      <c r="E18" s="20">
        <f>IF(C18+D18=0,"",C18/(C18+D18))</f>
        <v/>
      </c>
    </row>
    <row r="19">
      <c r="A19" s="19" t="inlineStr">
        <is>
          <t>Dec 25</t>
        </is>
      </c>
      <c r="B19" s="19" t="inlineStr">
        <is>
          <t>Locked</t>
        </is>
      </c>
      <c r="C19" s="16" t="n">
        <v>521</v>
      </c>
      <c r="D19" s="16" t="n">
        <v>43</v>
      </c>
      <c r="E19" s="20">
        <f>IF(C19+D19=0,"",C19/(C19+D19))</f>
        <v/>
      </c>
    </row>
    <row r="20">
      <c r="A20" s="19" t="inlineStr">
        <is>
          <t>Jan 26</t>
        </is>
      </c>
      <c r="B20" s="19" t="inlineStr">
        <is>
          <t>Locked</t>
        </is>
      </c>
      <c r="C20" s="16" t="n">
        <v>427</v>
      </c>
      <c r="D20" s="16" t="n">
        <v>49</v>
      </c>
      <c r="E20" s="20">
        <f>IF(C20+D20=0,"",C20/(C20+D20))</f>
        <v/>
      </c>
    </row>
    <row r="21">
      <c r="A21" s="19" t="inlineStr">
        <is>
          <t>Feb 26</t>
        </is>
      </c>
      <c r="B21" s="19" t="inlineStr">
        <is>
          <t>Locked</t>
        </is>
      </c>
      <c r="C21" s="16" t="n">
        <v>396</v>
      </c>
      <c r="D21" s="16" t="n">
        <v>43</v>
      </c>
      <c r="E21" s="20">
        <f>IF(C21+D21=0,"",C21/(C21+D21))</f>
        <v/>
      </c>
    </row>
    <row r="22">
      <c r="A22" s="19" t="inlineStr">
        <is>
          <t>Mar 26</t>
        </is>
      </c>
      <c r="B22" s="19" t="inlineStr">
        <is>
          <t>Locked</t>
        </is>
      </c>
      <c r="C22" s="16" t="n">
        <v>412</v>
      </c>
      <c r="D22" s="16" t="n">
        <v>69</v>
      </c>
      <c r="E22" s="20">
        <f>IF(C22+D22=0,"",C22/(C22+D22))</f>
        <v/>
      </c>
    </row>
    <row r="23">
      <c r="A23" s="19" t="inlineStr">
        <is>
          <t>Apr 26</t>
        </is>
      </c>
      <c r="B23" s="19" t="inlineStr">
        <is>
          <t>Locked</t>
        </is>
      </c>
      <c r="C23" s="16" t="n">
        <v>491</v>
      </c>
      <c r="D23" s="16" t="n">
        <v>93</v>
      </c>
      <c r="E23" s="20">
        <f>IF(C23+D23=0,"",C23/(C23+D23))</f>
        <v/>
      </c>
    </row>
    <row r="24">
      <c r="A24" s="19" t="inlineStr">
        <is>
          <t>May 26</t>
        </is>
      </c>
      <c r="B24" s="19" t="inlineStr">
        <is>
          <t>Locked</t>
        </is>
      </c>
      <c r="C24" s="16" t="n">
        <v>487</v>
      </c>
      <c r="D24" s="16" t="n">
        <v>62</v>
      </c>
      <c r="E24" s="20">
        <f>IF(C24+D24=0,"",C24/(C24+D24))</f>
        <v/>
      </c>
    </row>
    <row r="25">
      <c r="A25" s="19" t="inlineStr">
        <is>
          <t>Jun 26</t>
        </is>
      </c>
      <c r="B25" s="19" t="inlineStr">
        <is>
          <t>Locked</t>
        </is>
      </c>
      <c r="C25" s="16" t="n">
        <v>490</v>
      </c>
      <c r="D25" s="16" t="n">
        <v>95</v>
      </c>
      <c r="E25" s="20">
        <f>IF(C25+D25=0,"",C25/(C25+D25))</f>
        <v/>
      </c>
    </row>
    <row r="26">
      <c r="A26" s="19" t="inlineStr">
        <is>
          <t>Jul 26</t>
        </is>
      </c>
      <c r="B26" s="19" t="inlineStr">
        <is>
          <t>Locked</t>
        </is>
      </c>
      <c r="C26" s="16" t="n">
        <v>497</v>
      </c>
      <c r="D26" s="16" t="n">
        <v>94</v>
      </c>
      <c r="E26" s="20">
        <f>IF(C26+D26=0,"",C26/(C26+D26))</f>
        <v/>
      </c>
    </row>
    <row r="27">
      <c r="A27" s="19" t="inlineStr">
        <is>
          <t>Aug 26</t>
        </is>
      </c>
      <c r="B27" s="19" t="inlineStr">
        <is>
          <t>Locked</t>
        </is>
      </c>
      <c r="C27" s="16" t="n">
        <v>522</v>
      </c>
      <c r="D27" s="16" t="n">
        <v>93</v>
      </c>
      <c r="E27" s="20">
        <f>IF(C27+D27=0,"",C27/(C27+D27))</f>
        <v/>
      </c>
    </row>
    <row r="28">
      <c r="A28" s="19" t="inlineStr">
        <is>
          <t>Sep 26</t>
        </is>
      </c>
      <c r="B28" s="19" t="inlineStr">
        <is>
          <t>Locked</t>
        </is>
      </c>
      <c r="C28" s="16" t="n">
        <v>548</v>
      </c>
      <c r="D28" s="16" t="n">
        <v>100</v>
      </c>
      <c r="E28" s="20">
        <f>IF(C28+D28=0,"",C28/(C28+D28))</f>
        <v/>
      </c>
    </row>
    <row r="29">
      <c r="A29" s="19" t="inlineStr">
        <is>
          <t>Oct 26</t>
        </is>
      </c>
      <c r="B29" s="19" t="inlineStr">
        <is>
          <t>Incomplete</t>
        </is>
      </c>
      <c r="C29" s="16" t="n">
        <v>78</v>
      </c>
      <c r="D29" s="16" t="n">
        <v>12</v>
      </c>
      <c r="E29" s="20">
        <f>IF(C29+D29=0,"",C29/(C29+D29))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