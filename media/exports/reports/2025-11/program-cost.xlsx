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_xlnm.Print_Area" localSheetId="0">'Report'!$A$1:$D$65</definedName>
    <definedName name="_xlnm.Print_Area" localSheetId="1">'Workings'!$A$1:$B$67</definedName>
    <definedName name="_xlnm.Print_Titles" localSheetId="2">'Data'!$9:$9</definedName>
    <definedName name="_xlnm.Print_Area" localSheetId="2">'Data'!$A$1:$F$14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0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2F7A5D"/>
      <sz val="12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165" fontId="0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Full cost of each program, November 2025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$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'Report'!$A$11:$A$15</f>
            </numRef>
          </cat>
          <val>
            <numRef>
              <f>'Report'!$B$11:$B$15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9</row>
      <rowOff>0</rowOff>
    </from>
    <ext cx="5400000" cy="207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rogram_cost_Data" displayName="program_cost_Data" ref="A9:F14" headerRowCount="1">
  <autoFilter ref="A9:F14"/>
  <tableColumns count="6">
    <tableColumn id="1" name="Program"/>
    <tableColumn id="2" name="Grant spending, Nov 2025"/>
    <tableColumn id="3" name="Share"/>
    <tableColumn id="4" name="Untied costs share"/>
    <tableColumn id="5" name="Administration share"/>
    <tableColumn id="6" name="Full cost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7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each program really cost?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November 2025 · Data status: Nov 2025 locked (data retrieved 2pm, Tue 6 Oct 2026) · Generated 22 Oct 2026, 4:57pm</t>
        </is>
      </c>
    </row>
    <row r="4"/>
    <row r="5" ht="32" customHeight="1">
      <c r="A5" s="3" t="inlineStr">
        <is>
          <t>In short: Housing support (2025) costs $52,362 in full in November: $22,362 more than its grant spending, once its share of shared costs is added.</t>
        </is>
      </c>
    </row>
    <row r="6" ht="32" customHeight="1">
      <c r="A6" s="4" t="inlineStr">
        <is>
          <t>Each program's full cost: what its grant pays for, plus its fair share of the costs no single grant covers (untied program costs and administration, shared by grant spending). Pick a program and every chart and note follows it.</t>
        </is>
      </c>
    </row>
    <row r="7"/>
    <row r="8">
      <c r="A8" s="5" t="inlineStr">
        <is>
          <t>Program: All programs</t>
        </is>
      </c>
    </row>
    <row r="9">
      <c r="A9" s="6" t="inlineStr">
        <is>
          <t>Full cost of each program, November 2025</t>
        </is>
      </c>
    </row>
    <row r="10">
      <c r="A10" s="7" t="inlineStr"/>
      <c r="B10" s="8" t="inlineStr">
        <is>
          <t>$</t>
        </is>
      </c>
      <c r="C10" s="8" t="inlineStr">
        <is>
          <t>% of total</t>
        </is>
      </c>
    </row>
    <row r="11">
      <c r="A11" t="inlineStr">
        <is>
          <t>Housing support (2025)</t>
        </is>
      </c>
      <c r="B11" s="9">
        <f>Workings!B15</f>
        <v/>
      </c>
      <c r="C11" s="10">
        <f>Workings!B10</f>
        <v/>
      </c>
    </row>
    <row r="12">
      <c r="A12" t="inlineStr">
        <is>
          <t>Youth outreach</t>
        </is>
      </c>
      <c r="B12" s="9">
        <f>Workings!B28</f>
        <v/>
      </c>
      <c r="C12" s="10">
        <f>Workings!B23</f>
        <v/>
      </c>
    </row>
    <row r="13">
      <c r="A13" t="inlineStr">
        <is>
          <t>Emergency relief</t>
        </is>
      </c>
      <c r="B13" s="9">
        <f>Workings!B41</f>
        <v/>
      </c>
      <c r="C13" s="10">
        <f>Workings!B36</f>
        <v/>
      </c>
    </row>
    <row r="14">
      <c r="A14" t="inlineStr">
        <is>
          <t>Digital literacy</t>
        </is>
      </c>
      <c r="B14" s="9">
        <f>Workings!B54</f>
        <v/>
      </c>
      <c r="C14" s="10">
        <f>Workings!B49</f>
        <v/>
      </c>
    </row>
    <row r="15">
      <c r="A15" t="inlineStr">
        <is>
          <t>Community meals (2025-26)</t>
        </is>
      </c>
      <c r="B15" s="9">
        <f>Workings!B67</f>
        <v/>
      </c>
      <c r="C15" s="10">
        <f>Workings!B62</f>
        <v/>
      </c>
    </row>
    <row r="16"/>
    <row r="17"/>
    <row r="18"/>
    <row r="19"/>
    <row r="20"/>
    <row r="21"/>
    <row r="22"/>
    <row r="23">
      <c r="A23" s="11" t="inlineStr">
        <is>
          <t>What it shows</t>
        </is>
      </c>
    </row>
    <row r="24" ht="45" customHeight="1">
      <c r="A24" s="4" t="inlineStr">
        <is>
          <t>Housing support (2025) is the biggest program: $52,362 in November once its share of untied program costs and administration is added to $30,000 of grant spending. Shared costs add 74.5% on top of grant spending across all programs.</t>
        </is>
      </c>
    </row>
    <row r="25"/>
    <row r="26">
      <c r="A26" s="11" t="inlineStr">
        <is>
          <t>What you'd do about it</t>
        </is>
      </c>
    </row>
    <row r="27" ht="30" customHeight="1">
      <c r="A27" s="4" t="inlineStr">
        <is>
          <t>The full cost (not just the grant line) is the number for renewal applications, where the funder lets you recover a share of overheads. Pick a program above to see it on its own.</t>
        </is>
      </c>
    </row>
    <row r="28"/>
    <row r="29">
      <c r="A29" s="5" t="inlineStr">
        <is>
          <t>Program: Housing support (2025)</t>
        </is>
      </c>
    </row>
    <row r="30">
      <c r="A30" s="11" t="inlineStr">
        <is>
          <t>What it shows</t>
        </is>
      </c>
    </row>
    <row r="31" ht="45" customHeight="1">
      <c r="A31" s="4" t="inlineStr">
        <is>
          <t>Housing support (2025) cost $52,362 in full in November: $30,000 paid by the State Housing Program grant, and $22,362 of shared costs no grant covers. It has spent 99.6% of its budget to date, with $29,100 left and 1 months to go.</t>
        </is>
      </c>
    </row>
    <row r="32"/>
    <row r="33">
      <c r="A33" s="11" t="inlineStr">
        <is>
          <t>What you'd do about it</t>
        </is>
      </c>
    </row>
    <row r="34" ht="30" customHeight="1">
      <c r="A34" s="4" t="inlineStr">
        <is>
          <t>The full cost is $52,362 a month; $22,362 of it is shared cost the grant doesn't pay for. Worth asking for as much of it as the funder allows at renewal.</t>
        </is>
      </c>
    </row>
    <row r="35"/>
    <row r="36">
      <c r="A36" s="5" t="inlineStr">
        <is>
          <t>Program: Youth outreach</t>
        </is>
      </c>
    </row>
    <row r="37">
      <c r="A37" s="11" t="inlineStr">
        <is>
          <t>What it shows</t>
        </is>
      </c>
    </row>
    <row r="38" ht="45" customHeight="1">
      <c r="A38" s="4" t="inlineStr">
        <is>
          <t>Youth outreach cost $36,791 in full in November: $21,079 paid by the State Department of Families grant, and $15,712 of shared costs no grant covers. It has spent 99.0% of its budget to date, with $380,952 left and 19 months to go.</t>
        </is>
      </c>
    </row>
    <row r="39"/>
    <row r="40">
      <c r="A40" s="11" t="inlineStr">
        <is>
          <t>What you'd do about it</t>
        </is>
      </c>
    </row>
    <row r="41" ht="30" customHeight="1">
      <c r="A41" s="4" t="inlineStr">
        <is>
          <t>The full cost is $36,791 a month; $15,712 of it is shared cost the grant doesn't pay for. Worth asking for as much of it as the funder allows at renewal.</t>
        </is>
      </c>
    </row>
    <row r="42"/>
    <row r="43">
      <c r="A43" s="5" t="inlineStr">
        <is>
          <t>Program: Emergency relief</t>
        </is>
      </c>
    </row>
    <row r="44">
      <c r="A44" s="11" t="inlineStr">
        <is>
          <t>What it shows</t>
        </is>
      </c>
    </row>
    <row r="45" ht="45" customHeight="1">
      <c r="A45" s="4" t="inlineStr">
        <is>
          <t>Emergency relief cost $19,898 in full in November: $11,400 paid by the Federal community grant grant, and $8,498 of shared costs no grant covers. It has spent 99.7% of its budget to date (spending before October 2024 taken at budget), with $12,900 left and 1 months to go.</t>
        </is>
      </c>
    </row>
    <row r="46"/>
    <row r="47">
      <c r="A47" s="11" t="inlineStr">
        <is>
          <t>What you'd do about it</t>
        </is>
      </c>
    </row>
    <row r="48" ht="30" customHeight="1">
      <c r="A48" s="4" t="inlineStr">
        <is>
          <t>The full cost is $19,898 a month; $8,498 of it is shared cost the grant doesn't pay for. Worth asking for as much of it as the funder allows at renewal.</t>
        </is>
      </c>
    </row>
    <row r="49"/>
    <row r="50">
      <c r="A50" s="5" t="inlineStr">
        <is>
          <t>Program: Digital literacy</t>
        </is>
      </c>
    </row>
    <row r="51">
      <c r="A51" s="11" t="inlineStr">
        <is>
          <t>What it shows</t>
        </is>
      </c>
    </row>
    <row r="52" ht="45" customHeight="1">
      <c r="A52" s="4" t="inlineStr">
        <is>
          <t>Digital literacy cost $8,003 in full in November: $4,585 paid by the Philanthropic foundation grant, and $3,418 of shared costs no grant covers. It has spent 97.5% of its budget to date, with $80,255 left and 16 months to go.</t>
        </is>
      </c>
    </row>
    <row r="53"/>
    <row r="54">
      <c r="A54" s="11" t="inlineStr">
        <is>
          <t>What you'd do about it</t>
        </is>
      </c>
    </row>
    <row r="55" ht="30" customHeight="1">
      <c r="A55" s="4" t="inlineStr">
        <is>
          <t>The full cost is $8,003 a month; $3,418 of it is shared cost the grant doesn't pay for. Worth asking for as much of it as the funder allows at renewal.</t>
        </is>
      </c>
    </row>
    <row r="56"/>
    <row r="57">
      <c r="A57" s="5" t="inlineStr">
        <is>
          <t>Program: Community meals (2025-26)</t>
        </is>
      </c>
    </row>
    <row r="58">
      <c r="A58" s="11" t="inlineStr">
        <is>
          <t>What it shows</t>
        </is>
      </c>
    </row>
    <row r="59" ht="45" customHeight="1">
      <c r="A59" s="4" t="inlineStr">
        <is>
          <t>Community meals (2025-26) cost $5,411 in full in November: $3,100 paid by the Local council community grant grant, and $2,311 of shared costs no grant covers. It has spent 93.8% of its budget to date, with $26,800 left and 7 months to go.</t>
        </is>
      </c>
    </row>
    <row r="60"/>
    <row r="61">
      <c r="A61" s="11" t="inlineStr">
        <is>
          <t>What you'd do about it</t>
        </is>
      </c>
    </row>
    <row r="62" ht="30" customHeight="1">
      <c r="A62" s="4" t="inlineStr">
        <is>
          <t>The full cost is $5,411 a month; $2,311 of it is shared cost the grant doesn't pay for. Worth asking for as much of it as the funder allows at renewal.</t>
        </is>
      </c>
    </row>
    <row r="63"/>
    <row r="64">
      <c r="A64" s="5" t="inlineStr">
        <is>
          <t>Every program at once</t>
        </is>
      </c>
    </row>
    <row r="65">
      <c r="A65" s="12" t="inlineStr">
        <is>
          <t>Grant spending, by month: every month is on the Data sheet.</t>
        </is>
      </c>
    </row>
    <row r="66"/>
    <row r="67"/>
  </sheetData>
  <mergeCells count="14">
    <mergeCell ref="A5:D5"/>
    <mergeCell ref="A45:D45"/>
    <mergeCell ref="A27:D27"/>
    <mergeCell ref="A31:D31"/>
    <mergeCell ref="A6:D6"/>
    <mergeCell ref="A34:D34"/>
    <mergeCell ref="A48:D48"/>
    <mergeCell ref="A62:D62"/>
    <mergeCell ref="A38:D38"/>
    <mergeCell ref="A55:D55"/>
    <mergeCell ref="A52:D52"/>
    <mergeCell ref="A59:D59"/>
    <mergeCell ref="A24:D24"/>
    <mergeCell ref="A41:D41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3" manualBreakCount="3">
    <brk id="22" min="0" max="16383" man="1"/>
    <brk id="43" min="0" max="16383" man="1"/>
    <brk id="6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70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November 2025 · Data status: Nov 2025 locked (data retrieved 2pm, Tue 6 Oct 2026) · Generated 22 Oct 2026, 4:57pm</t>
        </is>
      </c>
    </row>
    <row r="4"/>
    <row r="5">
      <c r="A5" s="5" t="inlineStr">
        <is>
          <t>Housing support (2025): full cost, November</t>
        </is>
      </c>
    </row>
    <row r="6">
      <c r="A6" s="12" t="inlineStr">
        <is>
          <t>Grant spending + its share of untied program costs and administration (shared by grant spending)</t>
        </is>
      </c>
    </row>
    <row r="7">
      <c r="A7" s="7" t="inlineStr"/>
      <c r="B7" s="8" t="inlineStr">
        <is>
          <t>Nov 2025</t>
        </is>
      </c>
    </row>
    <row r="8">
      <c r="A8" t="inlineStr">
        <is>
          <t>Grant spending on the program</t>
        </is>
      </c>
      <c r="B8" s="13" t="n">
        <v>30000</v>
      </c>
    </row>
    <row r="9">
      <c r="A9" t="inlineStr">
        <is>
          <t>All grant-funded program spending</t>
        </is>
      </c>
      <c r="B9" s="13" t="n">
        <v>70164</v>
      </c>
    </row>
    <row r="10">
      <c r="A10" t="inlineStr">
        <is>
          <t>Share of program spending</t>
        </is>
      </c>
      <c r="B10" s="14">
        <f>B8/B9</f>
        <v/>
      </c>
    </row>
    <row r="11">
      <c r="A11" t="inlineStr">
        <is>
          <t>Untied program costs (all programs)</t>
        </is>
      </c>
      <c r="B11" s="13" t="n">
        <v>16900</v>
      </c>
    </row>
    <row r="12">
      <c r="A12" t="inlineStr">
        <is>
          <t>Share of untied program costs</t>
        </is>
      </c>
      <c r="B12" s="13">
        <f>B10*B11</f>
        <v/>
      </c>
    </row>
    <row r="13">
      <c r="A13" t="inlineStr">
        <is>
          <t>Administration (all)</t>
        </is>
      </c>
      <c r="B13" s="13" t="n">
        <v>35400</v>
      </c>
    </row>
    <row r="14">
      <c r="A14" t="inlineStr">
        <is>
          <t>Share of administration</t>
        </is>
      </c>
      <c r="B14" s="13">
        <f>B10*B13</f>
        <v/>
      </c>
    </row>
    <row r="15">
      <c r="A15" s="15" t="inlineStr">
        <is>
          <t>Full cost of the program</t>
        </is>
      </c>
      <c r="B15" s="16">
        <f>B8+B12+B14</f>
        <v/>
      </c>
    </row>
    <row r="16"/>
    <row r="17"/>
    <row r="18">
      <c r="A18" s="5" t="inlineStr">
        <is>
          <t>Youth outreach: full cost, November</t>
        </is>
      </c>
    </row>
    <row r="19">
      <c r="A19" s="12" t="inlineStr">
        <is>
          <t>Grant spending + its share of untied program costs and administration (shared by grant spending)</t>
        </is>
      </c>
    </row>
    <row r="20">
      <c r="A20" s="7" t="inlineStr"/>
      <c r="B20" s="8" t="inlineStr">
        <is>
          <t>Nov 2025</t>
        </is>
      </c>
    </row>
    <row r="21">
      <c r="A21" t="inlineStr">
        <is>
          <t>Grant spending on the program</t>
        </is>
      </c>
      <c r="B21" s="13" t="n">
        <v>21079</v>
      </c>
    </row>
    <row r="22">
      <c r="A22" t="inlineStr">
        <is>
          <t>All grant-funded program spending</t>
        </is>
      </c>
      <c r="B22" s="13" t="n">
        <v>70164</v>
      </c>
    </row>
    <row r="23">
      <c r="A23" t="inlineStr">
        <is>
          <t>Share of program spending</t>
        </is>
      </c>
      <c r="B23" s="14">
        <f>B21/B22</f>
        <v/>
      </c>
    </row>
    <row r="24">
      <c r="A24" t="inlineStr">
        <is>
          <t>Untied program costs (all programs)</t>
        </is>
      </c>
      <c r="B24" s="13" t="n">
        <v>16900</v>
      </c>
    </row>
    <row r="25">
      <c r="A25" t="inlineStr">
        <is>
          <t>Share of untied program costs</t>
        </is>
      </c>
      <c r="B25" s="13">
        <f>B23*B24</f>
        <v/>
      </c>
    </row>
    <row r="26">
      <c r="A26" t="inlineStr">
        <is>
          <t>Administration (all)</t>
        </is>
      </c>
      <c r="B26" s="13" t="n">
        <v>35400</v>
      </c>
    </row>
    <row r="27">
      <c r="A27" t="inlineStr">
        <is>
          <t>Share of administration</t>
        </is>
      </c>
      <c r="B27" s="13">
        <f>B23*B26</f>
        <v/>
      </c>
    </row>
    <row r="28">
      <c r="A28" s="15" t="inlineStr">
        <is>
          <t>Full cost of the program</t>
        </is>
      </c>
      <c r="B28" s="16">
        <f>B21+B25+B27</f>
        <v/>
      </c>
    </row>
    <row r="29"/>
    <row r="30"/>
    <row r="31">
      <c r="A31" s="5" t="inlineStr">
        <is>
          <t>Emergency relief: full cost, November</t>
        </is>
      </c>
    </row>
    <row r="32">
      <c r="A32" s="12" t="inlineStr">
        <is>
          <t>Grant spending + its share of untied program costs and administration (shared by grant spending)</t>
        </is>
      </c>
    </row>
    <row r="33">
      <c r="A33" s="7" t="inlineStr"/>
      <c r="B33" s="8" t="inlineStr">
        <is>
          <t>Nov 2025</t>
        </is>
      </c>
    </row>
    <row r="34">
      <c r="A34" t="inlineStr">
        <is>
          <t>Grant spending on the program</t>
        </is>
      </c>
      <c r="B34" s="13" t="n">
        <v>11400</v>
      </c>
    </row>
    <row r="35">
      <c r="A35" t="inlineStr">
        <is>
          <t>All grant-funded program spending</t>
        </is>
      </c>
      <c r="B35" s="13" t="n">
        <v>70164</v>
      </c>
    </row>
    <row r="36">
      <c r="A36" t="inlineStr">
        <is>
          <t>Share of program spending</t>
        </is>
      </c>
      <c r="B36" s="14">
        <f>B34/B35</f>
        <v/>
      </c>
    </row>
    <row r="37">
      <c r="A37" t="inlineStr">
        <is>
          <t>Untied program costs (all programs)</t>
        </is>
      </c>
      <c r="B37" s="13" t="n">
        <v>16900</v>
      </c>
    </row>
    <row r="38">
      <c r="A38" t="inlineStr">
        <is>
          <t>Share of untied program costs</t>
        </is>
      </c>
      <c r="B38" s="13">
        <f>B36*B37</f>
        <v/>
      </c>
    </row>
    <row r="39">
      <c r="A39" t="inlineStr">
        <is>
          <t>Administration (all)</t>
        </is>
      </c>
      <c r="B39" s="13" t="n">
        <v>35400</v>
      </c>
    </row>
    <row r="40">
      <c r="A40" t="inlineStr">
        <is>
          <t>Share of administration</t>
        </is>
      </c>
      <c r="B40" s="13">
        <f>B36*B39</f>
        <v/>
      </c>
    </row>
    <row r="41">
      <c r="A41" s="15" t="inlineStr">
        <is>
          <t>Full cost of the program</t>
        </is>
      </c>
      <c r="B41" s="16">
        <f>B34+B38+B40</f>
        <v/>
      </c>
    </row>
    <row r="42"/>
    <row r="43"/>
    <row r="44">
      <c r="A44" s="5" t="inlineStr">
        <is>
          <t>Digital literacy: full cost, November</t>
        </is>
      </c>
    </row>
    <row r="45">
      <c r="A45" s="12" t="inlineStr">
        <is>
          <t>Grant spending + its share of untied program costs and administration (shared by grant spending)</t>
        </is>
      </c>
    </row>
    <row r="46">
      <c r="A46" s="7" t="inlineStr"/>
      <c r="B46" s="8" t="inlineStr">
        <is>
          <t>Nov 2025</t>
        </is>
      </c>
    </row>
    <row r="47">
      <c r="A47" t="inlineStr">
        <is>
          <t>Grant spending on the program</t>
        </is>
      </c>
      <c r="B47" s="13" t="n">
        <v>4585</v>
      </c>
    </row>
    <row r="48">
      <c r="A48" t="inlineStr">
        <is>
          <t>All grant-funded program spending</t>
        </is>
      </c>
      <c r="B48" s="13" t="n">
        <v>70164</v>
      </c>
    </row>
    <row r="49">
      <c r="A49" t="inlineStr">
        <is>
          <t>Share of program spending</t>
        </is>
      </c>
      <c r="B49" s="14">
        <f>B47/B48</f>
        <v/>
      </c>
    </row>
    <row r="50">
      <c r="A50" t="inlineStr">
        <is>
          <t>Untied program costs (all programs)</t>
        </is>
      </c>
      <c r="B50" s="13" t="n">
        <v>16900</v>
      </c>
    </row>
    <row r="51">
      <c r="A51" t="inlineStr">
        <is>
          <t>Share of untied program costs</t>
        </is>
      </c>
      <c r="B51" s="13">
        <f>B49*B50</f>
        <v/>
      </c>
    </row>
    <row r="52">
      <c r="A52" t="inlineStr">
        <is>
          <t>Administration (all)</t>
        </is>
      </c>
      <c r="B52" s="13" t="n">
        <v>35400</v>
      </c>
    </row>
    <row r="53">
      <c r="A53" t="inlineStr">
        <is>
          <t>Share of administration</t>
        </is>
      </c>
      <c r="B53" s="13">
        <f>B49*B52</f>
        <v/>
      </c>
    </row>
    <row r="54">
      <c r="A54" s="15" t="inlineStr">
        <is>
          <t>Full cost of the program</t>
        </is>
      </c>
      <c r="B54" s="16">
        <f>B47+B51+B53</f>
        <v/>
      </c>
    </row>
    <row r="55"/>
    <row r="56"/>
    <row r="57">
      <c r="A57" s="5" t="inlineStr">
        <is>
          <t>Community meals (2025-26): full cost, November</t>
        </is>
      </c>
    </row>
    <row r="58">
      <c r="A58" s="12" t="inlineStr">
        <is>
          <t>Grant spending + its share of untied program costs and administration (shared by grant spending)</t>
        </is>
      </c>
    </row>
    <row r="59">
      <c r="A59" s="7" t="inlineStr"/>
      <c r="B59" s="8" t="inlineStr">
        <is>
          <t>Nov 2025</t>
        </is>
      </c>
    </row>
    <row r="60">
      <c r="A60" t="inlineStr">
        <is>
          <t>Grant spending on the program</t>
        </is>
      </c>
      <c r="B60" s="13" t="n">
        <v>3100</v>
      </c>
    </row>
    <row r="61">
      <c r="A61" t="inlineStr">
        <is>
          <t>All grant-funded program spending</t>
        </is>
      </c>
      <c r="B61" s="13" t="n">
        <v>70164</v>
      </c>
    </row>
    <row r="62">
      <c r="A62" t="inlineStr">
        <is>
          <t>Share of program spending</t>
        </is>
      </c>
      <c r="B62" s="14">
        <f>B60/B61</f>
        <v/>
      </c>
    </row>
    <row r="63">
      <c r="A63" t="inlineStr">
        <is>
          <t>Untied program costs (all programs)</t>
        </is>
      </c>
      <c r="B63" s="13" t="n">
        <v>16900</v>
      </c>
    </row>
    <row r="64">
      <c r="A64" t="inlineStr">
        <is>
          <t>Share of untied program costs</t>
        </is>
      </c>
      <c r="B64" s="13">
        <f>B62*B63</f>
        <v/>
      </c>
    </row>
    <row r="65">
      <c r="A65" t="inlineStr">
        <is>
          <t>Administration (all)</t>
        </is>
      </c>
      <c r="B65" s="13" t="n">
        <v>35400</v>
      </c>
    </row>
    <row r="66">
      <c r="A66" t="inlineStr">
        <is>
          <t>Share of administration</t>
        </is>
      </c>
      <c r="B66" s="13">
        <f>B62*B65</f>
        <v/>
      </c>
    </row>
    <row r="67">
      <c r="A67" s="15" t="inlineStr">
        <is>
          <t>Full cost of the program</t>
        </is>
      </c>
      <c r="B67" s="16">
        <f>B60+B64+B66</f>
        <v/>
      </c>
    </row>
    <row r="68"/>
    <row r="69"/>
    <row r="70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30" min="0" max="16383" man="1"/>
    <brk id="56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November 2025 · Data status: Nov 2025 locked (data retrieved 2pm, Tue 6 Oct 2026) · Generated 22 Oct 2026, 4:57pm</t>
        </is>
      </c>
    </row>
    <row r="4"/>
    <row r="5">
      <c r="A5" t="inlineStr">
        <is>
          <t>All grant-funded program spending, November 2025</t>
        </is>
      </c>
      <c r="B5" s="9" t="n">
        <v>70164</v>
      </c>
    </row>
    <row r="6">
      <c r="A6" t="inlineStr">
        <is>
          <t>Untied program costs, November 2025 (all programs)</t>
        </is>
      </c>
      <c r="B6" s="9" t="n">
        <v>16900</v>
      </c>
    </row>
    <row r="7">
      <c r="A7" t="inlineStr">
        <is>
          <t>Administration, November 2025 (all)</t>
        </is>
      </c>
      <c r="B7" s="9" t="n">
        <v>35400</v>
      </c>
    </row>
    <row r="8"/>
    <row r="9">
      <c r="A9" s="7" t="inlineStr">
        <is>
          <t>Program</t>
        </is>
      </c>
      <c r="B9" s="8" t="inlineStr">
        <is>
          <t>Grant spending, Nov 2025</t>
        </is>
      </c>
      <c r="C9" s="8" t="inlineStr">
        <is>
          <t>Share</t>
        </is>
      </c>
      <c r="D9" s="8" t="inlineStr">
        <is>
          <t>Untied costs share</t>
        </is>
      </c>
      <c r="E9" s="8" t="inlineStr">
        <is>
          <t>Administration share</t>
        </is>
      </c>
      <c r="F9" s="8" t="inlineStr">
        <is>
          <t>Full cost</t>
        </is>
      </c>
    </row>
    <row r="10">
      <c r="A10" s="17" t="inlineStr">
        <is>
          <t>Housing support (2025)</t>
        </is>
      </c>
      <c r="B10" s="13" t="n">
        <v>30000</v>
      </c>
      <c r="C10" s="14">
        <f>B10/$B$5</f>
        <v/>
      </c>
      <c r="D10" s="13">
        <f>C10*$B$6</f>
        <v/>
      </c>
      <c r="E10" s="13">
        <f>C10*$B$7</f>
        <v/>
      </c>
      <c r="F10" s="13">
        <f>B10+D10+E10</f>
        <v/>
      </c>
    </row>
    <row r="11">
      <c r="A11" s="17" t="inlineStr">
        <is>
          <t>Youth outreach</t>
        </is>
      </c>
      <c r="B11" s="13" t="n">
        <v>21079</v>
      </c>
      <c r="C11" s="14">
        <f>B11/$B$5</f>
        <v/>
      </c>
      <c r="D11" s="13">
        <f>C11*$B$6</f>
        <v/>
      </c>
      <c r="E11" s="13">
        <f>C11*$B$7</f>
        <v/>
      </c>
      <c r="F11" s="13">
        <f>B11+D11+E11</f>
        <v/>
      </c>
    </row>
    <row r="12">
      <c r="A12" s="17" t="inlineStr">
        <is>
          <t>Emergency relief</t>
        </is>
      </c>
      <c r="B12" s="13" t="n">
        <v>11400</v>
      </c>
      <c r="C12" s="14">
        <f>B12/$B$5</f>
        <v/>
      </c>
      <c r="D12" s="13">
        <f>C12*$B$6</f>
        <v/>
      </c>
      <c r="E12" s="13">
        <f>C12*$B$7</f>
        <v/>
      </c>
      <c r="F12" s="13">
        <f>B12+D12+E12</f>
        <v/>
      </c>
    </row>
    <row r="13">
      <c r="A13" s="17" t="inlineStr">
        <is>
          <t>Digital literacy</t>
        </is>
      </c>
      <c r="B13" s="13" t="n">
        <v>4585</v>
      </c>
      <c r="C13" s="14">
        <f>B13/$B$5</f>
        <v/>
      </c>
      <c r="D13" s="13">
        <f>C13*$B$6</f>
        <v/>
      </c>
      <c r="E13" s="13">
        <f>C13*$B$7</f>
        <v/>
      </c>
      <c r="F13" s="13">
        <f>B13+D13+E13</f>
        <v/>
      </c>
    </row>
    <row r="14">
      <c r="A14" s="17" t="inlineStr">
        <is>
          <t>Community meals (2025-26)</t>
        </is>
      </c>
      <c r="B14" s="13" t="n">
        <v>3100</v>
      </c>
      <c r="C14" s="14">
        <f>B14/$B$5</f>
        <v/>
      </c>
      <c r="D14" s="13">
        <f>C14*$B$6</f>
        <v/>
      </c>
      <c r="E14" s="13">
        <f>C14*$B$7</f>
        <v/>
      </c>
      <c r="F14" s="13">
        <f>B14+D14+E14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2026-10-22T06:58:29Z</dcterms:created>
  <dcterms:modified xmlns:dcterms="http://purl.org/dc/terms/" xmlns:xsi="http://www.w3.org/2001/XMLSchema-instance" xsi:type="dcterms:W3CDTF">2026-10-22T06:58:29Z</dcterms:modified>
</cp:coreProperties>
</file>