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Donations">'Report'!$B$53</definedName>
    <definedName name="Raised_year_to_date">'Report'!$B$54</definedName>
    <definedName name="_xlnm.Print_Area" localSheetId="0">'Report'!$A$1:$E$62</definedName>
    <definedName name="_xlnm.Print_Area" localSheetId="1">'Workings'!$A$1:$B$47</definedName>
    <definedName name="_xlnm.Print_Titles" localSheetId="2">'Data'!$5:$5</definedName>
    <definedName name="_xlnm.Print_Area" localSheetId="2">'Data'!$A$1:$G$47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November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'Report'!$A$11:$A$12</f>
            </numRef>
          </cat>
          <val>
            <numRef>
              <f>'Report'!$B$11:$B$12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'Data'!$B$6:$B$19</f>
            </numRef>
          </cat>
          <val>
            <numRef>
              <f>'Data'!$D$6:$D$19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'Data'!$B$6:$B$19</f>
            </numRef>
          </cat>
          <val>
            <numRef>
              <f>'Data'!$D$20:$D$33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'Data'!$B$6:$B$19</f>
            </numRef>
          </cat>
          <val>
            <numRef>
              <f>'Data'!$D$34:$D$47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47" headerRowCount="1">
  <autoFilter ref="A5:G47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 ht="32" customHeight="1">
      <c r="A5" s="3" t="inlineStr">
        <is>
          <t>In short: Grants cost 10¢ to raise each dollar in November; donations 17¢.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November 2025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17</v>
      </c>
    </row>
    <row r="13"/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November it cost: Grants 10¢, donations 17¢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November: grants (10¢ a dollar). Dearest: donations (17¢).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$322,093 raised this financial year to date (73.3% of everything raised), $35,500 to raise it, so $286,593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$80,500 raised this financial year to date (18.3% of everything raised), $11,900 to raise it, so $68,600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$36,800 raised this financial year to date (8.4% of everything raised), $15,200 to raise it, so $21,600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Workings!B24</f>
        <v/>
      </c>
      <c r="C52" s="11" t="inlineStr">
        <is>
          <t>per $1 raised in November</t>
        </is>
      </c>
    </row>
    <row r="53">
      <c r="A53" t="inlineStr">
        <is>
          <t>Dearest to raise: Donations</t>
        </is>
      </c>
      <c r="B53" s="9">
        <f>Workings!B37</f>
        <v/>
      </c>
      <c r="C53" s="11" t="inlineStr">
        <is>
          <t>per $1 raised in November</t>
        </is>
      </c>
    </row>
    <row r="54">
      <c r="A54" t="inlineStr">
        <is>
          <t>Raised, year to date</t>
        </is>
      </c>
      <c r="B54" s="12">
        <f>Workings!B47</f>
        <v/>
      </c>
      <c r="C54" s="11" t="inlineStr">
        <is>
          <t>Jul to Nov 2025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Nov 2025),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$322,093</t>
        </is>
      </c>
      <c r="C60" s="15" t="inlineStr">
        <is>
          <t>$35,500</t>
        </is>
      </c>
      <c r="D60" s="15" t="inlineStr">
        <is>
          <t>$286,593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$80,500</t>
        </is>
      </c>
      <c r="C61" s="15" t="inlineStr">
        <is>
          <t>$11,900</t>
        </is>
      </c>
      <c r="D61" s="15" t="inlineStr">
        <is>
          <t>$68,600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$36,800</t>
        </is>
      </c>
      <c r="C62" s="15" t="inlineStr">
        <is>
          <t>$15,200</t>
        </is>
      </c>
      <c r="D62" s="15" t="inlineStr">
        <is>
          <t>$21,600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5" t="inlineStr">
        <is>
          <t>Cost to raise a dollar, by source, November 2025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Nov 2025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70164</v>
      </c>
    </row>
    <row r="10">
      <c r="A10" t="inlineStr">
        <is>
          <t>Donations: cost (donor campaigns)</t>
        </is>
      </c>
      <c r="B10" s="16" t="n">
        <v>3100</v>
      </c>
    </row>
    <row r="11">
      <c r="A11" t="inlineStr">
        <is>
          <t>Donations: raised</t>
        </is>
      </c>
      <c r="B11" s="16" t="n">
        <v>18700</v>
      </c>
    </row>
    <row r="12">
      <c r="A12" t="inlineStr">
        <is>
          <t>Grants: cost per dollar raised</t>
        </is>
      </c>
      <c r="B12" s="17">
        <f>B8/B9*100</f>
        <v/>
      </c>
    </row>
    <row r="13">
      <c r="A13" s="18" t="inlineStr">
        <is>
          <t>Donations: cost per dollar raised</t>
        </is>
      </c>
      <c r="B13" s="19">
        <f>B10/B11*100</f>
        <v/>
      </c>
    </row>
    <row r="14">
      <c r="A14" s="2" t="inlineStr">
        <is>
          <t xml:space="preserve">Nothing raised from fundraising events in November. </t>
        </is>
      </c>
    </row>
    <row r="15"/>
    <row r="16"/>
    <row r="17">
      <c r="A17" s="5" t="inlineStr">
        <is>
          <t>Cost to raise a dollar, by source, November 2025</t>
        </is>
      </c>
    </row>
    <row r="18">
      <c r="A18" s="13" t="inlineStr">
        <is>
          <t>Fundraising cost ÷ money raised, for each source, in cents</t>
        </is>
      </c>
    </row>
    <row r="19">
      <c r="A19" s="7" t="inlineStr"/>
      <c r="B19" s="8" t="inlineStr">
        <is>
          <t>Nov 2025</t>
        </is>
      </c>
    </row>
    <row r="20">
      <c r="A20" t="inlineStr">
        <is>
          <t>Grants: cost (grant writing and reporting)</t>
        </is>
      </c>
      <c r="B20" s="16" t="n">
        <v>7100</v>
      </c>
    </row>
    <row r="21">
      <c r="A21" t="inlineStr">
        <is>
          <t>Grants: raised</t>
        </is>
      </c>
      <c r="B21" s="16" t="n">
        <v>70164</v>
      </c>
    </row>
    <row r="22">
      <c r="A22" t="inlineStr">
        <is>
          <t>Donations: cost (donor campaigns)</t>
        </is>
      </c>
      <c r="B22" s="16" t="n">
        <v>3100</v>
      </c>
    </row>
    <row r="23">
      <c r="A23" t="inlineStr">
        <is>
          <t>Donations: raised</t>
        </is>
      </c>
      <c r="B23" s="16" t="n">
        <v>18700</v>
      </c>
    </row>
    <row r="24">
      <c r="A24" t="inlineStr">
        <is>
          <t>Grants: cost per dollar raised</t>
        </is>
      </c>
      <c r="B24" s="17">
        <f>B20/B21*100</f>
        <v/>
      </c>
    </row>
    <row r="25">
      <c r="A25" s="18" t="inlineStr">
        <is>
          <t>Donations: cost per dollar raised</t>
        </is>
      </c>
      <c r="B25" s="19">
        <f>B22/B23*100</f>
        <v/>
      </c>
    </row>
    <row r="26">
      <c r="A26" s="2" t="inlineStr">
        <is>
          <t xml:space="preserve">Nothing raised from fundraising events in November. </t>
        </is>
      </c>
    </row>
    <row r="27"/>
    <row r="28"/>
    <row r="29">
      <c r="A29" s="5" t="inlineStr">
        <is>
          <t>Cost to raise a dollar, by source, November 2025</t>
        </is>
      </c>
    </row>
    <row r="30">
      <c r="A30" s="13" t="inlineStr">
        <is>
          <t>Fundraising cost ÷ money raised, for each source, in cents</t>
        </is>
      </c>
    </row>
    <row r="31">
      <c r="A31" s="7" t="inlineStr"/>
      <c r="B31" s="8" t="inlineStr">
        <is>
          <t>Nov 2025</t>
        </is>
      </c>
    </row>
    <row r="32">
      <c r="A32" t="inlineStr">
        <is>
          <t>Grants: cost (grant writing and reporting)</t>
        </is>
      </c>
      <c r="B32" s="16" t="n">
        <v>7100</v>
      </c>
    </row>
    <row r="33">
      <c r="A33" t="inlineStr">
        <is>
          <t>Grants: raised</t>
        </is>
      </c>
      <c r="B33" s="16" t="n">
        <v>70164</v>
      </c>
    </row>
    <row r="34">
      <c r="A34" t="inlineStr">
        <is>
          <t>Donations: cost (donor campaigns)</t>
        </is>
      </c>
      <c r="B34" s="16" t="n">
        <v>3100</v>
      </c>
    </row>
    <row r="35">
      <c r="A35" t="inlineStr">
        <is>
          <t>Donations: raised</t>
        </is>
      </c>
      <c r="B35" s="16" t="n">
        <v>18700</v>
      </c>
    </row>
    <row r="36">
      <c r="A36" t="inlineStr">
        <is>
          <t>Grants: cost per dollar raised</t>
        </is>
      </c>
      <c r="B36" s="17">
        <f>B32/B33*100</f>
        <v/>
      </c>
    </row>
    <row r="37">
      <c r="A37" s="18" t="inlineStr">
        <is>
          <t>Donations: cost per dollar raised</t>
        </is>
      </c>
      <c r="B37" s="19">
        <f>B34/B35*100</f>
        <v/>
      </c>
    </row>
    <row r="38">
      <c r="A38" s="2" t="inlineStr">
        <is>
          <t xml:space="preserve">Nothing raised from fundraising events in November. </t>
        </is>
      </c>
    </row>
    <row r="39"/>
    <row r="40"/>
    <row r="41">
      <c r="A41" s="5" t="inlineStr">
        <is>
          <t>Raised, financial year to date (Jul to Nov 2025)</t>
        </is>
      </c>
    </row>
    <row r="42">
      <c r="A42" s="13" t="inlineStr">
        <is>
          <t>Grants + donations + fundraising events</t>
        </is>
      </c>
    </row>
    <row r="43">
      <c r="A43" s="7" t="inlineStr"/>
      <c r="B43" s="8" t="inlineStr">
        <is>
          <t>Year to date</t>
        </is>
      </c>
    </row>
    <row r="44">
      <c r="A44" t="inlineStr">
        <is>
          <t>Grants, raised</t>
        </is>
      </c>
      <c r="B44" s="16" t="n">
        <v>322093</v>
      </c>
    </row>
    <row r="45">
      <c r="A45" t="inlineStr">
        <is>
          <t>Donations, raised</t>
        </is>
      </c>
      <c r="B45" s="16" t="n">
        <v>80500</v>
      </c>
    </row>
    <row r="46">
      <c r="A46" t="inlineStr">
        <is>
          <t>Fundraising events, raised</t>
        </is>
      </c>
      <c r="B46" s="16" t="n">
        <v>36800</v>
      </c>
    </row>
    <row r="47">
      <c r="A47" s="18" t="inlineStr">
        <is>
          <t>Raised, year to date</t>
        </is>
      </c>
      <c r="B47" s="20">
        <f>B44+B45+B46</f>
        <v/>
      </c>
    </row>
    <row r="48"/>
    <row r="49"/>
    <row r="5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Nov 2025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Donations</t>
        </is>
      </c>
      <c r="B20" s="21" t="inlineStr">
        <is>
          <t>Oct 24</t>
        </is>
      </c>
      <c r="C20" s="21" t="inlineStr">
        <is>
          <t>Locked</t>
        </is>
      </c>
      <c r="D20" s="16" t="n">
        <v>15300</v>
      </c>
      <c r="E20" s="16" t="n">
        <v>2200</v>
      </c>
      <c r="F20" s="16">
        <f>D20-E20</f>
        <v/>
      </c>
      <c r="G20" s="17">
        <f>IF(D20=0,"",E20/D20*100)</f>
        <v/>
      </c>
    </row>
    <row r="21">
      <c r="A21" s="21" t="inlineStr">
        <is>
          <t>Donations</t>
        </is>
      </c>
      <c r="B21" s="21" t="inlineStr">
        <is>
          <t>Nov 24</t>
        </is>
      </c>
      <c r="C21" s="21" t="inlineStr">
        <is>
          <t>Locked</t>
        </is>
      </c>
      <c r="D21" s="16" t="n">
        <v>17700</v>
      </c>
      <c r="E21" s="16" t="n">
        <v>3100</v>
      </c>
      <c r="F21" s="16">
        <f>D21-E21</f>
        <v/>
      </c>
      <c r="G21" s="17">
        <f>IF(D21=0,"",E21/D21*100)</f>
        <v/>
      </c>
    </row>
    <row r="22">
      <c r="A22" s="21" t="inlineStr">
        <is>
          <t>Donations</t>
        </is>
      </c>
      <c r="B22" s="21" t="inlineStr">
        <is>
          <t>Dec 24</t>
        </is>
      </c>
      <c r="C22" s="21" t="inlineStr">
        <is>
          <t>Locked</t>
        </is>
      </c>
      <c r="D22" s="16" t="n">
        <v>24700</v>
      </c>
      <c r="E22" s="16" t="n">
        <v>4400</v>
      </c>
      <c r="F22" s="16">
        <f>D22-E22</f>
        <v/>
      </c>
      <c r="G22" s="17">
        <f>IF(D22=0,"",E22/D22*100)</f>
        <v/>
      </c>
    </row>
    <row r="23">
      <c r="A23" s="21" t="inlineStr">
        <is>
          <t>Donations</t>
        </is>
      </c>
      <c r="B23" s="21" t="inlineStr">
        <is>
          <t>Jan 25</t>
        </is>
      </c>
      <c r="C23" s="21" t="inlineStr">
        <is>
          <t>Locked</t>
        </is>
      </c>
      <c r="D23" s="16" t="n">
        <v>12400</v>
      </c>
      <c r="E23" s="16" t="n">
        <v>2200</v>
      </c>
      <c r="F23" s="16">
        <f>D23-E23</f>
        <v/>
      </c>
      <c r="G23" s="17">
        <f>IF(D23=0,"",E23/D23*100)</f>
        <v/>
      </c>
    </row>
    <row r="24">
      <c r="A24" s="21" t="inlineStr">
        <is>
          <t>Donations</t>
        </is>
      </c>
      <c r="B24" s="21" t="inlineStr">
        <is>
          <t>Feb 25</t>
        </is>
      </c>
      <c r="C24" s="21" t="inlineStr">
        <is>
          <t>Locked</t>
        </is>
      </c>
      <c r="D24" s="16" t="n">
        <v>15600</v>
      </c>
      <c r="E24" s="16" t="n">
        <v>2200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Mar 25</t>
        </is>
      </c>
      <c r="C25" s="21" t="inlineStr">
        <is>
          <t>Locked</t>
        </is>
      </c>
      <c r="D25" s="16" t="n">
        <v>15700</v>
      </c>
      <c r="E25" s="16" t="n">
        <v>2200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Apr 25</t>
        </is>
      </c>
      <c r="C26" s="21" t="inlineStr">
        <is>
          <t>Locked</t>
        </is>
      </c>
      <c r="D26" s="16" t="n">
        <v>15700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May 25</t>
        </is>
      </c>
      <c r="C27" s="21" t="inlineStr">
        <is>
          <t>Locked</t>
        </is>
      </c>
      <c r="D27" s="16" t="n">
        <v>15800</v>
      </c>
      <c r="E27" s="16" t="n">
        <v>2200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Jun 25</t>
        </is>
      </c>
      <c r="C28" s="21" t="inlineStr">
        <is>
          <t>Locked</t>
        </is>
      </c>
      <c r="D28" s="16" t="n">
        <v>38100</v>
      </c>
      <c r="E28" s="16" t="n">
        <v>5500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Jul 25</t>
        </is>
      </c>
      <c r="C29" s="21" t="inlineStr">
        <is>
          <t>Locked</t>
        </is>
      </c>
      <c r="D29" s="16" t="n">
        <v>13500</v>
      </c>
      <c r="E29" s="16" t="n">
        <v>2200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Aug 25</t>
        </is>
      </c>
      <c r="C30" s="21" t="inlineStr">
        <is>
          <t>Locked</t>
        </is>
      </c>
      <c r="D30" s="16" t="n">
        <v>16000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Sep 25</t>
        </is>
      </c>
      <c r="C31" s="21" t="inlineStr">
        <is>
          <t>Locked</t>
        </is>
      </c>
      <c r="D31" s="16" t="n">
        <v>16100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Oct 25</t>
        </is>
      </c>
      <c r="C32" s="21" t="inlineStr">
        <is>
          <t>Locked</t>
        </is>
      </c>
      <c r="D32" s="16" t="n">
        <v>16200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Nov 25</t>
        </is>
      </c>
      <c r="C33" s="21" t="inlineStr">
        <is>
          <t>Locked</t>
        </is>
      </c>
      <c r="D33" s="16" t="n">
        <v>18700</v>
      </c>
      <c r="E33" s="16" t="n">
        <v>3100</v>
      </c>
      <c r="F33" s="16">
        <f>D33-E33</f>
        <v/>
      </c>
      <c r="G33" s="17">
        <f>IF(D33=0,"",E33/D33*100)</f>
        <v/>
      </c>
    </row>
    <row r="34">
      <c r="A34" s="21" t="inlineStr">
        <is>
          <t>Fundraising events</t>
        </is>
      </c>
      <c r="B34" s="21" t="inlineStr">
        <is>
          <t>Oct 24</t>
        </is>
      </c>
      <c r="C34" s="21" t="inlineStr">
        <is>
          <t>Locked</t>
        </is>
      </c>
      <c r="D34" s="16" t="n">
        <v>0</v>
      </c>
      <c r="E34" s="16" t="n">
        <v>0</v>
      </c>
      <c r="F34" s="16">
        <f>D34-E34</f>
        <v/>
      </c>
      <c r="G34" s="17">
        <f>IF(D34=0,"",E34/D34*100)</f>
        <v/>
      </c>
    </row>
    <row r="35">
      <c r="A35" s="21" t="inlineStr">
        <is>
          <t>Fundraising events</t>
        </is>
      </c>
      <c r="B35" s="21" t="inlineStr">
        <is>
          <t>Nov 24</t>
        </is>
      </c>
      <c r="C35" s="21" t="inlineStr">
        <is>
          <t>Locked</t>
        </is>
      </c>
      <c r="D35" s="16" t="n">
        <v>0</v>
      </c>
      <c r="E35" s="16" t="n">
        <v>0</v>
      </c>
      <c r="F35" s="16">
        <f>D35-E35</f>
        <v/>
      </c>
      <c r="G35" s="17">
        <f>IF(D35=0,"",E35/D35*100)</f>
        <v/>
      </c>
    </row>
    <row r="36">
      <c r="A36" s="21" t="inlineStr">
        <is>
          <t>Fundraising events</t>
        </is>
      </c>
      <c r="B36" s="21" t="inlineStr">
        <is>
          <t>Dec 24</t>
        </is>
      </c>
      <c r="C36" s="21" t="inlineStr">
        <is>
          <t>Locked</t>
        </is>
      </c>
      <c r="D36" s="16" t="n">
        <v>6200</v>
      </c>
      <c r="E36" s="16" t="n">
        <v>2600</v>
      </c>
      <c r="F36" s="16">
        <f>D36-E36</f>
        <v/>
      </c>
      <c r="G36" s="17">
        <f>IF(D36=0,"",E36/D36*100)</f>
        <v/>
      </c>
    </row>
    <row r="37">
      <c r="A37" s="21" t="inlineStr">
        <is>
          <t>Fundraising events</t>
        </is>
      </c>
      <c r="B37" s="21" t="inlineStr">
        <is>
          <t>Jan 25</t>
        </is>
      </c>
      <c r="C37" s="21" t="inlineStr">
        <is>
          <t>Locked</t>
        </is>
      </c>
      <c r="D37" s="16" t="n">
        <v>0</v>
      </c>
      <c r="E37" s="16" t="n">
        <v>0</v>
      </c>
      <c r="F37" s="16">
        <f>D37-E37</f>
        <v/>
      </c>
      <c r="G37" s="17">
        <f>IF(D37=0,"",E37/D37*100)</f>
        <v/>
      </c>
    </row>
    <row r="38">
      <c r="A38" s="21" t="inlineStr">
        <is>
          <t>Fundraising events</t>
        </is>
      </c>
      <c r="B38" s="21" t="inlineStr">
        <is>
          <t>Feb 25</t>
        </is>
      </c>
      <c r="C38" s="21" t="inlineStr">
        <is>
          <t>Locked</t>
        </is>
      </c>
      <c r="D38" s="16" t="n">
        <v>0</v>
      </c>
      <c r="E38" s="16" t="n">
        <v>0</v>
      </c>
      <c r="F38" s="16">
        <f>D38-E38</f>
        <v/>
      </c>
      <c r="G38" s="17">
        <f>IF(D38=0,"",E38/D38*100)</f>
        <v/>
      </c>
    </row>
    <row r="39">
      <c r="A39" s="21" t="inlineStr">
        <is>
          <t>Fundraising events</t>
        </is>
      </c>
      <c r="B39" s="21" t="inlineStr">
        <is>
          <t>Mar 25</t>
        </is>
      </c>
      <c r="C39" s="21" t="inlineStr">
        <is>
          <t>Locked</t>
        </is>
      </c>
      <c r="D39" s="16" t="n">
        <v>0</v>
      </c>
      <c r="E39" s="16" t="n">
        <v>0</v>
      </c>
      <c r="F39" s="16">
        <f>D39-E39</f>
        <v/>
      </c>
      <c r="G39" s="17">
        <f>IF(D39=0,"",E39/D39*100)</f>
        <v/>
      </c>
    </row>
    <row r="40">
      <c r="A40" s="21" t="inlineStr">
        <is>
          <t>Fundraising events</t>
        </is>
      </c>
      <c r="B40" s="21" t="inlineStr">
        <is>
          <t>Apr 25</t>
        </is>
      </c>
      <c r="C40" s="21" t="inlineStr">
        <is>
          <t>Locked</t>
        </is>
      </c>
      <c r="D40" s="16" t="n">
        <v>0</v>
      </c>
      <c r="E40" s="16" t="n">
        <v>0</v>
      </c>
      <c r="F40" s="16">
        <f>D40-E40</f>
        <v/>
      </c>
      <c r="G40" s="17">
        <f>IF(D40=0,"",E40/D40*100)</f>
        <v/>
      </c>
    </row>
    <row r="41">
      <c r="A41" s="21" t="inlineStr">
        <is>
          <t>Fundraising events</t>
        </is>
      </c>
      <c r="B41" s="21" t="inlineStr">
        <is>
          <t>May 25</t>
        </is>
      </c>
      <c r="C41" s="21" t="inlineStr">
        <is>
          <t>Locked</t>
        </is>
      </c>
      <c r="D41" s="16" t="n">
        <v>0</v>
      </c>
      <c r="E41" s="16" t="n">
        <v>0</v>
      </c>
      <c r="F41" s="16">
        <f>D41-E41</f>
        <v/>
      </c>
      <c r="G41" s="17">
        <f>IF(D41=0,"",E41/D41*100)</f>
        <v/>
      </c>
    </row>
    <row r="42">
      <c r="A42" s="21" t="inlineStr">
        <is>
          <t>Fundraising events</t>
        </is>
      </c>
      <c r="B42" s="21" t="inlineStr">
        <is>
          <t>Jun 25</t>
        </is>
      </c>
      <c r="C42" s="21" t="inlineStr">
        <is>
          <t>Locked</t>
        </is>
      </c>
      <c r="D42" s="16" t="n">
        <v>0</v>
      </c>
      <c r="E42" s="16" t="n">
        <v>0</v>
      </c>
      <c r="F42" s="16">
        <f>D42-E42</f>
        <v/>
      </c>
      <c r="G42" s="17">
        <f>IF(D42=0,"",E42/D42*100)</f>
        <v/>
      </c>
    </row>
    <row r="43">
      <c r="A43" s="21" t="inlineStr">
        <is>
          <t>Fundraising events</t>
        </is>
      </c>
      <c r="B43" s="21" t="inlineStr">
        <is>
          <t>Jul 25</t>
        </is>
      </c>
      <c r="C43" s="21" t="inlineStr">
        <is>
          <t>Locked</t>
        </is>
      </c>
      <c r="D43" s="16" t="n">
        <v>0</v>
      </c>
      <c r="E43" s="16" t="n">
        <v>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Aug 25</t>
        </is>
      </c>
      <c r="C44" s="21" t="inlineStr">
        <is>
          <t>Locked</t>
        </is>
      </c>
      <c r="D44" s="16" t="n">
        <v>0</v>
      </c>
      <c r="E44" s="16" t="n">
        <v>0</v>
      </c>
      <c r="F44" s="16">
        <f>D44-E44</f>
        <v/>
      </c>
      <c r="G44" s="17">
        <f>IF(D44=0,"",E44/D44*100)</f>
        <v/>
      </c>
    </row>
    <row r="45">
      <c r="A45" s="21" t="inlineStr">
        <is>
          <t>Fundraising events</t>
        </is>
      </c>
      <c r="B45" s="21" t="inlineStr">
        <is>
          <t>Sep 25</t>
        </is>
      </c>
      <c r="C45" s="21" t="inlineStr">
        <is>
          <t>Locked</t>
        </is>
      </c>
      <c r="D45" s="16" t="n">
        <v>36800</v>
      </c>
      <c r="E45" s="16" t="n">
        <v>15200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Oct 25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Nov 25</t>
        </is>
      </c>
      <c r="C47" s="21" t="inlineStr">
        <is>
          <t>Locked</t>
        </is>
      </c>
      <c r="D47" s="16" t="n">
        <v>0</v>
      </c>
      <c r="E47" s="16" t="n">
        <v>0</v>
      </c>
      <c r="F47" s="16">
        <f>D47-E47</f>
        <v/>
      </c>
      <c r="G47" s="17">
        <f>IF(D47=0,"",E47/D47*100)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9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