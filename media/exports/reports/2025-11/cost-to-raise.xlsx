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November_all_fundraising">'Report'!$B$10</definedName>
    <definedName name="Year_to_date_Jul_to_Nov_2025">'Report'!$B$11</definedName>
    <definedName name="November_Grants">'Report'!$B$35</definedName>
    <definedName name="Year_to_date_Jul_to_Nov_2025_2">'Report'!$B$36</definedName>
    <definedName name="November_Donations">'Report'!$B$46</definedName>
    <definedName name="Year_to_date_Jul_to_Nov_2025_3">'Report'!$B$47</definedName>
    <definedName name="November_Fundraising_events">'Report'!$B$57</definedName>
    <definedName name="Year_to_date_Jul_to_Nov_2025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November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'Data'!$A$6:$A$19</f>
            </numRef>
          </cat>
          <val>
            <numRef>
              <f>'Data'!$C$6:$C$19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19" headerRowCount="1">
  <autoFilter ref="A5:I19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Each dollar raised cost 11¢ in November,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November · all fundraising</t>
        </is>
      </c>
      <c r="B10" s="8">
        <f>Workings!B10</f>
        <v/>
      </c>
      <c r="C10" s="9" t="inlineStr">
        <is>
          <t>October 11¢</t>
        </is>
      </c>
    </row>
    <row r="11">
      <c r="A11" t="inlineStr">
        <is>
          <t>Year to date (Jul to Nov 2025)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November 2025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17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November cost 11¢ to raise each dollar, against 11¢ in October.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November · Grants</t>
        </is>
      </c>
      <c r="B35" s="8">
        <f>Workings!B39</f>
        <v/>
      </c>
      <c r="C35" s="9" t="inlineStr">
        <is>
          <t>October 10¢</t>
        </is>
      </c>
    </row>
    <row r="36">
      <c r="A36" t="inlineStr">
        <is>
          <t>Year to date (Jul to Nov 2025)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($35,500 of grant writing and reporting for $322,093).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November · Donations</t>
        </is>
      </c>
      <c r="B46" s="8">
        <f>Workings!B56</f>
        <v/>
      </c>
      <c r="C46" s="9" t="inlineStr">
        <is>
          <t>October 14¢</t>
        </is>
      </c>
    </row>
    <row r="47">
      <c r="A47" t="inlineStr">
        <is>
          <t>Year to date (Jul to Nov 2025)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($11,900 of donor campaigns for $80,500).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November · Fundraising events</t>
        </is>
      </c>
      <c r="B57" t="inlineStr">
        <is>
          <t>–</t>
        </is>
      </c>
      <c r="C57" s="9" t="inlineStr">
        <is>
          <t>October none raised</t>
        </is>
      </c>
    </row>
    <row r="58">
      <c r="A58" t="inlineStr">
        <is>
          <t>Year to date (Jul to Nov 2025)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($15,200 of event costs for $36,800).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Cost to raise a dollar, all fundraising, November and October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Nov 25</t>
        </is>
      </c>
      <c r="C7" s="7" t="inlineStr">
        <is>
          <t>Oct 25</t>
        </is>
      </c>
    </row>
    <row r="8">
      <c r="A8" t="inlineStr">
        <is>
          <t>Cost of raising it</t>
        </is>
      </c>
      <c r="B8" s="13" t="n">
        <v>10200</v>
      </c>
      <c r="C8" s="13" t="n">
        <v>9300</v>
      </c>
    </row>
    <row r="9">
      <c r="A9" t="inlineStr">
        <is>
          <t>Money raised</t>
        </is>
      </c>
      <c r="B9" s="13" t="n">
        <v>88864</v>
      </c>
      <c r="C9" s="13" t="n">
        <v>85385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62600</v>
      </c>
    </row>
    <row r="17">
      <c r="A17" t="inlineStr">
        <is>
          <t>Raised, year to date</t>
        </is>
      </c>
      <c r="B17" s="13" t="n">
        <v>439393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November 2025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Nov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70164</v>
      </c>
    </row>
    <row r="27">
      <c r="A27" t="inlineStr">
        <is>
          <t>Donations: cost (donor campaigns)</t>
        </is>
      </c>
      <c r="B27" s="13" t="n">
        <v>3100</v>
      </c>
    </row>
    <row r="28">
      <c r="A28" t="inlineStr">
        <is>
          <t>Donations: raised</t>
        </is>
      </c>
      <c r="B28" s="13" t="n">
        <v>18700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November. </t>
        </is>
      </c>
    </row>
    <row r="32"/>
    <row r="33"/>
    <row r="34">
      <c r="A34" s="5" t="inlineStr">
        <is>
          <t>Cost to raise a dollar, grants, November and October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Nov 25</t>
        </is>
      </c>
      <c r="C36" s="7" t="inlineStr">
        <is>
          <t>Oct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70164</v>
      </c>
      <c r="C38" s="13" t="n">
        <v>69185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35500</v>
      </c>
    </row>
    <row r="46">
      <c r="A46" t="inlineStr">
        <is>
          <t>Raised, year to date</t>
        </is>
      </c>
      <c r="B46" s="13" t="n">
        <v>322093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November and October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Nov 25</t>
        </is>
      </c>
      <c r="C53" s="7" t="inlineStr">
        <is>
          <t>Oct 25</t>
        </is>
      </c>
    </row>
    <row r="54">
      <c r="A54" t="inlineStr">
        <is>
          <t>Cost of raising it</t>
        </is>
      </c>
      <c r="B54" s="13" t="n">
        <v>3100</v>
      </c>
      <c r="C54" s="13" t="n">
        <v>2200</v>
      </c>
    </row>
    <row r="55">
      <c r="A55" t="inlineStr">
        <is>
          <t>Money raised</t>
        </is>
      </c>
      <c r="B55" s="13" t="n">
        <v>18700</v>
      </c>
      <c r="C55" s="13" t="n">
        <v>16200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11900</v>
      </c>
    </row>
    <row r="63">
      <c r="A63" t="inlineStr">
        <is>
          <t>Raised, year to date</t>
        </is>
      </c>
      <c r="B63" s="13" t="n">
        <v>80500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November and October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Nov 25</t>
        </is>
      </c>
      <c r="C70" s="7" t="inlineStr">
        <is>
          <t>Oct 25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15200</v>
      </c>
    </row>
    <row r="80">
      <c r="A80" t="inlineStr">
        <is>
          <t>Raised, year to date</t>
        </is>
      </c>
      <c r="B80" s="13" t="n">
        <v>36800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