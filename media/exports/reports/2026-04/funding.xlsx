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April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'Data'!$B$6:$B$24</f>
            </numRef>
          </cat>
          <val>
            <numRef>
              <f>'Data'!$D$6:$D$24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'Data'!$B$6:$B$24</f>
            </numRef>
          </cat>
          <val>
            <numRef>
              <f>'Data'!$D$25:$D$43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'Data'!$B$6:$B$24</f>
            </numRef>
          </cat>
          <val>
            <numRef>
              <f>'Data'!$D$44:$D$62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62" headerRowCount="1">
  <autoFilter ref="A5:G62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Grants cost 11¢ to raise each dollar in April; donations 13¢.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April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11</v>
      </c>
    </row>
    <row r="12">
      <c r="A12" t="inlineStr">
        <is>
          <t>Donations</t>
        </is>
      </c>
      <c r="B12" s="9" t="n">
        <v>13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April it cost: Grants 11¢, donations 13¢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April: grants (11¢ a dollar). Dearest: donations (13¢).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$626,965 raised this financial year to date (74.7% of everything raised), $71,000 to raise it, so $555,965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$169,200 raised this financial year to date (20.2% of everything raised), $25,100 to raise it, so $144,100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(5.1%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April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April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Apr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Apr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$626,965</t>
        </is>
      </c>
      <c r="C60" s="15" t="inlineStr">
        <is>
          <t>$71,000</t>
        </is>
      </c>
      <c r="D60" s="15" t="inlineStr">
        <is>
          <t>$555,965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$169,200</t>
        </is>
      </c>
      <c r="C61" s="15" t="inlineStr">
        <is>
          <t>$25,100</t>
        </is>
      </c>
      <c r="D61" s="15" t="inlineStr">
        <is>
          <t>$144,100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Cost to raise a dollar, by source, April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Apr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66729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16600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April. </t>
        </is>
      </c>
    </row>
    <row r="15"/>
    <row r="16"/>
    <row r="17">
      <c r="A17" s="5" t="inlineStr">
        <is>
          <t>Cost to raise a dollar, by source, April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Apr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66729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16600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April. </t>
        </is>
      </c>
    </row>
    <row r="27"/>
    <row r="28"/>
    <row r="29">
      <c r="A29" s="5" t="inlineStr">
        <is>
          <t>Cost to raise a dollar, by source, April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Apr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66729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16600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April. </t>
        </is>
      </c>
    </row>
    <row r="39"/>
    <row r="40"/>
    <row r="41">
      <c r="A41" s="5" t="inlineStr">
        <is>
          <t>Raised, financial year to date (Jul to Apr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626965</v>
      </c>
    </row>
    <row r="45">
      <c r="A45" t="inlineStr">
        <is>
          <t>Donations, raised</t>
        </is>
      </c>
      <c r="B45" s="16" t="n">
        <v>169200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Oct 24</t>
        </is>
      </c>
      <c r="C25" s="21" t="inlineStr">
        <is>
          <t>Locked</t>
        </is>
      </c>
      <c r="D25" s="16" t="n">
        <v>15300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Nov 24</t>
        </is>
      </c>
      <c r="C26" s="21" t="inlineStr">
        <is>
          <t>Locked</t>
        </is>
      </c>
      <c r="D26" s="16" t="n">
        <v>17700</v>
      </c>
      <c r="E26" s="16" t="n">
        <v>3100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Dec 24</t>
        </is>
      </c>
      <c r="C27" s="21" t="inlineStr">
        <is>
          <t>Locked</t>
        </is>
      </c>
      <c r="D27" s="16" t="n">
        <v>24700</v>
      </c>
      <c r="E27" s="16" t="n">
        <v>4400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Jan 25</t>
        </is>
      </c>
      <c r="C28" s="21" t="inlineStr">
        <is>
          <t>Locked</t>
        </is>
      </c>
      <c r="D28" s="16" t="n">
        <v>12400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Feb 25</t>
        </is>
      </c>
      <c r="C29" s="21" t="inlineStr">
        <is>
          <t>Locked</t>
        </is>
      </c>
      <c r="D29" s="16" t="n">
        <v>15600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Mar 25</t>
        </is>
      </c>
      <c r="C30" s="21" t="inlineStr">
        <is>
          <t>Locked</t>
        </is>
      </c>
      <c r="D30" s="16" t="n">
        <v>15700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Apr 25</t>
        </is>
      </c>
      <c r="C31" s="21" t="inlineStr">
        <is>
          <t>Locked</t>
        </is>
      </c>
      <c r="D31" s="16" t="n">
        <v>15700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May 25</t>
        </is>
      </c>
      <c r="C32" s="21" t="inlineStr">
        <is>
          <t>Locked</t>
        </is>
      </c>
      <c r="D32" s="16" t="n">
        <v>15800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Jun 25</t>
        </is>
      </c>
      <c r="C33" s="21" t="inlineStr">
        <is>
          <t>Locked</t>
        </is>
      </c>
      <c r="D33" s="16" t="n">
        <v>38100</v>
      </c>
      <c r="E33" s="16" t="n">
        <v>5500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Jul 25</t>
        </is>
      </c>
      <c r="C34" s="21" t="inlineStr">
        <is>
          <t>Locked</t>
        </is>
      </c>
      <c r="D34" s="16" t="n">
        <v>13500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Aug 25</t>
        </is>
      </c>
      <c r="C35" s="21" t="inlineStr">
        <is>
          <t>Locked</t>
        </is>
      </c>
      <c r="D35" s="16" t="n">
        <v>16000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Sep 25</t>
        </is>
      </c>
      <c r="C36" s="21" t="inlineStr">
        <is>
          <t>Locked</t>
        </is>
      </c>
      <c r="D36" s="16" t="n">
        <v>16100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Oct 25</t>
        </is>
      </c>
      <c r="C37" s="21" t="inlineStr">
        <is>
          <t>Locked</t>
        </is>
      </c>
      <c r="D37" s="16" t="n">
        <v>16200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Nov 25</t>
        </is>
      </c>
      <c r="C38" s="21" t="inlineStr">
        <is>
          <t>Locked</t>
        </is>
      </c>
      <c r="D38" s="16" t="n">
        <v>18700</v>
      </c>
      <c r="E38" s="16" t="n">
        <v>3100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Dec 25</t>
        </is>
      </c>
      <c r="C39" s="21" t="inlineStr">
        <is>
          <t>Locked</t>
        </is>
      </c>
      <c r="D39" s="16" t="n">
        <v>26100</v>
      </c>
      <c r="E39" s="16" t="n">
        <v>4400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Jan 26</t>
        </is>
      </c>
      <c r="C40" s="21" t="inlineStr">
        <is>
          <t>Locked</t>
        </is>
      </c>
      <c r="D40" s="16" t="n">
        <v>13100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Feb 26</t>
        </is>
      </c>
      <c r="C41" s="21" t="inlineStr">
        <is>
          <t>Locked</t>
        </is>
      </c>
      <c r="D41" s="16" t="n">
        <v>16400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Mar 26</t>
        </is>
      </c>
      <c r="C42" s="21" t="inlineStr">
        <is>
          <t>Locked</t>
        </is>
      </c>
      <c r="D42" s="16" t="n">
        <v>16500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Apr 26</t>
        </is>
      </c>
      <c r="C43" s="21" t="inlineStr">
        <is>
          <t>Locked</t>
        </is>
      </c>
      <c r="D43" s="16" t="n">
        <v>16600</v>
      </c>
      <c r="E43" s="16" t="n">
        <v>2200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Oct 24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Nov 24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Dec 24</t>
        </is>
      </c>
      <c r="C46" s="21" t="inlineStr">
        <is>
          <t>Locked</t>
        </is>
      </c>
      <c r="D46" s="16" t="n">
        <v>6200</v>
      </c>
      <c r="E46" s="16" t="n">
        <v>2600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Jan 25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Feb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Mar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Apr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May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Jun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Jul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Aug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Sep 25</t>
        </is>
      </c>
      <c r="C55" s="21" t="inlineStr">
        <is>
          <t>Locked</t>
        </is>
      </c>
      <c r="D55" s="16" t="n">
        <v>36800</v>
      </c>
      <c r="E55" s="16" t="n">
        <v>15200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Oct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Nov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Dec 25</t>
        </is>
      </c>
      <c r="C58" s="21" t="inlineStr">
        <is>
          <t>Locked</t>
        </is>
      </c>
      <c r="D58" s="16" t="n">
        <v>6200</v>
      </c>
      <c r="E58" s="16" t="n">
        <v>2600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Jan 26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Feb 26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Mar 26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Apr 26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4" min="0" max="16383" man="1"/>
    <brk id="4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