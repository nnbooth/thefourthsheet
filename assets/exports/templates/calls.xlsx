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nathanbooth/dataPortfolio/assets/exports/templates/"/>
    </mc:Choice>
  </mc:AlternateContent>
  <xr:revisionPtr revIDLastSave="0" documentId="13_ncr:1_{01E15023-2434-DD47-AA7F-30CB9BD36722}" xr6:coauthVersionLast="47" xr6:coauthVersionMax="47" xr10:uidLastSave="{00000000-0000-0000-0000-000000000000}"/>
  <bookViews>
    <workbookView xWindow="0" yWindow="600" windowWidth="40960" windowHeight="20980" xr2:uid="{00000000-000D-0000-FFFF-FFFF00000000}"/>
  </bookViews>
  <sheets>
    <sheet name="Report" sheetId="1" r:id="rId1"/>
    <sheet name="Workings" sheetId="2" r:id="rId2"/>
    <sheet name="Hours" sheetId="3" r:id="rId3"/>
    <sheet name="Data" sheetId="4" r:id="rId4"/>
  </sheets>
  <definedNames>
    <definedName name="_xlnm.Print_Area" localSheetId="0">Report!$A$1:$I$83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1" i="1" l="1"/>
  <c r="L81" i="1"/>
  <c r="M81" i="1"/>
  <c r="G81" i="1"/>
  <c r="H81" i="1"/>
  <c r="I81" i="1"/>
  <c r="D81" i="1"/>
  <c r="C81" i="1"/>
  <c r="A81" i="1"/>
  <c r="K80" i="1"/>
  <c r="L80" i="1"/>
  <c r="M80" i="1"/>
  <c r="G80" i="1"/>
  <c r="H80" i="1"/>
  <c r="I80" i="1"/>
  <c r="D80" i="1"/>
  <c r="C80" i="1"/>
  <c r="A80" i="1"/>
  <c r="K79" i="1"/>
  <c r="L79" i="1"/>
  <c r="M79" i="1"/>
  <c r="G79" i="1"/>
  <c r="H79" i="1"/>
  <c r="I79" i="1"/>
  <c r="D79" i="1"/>
  <c r="C79" i="1"/>
  <c r="A79" i="1"/>
  <c r="K78" i="1"/>
  <c r="L78" i="1"/>
  <c r="M78" i="1"/>
  <c r="G78" i="1"/>
  <c r="H78" i="1"/>
  <c r="I78" i="1"/>
  <c r="D78" i="1"/>
  <c r="C78" i="1"/>
  <c r="A78" i="1"/>
  <c r="K77" i="1"/>
  <c r="L77" i="1"/>
  <c r="M77" i="1"/>
  <c r="G77" i="1"/>
  <c r="H77" i="1"/>
  <c r="I77" i="1"/>
  <c r="D77" i="1"/>
  <c r="C77" i="1"/>
  <c r="A77" i="1"/>
  <c r="K76" i="1"/>
  <c r="L76" i="1"/>
  <c r="M76" i="1"/>
  <c r="G76" i="1"/>
  <c r="H76" i="1"/>
  <c r="I76" i="1"/>
  <c r="D76" i="1"/>
  <c r="C76" i="1"/>
  <c r="A76" i="1"/>
  <c r="K75" i="1"/>
  <c r="L75" i="1"/>
  <c r="M75" i="1"/>
  <c r="G75" i="1"/>
  <c r="H75" i="1"/>
  <c r="I75" i="1"/>
  <c r="D75" i="1"/>
  <c r="C75" i="1"/>
  <c r="A75" i="1"/>
  <c r="K74" i="1"/>
  <c r="L74" i="1"/>
  <c r="M74" i="1"/>
  <c r="G74" i="1"/>
  <c r="H74" i="1"/>
  <c r="I74" i="1"/>
  <c r="D74" i="1"/>
  <c r="C74" i="1"/>
  <c r="A74" i="1"/>
  <c r="K73" i="1"/>
  <c r="L73" i="1"/>
  <c r="M73" i="1"/>
  <c r="G73" i="1"/>
  <c r="H73" i="1"/>
  <c r="I73" i="1"/>
  <c r="D73" i="1"/>
  <c r="C73" i="1"/>
  <c r="A73" i="1"/>
  <c r="K72" i="1"/>
  <c r="L72" i="1"/>
  <c r="M72" i="1"/>
  <c r="G72" i="1"/>
  <c r="H72" i="1"/>
  <c r="I72" i="1"/>
  <c r="D72" i="1"/>
  <c r="C72" i="1"/>
  <c r="A72" i="1"/>
  <c r="K71" i="1"/>
  <c r="L71" i="1"/>
  <c r="M71" i="1"/>
  <c r="G71" i="1"/>
  <c r="H71" i="1"/>
  <c r="I71" i="1"/>
  <c r="D71" i="1"/>
  <c r="C71" i="1"/>
  <c r="A71" i="1"/>
  <c r="K70" i="1"/>
  <c r="L70" i="1"/>
  <c r="M70" i="1"/>
  <c r="G70" i="1"/>
  <c r="H70" i="1"/>
  <c r="I70" i="1"/>
  <c r="D70" i="1"/>
  <c r="C70" i="1"/>
  <c r="A70" i="1"/>
  <c r="K69" i="1"/>
  <c r="L69" i="1"/>
  <c r="M69" i="1"/>
  <c r="G69" i="1"/>
  <c r="H69" i="1"/>
  <c r="I69" i="1"/>
  <c r="D69" i="1"/>
  <c r="C69" i="1"/>
  <c r="A69" i="1"/>
  <c r="K68" i="1"/>
  <c r="L68" i="1"/>
  <c r="M68" i="1"/>
  <c r="G68" i="1"/>
  <c r="H68" i="1"/>
  <c r="I68" i="1"/>
  <c r="D68" i="1"/>
  <c r="C68" i="1"/>
  <c r="A68" i="1"/>
  <c r="K67" i="1"/>
  <c r="L67" i="1"/>
  <c r="M67" i="1"/>
  <c r="G67" i="1"/>
  <c r="H67" i="1"/>
  <c r="I67" i="1"/>
  <c r="D67" i="1"/>
  <c r="C67" i="1"/>
  <c r="A67" i="1"/>
  <c r="K66" i="1"/>
  <c r="L66" i="1"/>
  <c r="M66" i="1"/>
  <c r="G66" i="1"/>
  <c r="H66" i="1"/>
  <c r="I66" i="1"/>
  <c r="D66" i="1"/>
  <c r="C66" i="1"/>
  <c r="A66" i="1"/>
  <c r="K65" i="1"/>
  <c r="L65" i="1"/>
  <c r="M65" i="1"/>
  <c r="G65" i="1"/>
  <c r="H65" i="1"/>
  <c r="I65" i="1"/>
  <c r="D65" i="1"/>
  <c r="C65" i="1"/>
  <c r="A65" i="1"/>
  <c r="K64" i="1"/>
  <c r="L64" i="1"/>
  <c r="M64" i="1"/>
  <c r="G64" i="1"/>
  <c r="H64" i="1"/>
  <c r="I64" i="1"/>
  <c r="D64" i="1"/>
  <c r="C64" i="1"/>
  <c r="A64" i="1"/>
  <c r="K63" i="1"/>
  <c r="L63" i="1"/>
  <c r="M63" i="1"/>
  <c r="G63" i="1"/>
  <c r="H63" i="1"/>
  <c r="I63" i="1"/>
  <c r="D63" i="1"/>
  <c r="C63" i="1"/>
  <c r="A63" i="1"/>
  <c r="K62" i="1"/>
  <c r="L62" i="1"/>
  <c r="M62" i="1"/>
  <c r="G62" i="1"/>
  <c r="H62" i="1"/>
  <c r="I62" i="1"/>
  <c r="D62" i="1"/>
  <c r="C62" i="1"/>
  <c r="A62" i="1"/>
  <c r="K61" i="1"/>
  <c r="L61" i="1"/>
  <c r="M61" i="1"/>
  <c r="G61" i="1"/>
  <c r="H61" i="1"/>
  <c r="I61" i="1"/>
  <c r="D61" i="1"/>
  <c r="C61" i="1"/>
  <c r="A61" i="1"/>
  <c r="K60" i="1"/>
  <c r="L60" i="1"/>
  <c r="M60" i="1"/>
  <c r="G60" i="1"/>
  <c r="H60" i="1"/>
  <c r="I60" i="1"/>
  <c r="D60" i="1"/>
  <c r="C60" i="1"/>
  <c r="A60" i="1"/>
  <c r="K59" i="1"/>
  <c r="L59" i="1"/>
  <c r="M59" i="1"/>
  <c r="G59" i="1"/>
  <c r="H59" i="1"/>
  <c r="I59" i="1"/>
  <c r="D59" i="1"/>
  <c r="C59" i="1"/>
  <c r="A59" i="1"/>
  <c r="K58" i="1"/>
  <c r="L58" i="1"/>
  <c r="M58" i="1"/>
  <c r="G58" i="1"/>
  <c r="H58" i="1"/>
  <c r="I58" i="1"/>
  <c r="D58" i="1"/>
  <c r="C58" i="1"/>
  <c r="A58" i="1"/>
  <c r="K24" i="1"/>
  <c r="L24" i="1"/>
  <c r="M24" i="1"/>
  <c r="K23" i="1"/>
  <c r="K22" i="1"/>
  <c r="M22" i="1" s="1"/>
  <c r="L22" i="1"/>
  <c r="K21" i="1"/>
  <c r="L21" i="1"/>
  <c r="M21" i="1"/>
  <c r="K20" i="1"/>
  <c r="K19" i="1"/>
  <c r="K18" i="1"/>
  <c r="L18" i="1"/>
  <c r="M18" i="1"/>
  <c r="K17" i="1"/>
  <c r="H12" i="1"/>
  <c r="E12" i="1"/>
  <c r="C12" i="1"/>
  <c r="A12" i="1"/>
  <c r="F6" i="4"/>
  <c r="D6" i="3"/>
  <c r="C12" i="2"/>
  <c r="B12" i="2"/>
  <c r="C11" i="2"/>
  <c r="B11" i="2"/>
  <c r="L23" i="1" l="1"/>
  <c r="M23" i="1"/>
  <c r="M20" i="1"/>
  <c r="L20" i="1"/>
  <c r="M19" i="1"/>
  <c r="L19" i="1"/>
  <c r="L17" i="1"/>
  <c r="M17" i="1"/>
</calcChain>
</file>

<file path=xl/sharedStrings.xml><?xml version="1.0" encoding="utf-8"?>
<sst xmlns="http://schemas.openxmlformats.org/spreadsheetml/2006/main" count="103" uniqueCount="81">
  <si>
    <t>{{question}}</t>
  </si>
  <si>
    <t>{{business}} · SAMPLE DATA (invented) · The Fourth Sheet</t>
  </si>
  <si>
    <t>Period: {{period_label}} · Data status: {{status_short}} · {{generated}}</t>
  </si>
  <si>
    <t>In short: {{answer}}</t>
  </si>
  <si>
    <t>{{intro}}</t>
  </si>
  <si>
    <t>{{part_note}}</t>
  </si>
  <si>
    <t>{{kpi1.label}}</t>
  </si>
  <si>
    <t>{{kpi1.sub}}</t>
  </si>
  <si>
    <t>{{kpi2.label}}</t>
  </si>
  <si>
    <t>{{kpi2.sub}}</t>
  </si>
  <si>
    <t>{{kpi3.label}}</t>
  </si>
  <si>
    <t>{{kpi3.sub}}</t>
  </si>
  <si>
    <t>{{kpi4.label}}</t>
  </si>
  <si>
    <t>{{kpi4.sub}}</t>
  </si>
  <si>
    <t>{{shows}}</t>
  </si>
  <si>
    <t>{{action}}</t>
  </si>
  <si>
    <t>How each number is worked out</t>
  </si>
  <si>
    <t>Calls for help, {{cur}} and {{prev}}</t>
  </si>
  <si>
    <t>Answered ÷ calls while the line was staffed</t>
  </si>
  <si>
    <t>{{cur}}</t>
  </si>
  <si>
    <t>{{prev}}</t>
  </si>
  <si>
    <t>Calls</t>
  </si>
  <si>
    <t>{{n:w.calls}}</t>
  </si>
  <si>
    <t>{{n:w.calls_prev}}</t>
  </si>
  <si>
    <t>Calls while staffed</t>
  </si>
  <si>
    <t>{{n:w.staffed}}</t>
  </si>
  <si>
    <t>{{n:w.staffed_prev}}</t>
  </si>
  <si>
    <t>Answered</t>
  </si>
  <si>
    <t>{{n:w.answered}}</t>
  </si>
  <si>
    <t>{{n:w.answered_prev}}</t>
  </si>
  <si>
    <t>Answered while staffed</t>
  </si>
  <si>
    <t>Calls outside staffed hours</t>
  </si>
  <si>
    <t>Median wait when answered, {{cur}} and {{prev}}</t>
  </si>
  <si>
    <t>The middle wait when every answered call is lined up from shortest to longest</t>
  </si>
  <si>
    <t>Answered calls (while staffed)</t>
  </si>
  <si>
    <t>{{n:w.median_n}}</t>
  </si>
  <si>
    <t>{{n:w.median_n_prev}}</t>
  </si>
  <si>
    <t>Median wait (seconds, rounded half up)</t>
  </si>
  <si>
    <t>{{n:w.median}}</t>
  </si>
  <si>
    <t>{{n:w.median_prev}}</t>
  </si>
  <si>
    <t>{{w.median_note}}</t>
  </si>
  <si>
    <t>When the calls come in, {{period_label}}</t>
  </si>
  <si>
    <t>Time of day</t>
  </si>
  <si>
    <t>Answered %</t>
  </si>
  <si>
    <t>{{hours.label}}</t>
  </si>
  <si>
    <t>{{n:hours.calls}}</t>
  </si>
  <si>
    <t>{{n:hours.answered}}</t>
  </si>
  <si>
    <t>Calls for help by month</t>
  </si>
  <si>
    <t>Month</t>
  </si>
  <si>
    <t>Status</t>
  </si>
  <si>
    <t>While staffed</t>
  </si>
  <si>
    <t>{{months.label}}</t>
  </si>
  <si>
    <t>{{months.status}}</t>
  </si>
  <si>
    <t>{{n:months.calls}}</t>
  </si>
  <si>
    <t>{{n:months.staffed}}</t>
  </si>
  <si>
    <t>{{n:months.answered}}</t>
  </si>
  <si>
    <t>Example report · {{audience}}</t>
  </si>
  <si>
    <t>SAMPLE DATA · INVENTED FIGURES FOR DEMONSTRATION</t>
  </si>
  <si>
    <t>{{business}} · {{period_label}}</t>
  </si>
  <si>
    <t>CALLS</t>
  </si>
  <si>
    <t>ANSWERED %</t>
  </si>
  <si>
    <t>WHAT IT SHOWS</t>
  </si>
  <si>
    <t>WHAT YOU'D DO ABOUT IT</t>
  </si>
  <si>
    <t>How final is this data?</t>
  </si>
  <si>
    <t>{{period_label}}</t>
  </si>
  <si>
    <t>{{status_short}}</t>
  </si>
  <si>
    <t>{{business}} · {{question}}</t>
  </si>
  <si>
    <t>4th</t>
  </si>
  <si>
    <t>The Fourth Sheet</t>
  </si>
  <si>
    <t>{{kpi1.colour}}</t>
  </si>
  <si>
    <t>{{kpi2.colour}}</t>
  </si>
  <si>
    <t>{{kpi3.colour}}</t>
  </si>
  <si>
    <t>{{kpi4.colour}}</t>
  </si>
  <si>
    <t>Card colours (from renderer; drive card 2–4 red/green)</t>
  </si>
  <si>
    <t>Every month's status is listed on page 2.</t>
  </si>
  <si>
    <t>Chart data – time of day</t>
  </si>
  <si>
    <t>{{months_note}}. Months still in progress are shown paler.</t>
  </si>
  <si>
    <t>ANSWERED WHILE STAFFED</t>
  </si>
  <si>
    <t>Every month</t>
  </si>
  <si>
    <t>Chart data – months</t>
  </si>
  <si>
    <t>{{generated}} · Sample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</si>
</sst>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&quot; sec&quot;"/>
    <numFmt numFmtId="165" formatCode="#,##0;\(#,##0\);&quot;-&quot;"/>
    <numFmt numFmtId="166" formatCode="0.0%;\(0.0%\);&quot;-&quot;"/>
    <numFmt numFmtId="167" formatCode="0.0%"/>
  </numFmts>
  <fonts count="27" x14ac:knownFonts="1">
    <font>
      <sz val="11"/>
      <name val="Roboto"/>
    </font>
    <font>
      <b/>
      <sz val="11"/>
      <color rgb="FFFFFFFF"/>
      <name val="Roboto"/>
    </font>
    <font>
      <sz val="9.5"/>
      <color rgb="FF25342A"/>
      <name val="Roboto"/>
    </font>
    <font>
      <sz val="8"/>
      <color rgb="FF25342A"/>
      <name val="Roboto"/>
    </font>
    <font>
      <sz val="8"/>
      <name val="Roboto"/>
    </font>
    <font>
      <b/>
      <sz val="8"/>
      <color rgb="FF8A7A52"/>
      <name val="Roboto"/>
    </font>
    <font>
      <b/>
      <sz val="19"/>
      <name val="Roboto"/>
    </font>
    <font>
      <sz val="8"/>
      <color rgb="FF5F6F63"/>
      <name val="Roboto"/>
    </font>
    <font>
      <i/>
      <sz val="8"/>
      <color rgb="FF5F6F63"/>
      <name val="Roboto"/>
    </font>
    <font>
      <sz val="10.5"/>
      <name val="Roboto"/>
    </font>
    <font>
      <b/>
      <sz val="11.5"/>
      <name val="Roboto"/>
    </font>
    <font>
      <b/>
      <sz val="7.5"/>
      <color rgb="FF5F6F63"/>
      <name val="Roboto"/>
    </font>
    <font>
      <sz val="8.5"/>
      <color rgb="FF25342A"/>
      <name val="Roboto"/>
    </font>
    <font>
      <sz val="8.5"/>
      <color rgb="FF5F6F63"/>
      <name val="Roboto"/>
    </font>
    <font>
      <sz val="7"/>
      <color rgb="FF5F6F63"/>
      <name val="Roboto"/>
    </font>
    <font>
      <b/>
      <sz val="15"/>
      <color rgb="FF25342A"/>
      <name val="Roboto"/>
    </font>
    <font>
      <b/>
      <sz val="8"/>
      <color rgb="FF5F6F63"/>
      <name val="Roboto"/>
    </font>
    <font>
      <sz val="9"/>
      <color rgb="FF25342A"/>
      <name val="Roboto"/>
    </font>
    <font>
      <sz val="9"/>
      <color rgb="FF5F6F63"/>
      <name val="Roboto"/>
    </font>
    <font>
      <b/>
      <sz val="11.5"/>
      <color rgb="FF25342A"/>
      <name val="Roboto"/>
    </font>
    <font>
      <b/>
      <sz val="9"/>
      <color rgb="FF25342A"/>
      <name val="Roboto"/>
    </font>
    <font>
      <b/>
      <sz val="13"/>
      <name val="Roboto"/>
    </font>
    <font>
      <b/>
      <sz val="18"/>
      <color rgb="FF2F7A5D"/>
      <name val="Roboto"/>
    </font>
    <font>
      <i/>
      <sz val="7.5"/>
      <color rgb="FF5F6F63"/>
      <name val="Roboto"/>
    </font>
    <font>
      <b/>
      <sz val="8.5"/>
      <name val="Roboto"/>
    </font>
    <font>
      <b/>
      <sz val="15"/>
      <name val="Roboto"/>
    </font>
    <font>
      <sz val="9.5"/>
      <color rgb="FF5F6F63"/>
      <name val="Roboto"/>
    </font>
  </fonts>
  <fills count="4">
    <fill>
      <patternFill patternType="none"/>
    </fill>
    <fill>
      <patternFill patternType="gray125"/>
    </fill>
    <fill>
      <patternFill patternType="solid">
        <fgColor rgb="FF2F7A5D"/>
        <bgColor indexed="64"/>
      </patternFill>
    </fill>
    <fill>
      <patternFill patternType="solid">
        <fgColor rgb="FFEEF5F0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rgb="FFD9E2DB"/>
      </top>
      <bottom/>
      <diagonal/>
    </border>
    <border>
      <left/>
      <right/>
      <top style="thin">
        <color rgb="FFD9E2DB"/>
      </top>
      <bottom style="thin">
        <color rgb="FFE6EBE7"/>
      </bottom>
      <diagonal/>
    </border>
    <border>
      <left/>
      <right/>
      <top/>
      <bottom style="thin">
        <color rgb="FFE6EBE7"/>
      </bottom>
      <diagonal/>
    </border>
    <border>
      <left/>
      <right/>
      <top style="thin">
        <color rgb="FFDCE8DC"/>
      </top>
      <bottom/>
      <diagonal/>
    </border>
    <border>
      <left/>
      <right/>
      <top style="thin">
        <color rgb="FFDCE8DC"/>
      </top>
      <bottom style="thin">
        <color rgb="FFDCE8DC"/>
      </bottom>
      <diagonal/>
    </border>
    <border>
      <left/>
      <right/>
      <top/>
      <bottom style="thin">
        <color rgb="FFDCE8DC"/>
      </bottom>
      <diagonal/>
    </border>
    <border>
      <left style="thin">
        <color rgb="FFDCE8DC"/>
      </left>
      <right/>
      <top style="thin">
        <color rgb="FFDCE8DC"/>
      </top>
      <bottom/>
      <diagonal/>
    </border>
    <border>
      <left style="thin">
        <color rgb="FFDCE8DC"/>
      </left>
      <right/>
      <top/>
      <bottom/>
      <diagonal/>
    </border>
    <border>
      <left style="thin">
        <color rgb="FFDCE8DC"/>
      </left>
      <right/>
      <top/>
      <bottom style="thin">
        <color rgb="FFDCE8DC"/>
      </bottom>
      <diagonal/>
    </border>
    <border>
      <left/>
      <right style="thin">
        <color rgb="FFDCE8DC"/>
      </right>
      <top style="thin">
        <color rgb="FFDCE8DC"/>
      </top>
      <bottom/>
      <diagonal/>
    </border>
    <border>
      <left/>
      <right style="thin">
        <color rgb="FFDCE8DC"/>
      </right>
      <top/>
      <bottom/>
      <diagonal/>
    </border>
    <border>
      <left/>
      <right style="thin">
        <color rgb="FFDCE8DC"/>
      </right>
      <top/>
      <bottom style="thin">
        <color rgb="FFDCE8DC"/>
      </bottom>
      <diagonal/>
    </border>
    <border>
      <left/>
      <right/>
      <top style="thin">
        <color rgb="FF25342A"/>
      </top>
      <bottom style="thin">
        <color rgb="FFDCE8DC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2" fillId="0" borderId="0" xfId="0" applyFont="1"/>
    <xf numFmtId="0" fontId="2" fillId="0" borderId="0" xfId="0" applyFont="1" applyAlignment="1">
      <alignment vertical="center"/>
    </xf>
    <xf numFmtId="0" fontId="5" fillId="0" borderId="0" xfId="0" applyFont="1"/>
    <xf numFmtId="0" fontId="7" fillId="0" borderId="0" xfId="0" applyFont="1"/>
    <xf numFmtId="0" fontId="7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5" fillId="0" borderId="0" xfId="0" applyFont="1"/>
    <xf numFmtId="0" fontId="8" fillId="0" borderId="0" xfId="0" applyFont="1"/>
    <xf numFmtId="0" fontId="16" fillId="0" borderId="0" xfId="0" applyFont="1" applyAlignment="1">
      <alignment horizontal="left" wrapText="1"/>
    </xf>
    <xf numFmtId="0" fontId="16" fillId="0" borderId="0" xfId="0" applyFont="1" applyAlignment="1">
      <alignment horizontal="right" wrapText="1"/>
    </xf>
    <xf numFmtId="0" fontId="17" fillId="0" borderId="2" xfId="0" applyFont="1" applyBorder="1"/>
    <xf numFmtId="3" fontId="17" fillId="0" borderId="2" xfId="0" applyNumberFormat="1" applyFont="1" applyBorder="1"/>
    <xf numFmtId="167" fontId="17" fillId="0" borderId="2" xfId="0" applyNumberFormat="1" applyFont="1" applyBorder="1"/>
    <xf numFmtId="0" fontId="18" fillId="0" borderId="2" xfId="0" applyFont="1" applyBorder="1"/>
    <xf numFmtId="0" fontId="19" fillId="0" borderId="0" xfId="0" applyFont="1"/>
    <xf numFmtId="0" fontId="17" fillId="0" borderId="1" xfId="0" applyFont="1" applyBorder="1"/>
    <xf numFmtId="0" fontId="17" fillId="0" borderId="0" xfId="0" applyFont="1"/>
    <xf numFmtId="0" fontId="20" fillId="0" borderId="0" xfId="0" applyFont="1"/>
    <xf numFmtId="0" fontId="20" fillId="0" borderId="3" xfId="0" applyFont="1" applyBorder="1"/>
    <xf numFmtId="3" fontId="17" fillId="0" borderId="1" xfId="0" applyNumberFormat="1" applyFont="1" applyBorder="1" applyAlignment="1">
      <alignment horizontal="right"/>
    </xf>
    <xf numFmtId="3" fontId="17" fillId="0" borderId="0" xfId="0" applyNumberFormat="1" applyFont="1" applyAlignment="1">
      <alignment horizontal="right"/>
    </xf>
    <xf numFmtId="167" fontId="20" fillId="0" borderId="0" xfId="0" applyNumberFormat="1" applyFont="1" applyAlignment="1">
      <alignment horizontal="right"/>
    </xf>
    <xf numFmtId="167" fontId="20" fillId="0" borderId="3" xfId="0" applyNumberFormat="1" applyFont="1" applyBorder="1" applyAlignment="1">
      <alignment horizontal="right"/>
    </xf>
    <xf numFmtId="0" fontId="2" fillId="0" borderId="0" xfId="0" applyFont="1" applyAlignment="1">
      <alignment horizontal="right"/>
    </xf>
    <xf numFmtId="164" fontId="20" fillId="0" borderId="3" xfId="0" applyNumberFormat="1" applyFont="1" applyBorder="1" applyAlignment="1">
      <alignment horizontal="right"/>
    </xf>
    <xf numFmtId="0" fontId="1" fillId="2" borderId="0" xfId="0" applyFont="1" applyFill="1" applyAlignment="1">
      <alignment horizontal="center" vertical="center"/>
    </xf>
    <xf numFmtId="0" fontId="23" fillId="0" borderId="0" xfId="0" applyFont="1" applyAlignment="1">
      <alignment vertical="center"/>
    </xf>
    <xf numFmtId="0" fontId="12" fillId="0" borderId="5" xfId="0" applyFont="1" applyBorder="1" applyAlignment="1">
      <alignment vertical="center"/>
    </xf>
    <xf numFmtId="167" fontId="7" fillId="0" borderId="0" xfId="0" applyNumberFormat="1" applyFont="1" applyAlignment="1">
      <alignment vertical="center"/>
    </xf>
    <xf numFmtId="0" fontId="7" fillId="0" borderId="13" xfId="0" applyFont="1" applyBorder="1" applyAlignment="1">
      <alignment vertical="center"/>
    </xf>
    <xf numFmtId="3" fontId="3" fillId="0" borderId="13" xfId="0" applyNumberFormat="1" applyFont="1" applyBorder="1" applyAlignment="1">
      <alignment horizontal="right" vertical="center"/>
    </xf>
    <xf numFmtId="167" fontId="3" fillId="0" borderId="13" xfId="0" applyNumberFormat="1" applyFont="1" applyBorder="1" applyAlignment="1">
      <alignment horizontal="right" vertical="center"/>
    </xf>
    <xf numFmtId="0" fontId="7" fillId="0" borderId="5" xfId="0" applyFont="1" applyBorder="1" applyAlignment="1">
      <alignment vertical="center"/>
    </xf>
    <xf numFmtId="3" fontId="3" fillId="0" borderId="5" xfId="0" applyNumberFormat="1" applyFont="1" applyBorder="1" applyAlignment="1">
      <alignment horizontal="right" vertical="center"/>
    </xf>
    <xf numFmtId="167" fontId="3" fillId="0" borderId="5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vertical="center"/>
    </xf>
    <xf numFmtId="3" fontId="3" fillId="0" borderId="4" xfId="0" applyNumberFormat="1" applyFont="1" applyBorder="1" applyAlignment="1">
      <alignment horizontal="right" vertical="center"/>
    </xf>
    <xf numFmtId="167" fontId="3" fillId="0" borderId="4" xfId="0" applyNumberFormat="1" applyFont="1" applyBorder="1" applyAlignment="1">
      <alignment horizontal="right" vertical="center"/>
    </xf>
    <xf numFmtId="0" fontId="26" fillId="0" borderId="0" xfId="0" applyFont="1" applyAlignment="1">
      <alignment vertical="center"/>
    </xf>
    <xf numFmtId="167" fontId="26" fillId="0" borderId="0" xfId="0" applyNumberFormat="1" applyFont="1" applyAlignment="1">
      <alignment vertical="center"/>
    </xf>
    <xf numFmtId="0" fontId="14" fillId="0" borderId="0" xfId="0" applyFont="1" applyAlignment="1">
      <alignment horizontal="right"/>
    </xf>
    <xf numFmtId="0" fontId="4" fillId="0" borderId="4" xfId="0" applyFont="1" applyBorder="1"/>
    <xf numFmtId="3" fontId="4" fillId="0" borderId="4" xfId="0" applyNumberFormat="1" applyFont="1" applyBorder="1" applyAlignment="1">
      <alignment horizontal="right"/>
    </xf>
    <xf numFmtId="0" fontId="4" fillId="0" borderId="5" xfId="0" applyFont="1" applyBorder="1"/>
    <xf numFmtId="3" fontId="4" fillId="0" borderId="5" xfId="0" applyNumberFormat="1" applyFont="1" applyBorder="1" applyAlignment="1">
      <alignment horizontal="right"/>
    </xf>
    <xf numFmtId="0" fontId="14" fillId="0" borderId="0" xfId="0" applyFont="1"/>
    <xf numFmtId="0" fontId="11" fillId="0" borderId="0" xfId="0" applyFont="1"/>
    <xf numFmtId="0" fontId="10" fillId="0" borderId="0" xfId="0" applyFont="1"/>
    <xf numFmtId="0" fontId="16" fillId="0" borderId="0" xfId="0" applyFont="1" applyAlignment="1">
      <alignment horizontal="left" wrapText="1"/>
    </xf>
    <xf numFmtId="0" fontId="16" fillId="0" borderId="0" xfId="0" applyFont="1" applyAlignment="1">
      <alignment horizontal="right" wrapText="1"/>
    </xf>
    <xf numFmtId="0" fontId="4" fillId="0" borderId="13" xfId="0" applyFont="1" applyBorder="1"/>
    <xf numFmtId="3" fontId="4" fillId="0" borderId="13" xfId="0" applyNumberFormat="1" applyFont="1" applyBorder="1" applyAlignment="1">
      <alignment horizontal="right"/>
    </xf>
    <xf numFmtId="0" fontId="25" fillId="0" borderId="0" xfId="0" applyFont="1"/>
    <xf numFmtId="0" fontId="7" fillId="0" borderId="0" xfId="0" applyFont="1"/>
    <xf numFmtId="0" fontId="11" fillId="3" borderId="0" xfId="0" applyFont="1" applyFill="1" applyAlignment="1">
      <alignment indent="1"/>
    </xf>
    <xf numFmtId="0" fontId="0" fillId="0" borderId="9" xfId="0" applyBorder="1" applyAlignment="1">
      <alignment vertical="top" wrapText="1" indent="1"/>
    </xf>
    <xf numFmtId="0" fontId="0" fillId="0" borderId="6" xfId="0" applyBorder="1" applyAlignment="1">
      <alignment vertical="top" wrapText="1" indent="1"/>
    </xf>
    <xf numFmtId="0" fontId="0" fillId="0" borderId="12" xfId="0" applyBorder="1" applyAlignment="1">
      <alignment vertical="top" wrapText="1" indent="1"/>
    </xf>
    <xf numFmtId="0" fontId="0" fillId="3" borderId="0" xfId="0" applyFill="1" applyAlignment="1">
      <alignment vertical="top" wrapText="1" indent="1"/>
    </xf>
    <xf numFmtId="0" fontId="24" fillId="0" borderId="5" xfId="0" applyFont="1" applyBorder="1"/>
    <xf numFmtId="0" fontId="13" fillId="0" borderId="5" xfId="0" applyFont="1" applyBorder="1"/>
    <xf numFmtId="0" fontId="7" fillId="0" borderId="7" xfId="0" applyFont="1" applyBorder="1" applyAlignment="1">
      <alignment wrapText="1" indent="1"/>
    </xf>
    <xf numFmtId="0" fontId="7" fillId="0" borderId="4" xfId="0" applyFont="1" applyBorder="1" applyAlignment="1">
      <alignment wrapText="1" indent="1"/>
    </xf>
    <xf numFmtId="166" fontId="22" fillId="0" borderId="8" xfId="0" applyNumberFormat="1" applyFont="1" applyBorder="1" applyAlignment="1">
      <alignment horizontal="left" indent="1"/>
    </xf>
    <xf numFmtId="166" fontId="22" fillId="0" borderId="0" xfId="0" applyNumberFormat="1" applyFont="1" applyAlignment="1">
      <alignment horizontal="left" indent="1"/>
    </xf>
    <xf numFmtId="0" fontId="7" fillId="0" borderId="9" xfId="0" applyFont="1" applyBorder="1" applyAlignment="1">
      <alignment vertical="top" wrapText="1" indent="1"/>
    </xf>
    <xf numFmtId="0" fontId="7" fillId="0" borderId="6" xfId="0" applyFont="1" applyBorder="1" applyAlignment="1">
      <alignment vertical="top" wrapText="1" indent="1"/>
    </xf>
    <xf numFmtId="0" fontId="7" fillId="0" borderId="10" xfId="0" applyFont="1" applyBorder="1" applyAlignment="1">
      <alignment wrapText="1" indent="1"/>
    </xf>
    <xf numFmtId="164" fontId="22" fillId="0" borderId="8" xfId="0" applyNumberFormat="1" applyFont="1" applyBorder="1" applyAlignment="1">
      <alignment horizontal="left" indent="1"/>
    </xf>
    <xf numFmtId="164" fontId="22" fillId="0" borderId="11" xfId="0" applyNumberFormat="1" applyFont="1" applyBorder="1" applyAlignment="1">
      <alignment horizontal="left" indent="1"/>
    </xf>
    <xf numFmtId="0" fontId="7" fillId="0" borderId="12" xfId="0" applyFont="1" applyBorder="1" applyAlignment="1">
      <alignment vertical="top" wrapText="1" indent="1"/>
    </xf>
    <xf numFmtId="0" fontId="21" fillId="0" borderId="0" xfId="0" applyFont="1" applyAlignment="1">
      <alignment indent="1"/>
    </xf>
    <xf numFmtId="0" fontId="7" fillId="0" borderId="0" xfId="0" applyFont="1" applyAlignment="1">
      <alignment horizontal="right"/>
    </xf>
    <xf numFmtId="0" fontId="5" fillId="0" borderId="0" xfId="0" applyFont="1"/>
    <xf numFmtId="0" fontId="6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8" fillId="0" borderId="0" xfId="0" applyFont="1" applyAlignment="1">
      <alignment wrapText="1"/>
    </xf>
    <xf numFmtId="0" fontId="9" fillId="3" borderId="0" xfId="0" applyFont="1" applyFill="1" applyAlignment="1">
      <alignment wrapText="1" indent="1"/>
    </xf>
    <xf numFmtId="165" fontId="22" fillId="0" borderId="8" xfId="0" applyNumberFormat="1" applyFont="1" applyBorder="1" applyAlignment="1">
      <alignment horizontal="left" indent="1"/>
    </xf>
    <xf numFmtId="165" fontId="22" fillId="0" borderId="0" xfId="0" applyNumberFormat="1" applyFont="1" applyAlignment="1">
      <alignment horizontal="left" indent="1"/>
    </xf>
    <xf numFmtId="0" fontId="11" fillId="0" borderId="7" xfId="0" applyFont="1" applyBorder="1" applyAlignment="1">
      <alignment indent="1"/>
    </xf>
    <xf numFmtId="0" fontId="11" fillId="0" borderId="4" xfId="0" applyFont="1" applyBorder="1" applyAlignment="1">
      <alignment indent="1"/>
    </xf>
    <xf numFmtId="0" fontId="11" fillId="0" borderId="10" xfId="0" applyFont="1" applyBorder="1" applyAlignment="1">
      <alignment indent="1"/>
    </xf>
    <xf numFmtId="0" fontId="8" fillId="0" borderId="0" xfId="0" applyFont="1" applyAlignment="1">
      <alignment vertical="top" wrapText="1"/>
    </xf>
    <xf numFmtId="0" fontId="2" fillId="0" borderId="0" xfId="0" applyFont="1" applyAlignment="1">
      <alignment wrapText="1"/>
    </xf>
  </cellXfs>
  <cellStyles count="1">
    <cellStyle name="Normal" xfId="0" builtinId="0"/>
  </cellStyles>
  <dxfs count="6">
    <dxf>
      <font>
        <b val="0"/>
        <i/>
        <color rgb="FFA3AFA6"/>
      </font>
    </dxf>
    <dxf>
      <font>
        <color rgb="FFB42318"/>
      </font>
    </dxf>
    <dxf>
      <font>
        <color rgb="FFB42318"/>
      </font>
    </dxf>
    <dxf>
      <font>
        <color rgb="FFB42318"/>
      </font>
    </dxf>
    <dxf>
      <font>
        <color rgb="FFA3AFA6"/>
      </font>
    </dxf>
    <dxf>
      <font>
        <color rgb="FFB42318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v>Calls</c:v>
          </c:tx>
          <c:spPr>
            <a:solidFill>
              <a:srgbClr val="0E9F6E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50" b="0" i="0" u="none" strike="noStrike" kern="1200" baseline="0">
                    <a:solidFill>
                      <a:srgbClr val="25342A"/>
                    </a:solidFill>
                    <a:latin typeface="Roboto"/>
                    <a:ea typeface="Roboto"/>
                    <a:cs typeface="Roboto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Report!$K$17:$K$23</c:f>
              <c:strCache>
                <c:ptCount val="1"/>
                <c:pt idx="0">
                  <c:v>{{hours.label}}</c:v>
                </c:pt>
              </c:strCache>
            </c:strRef>
          </c:cat>
          <c:val>
            <c:numRef>
              <c:f>Report!$L$17:$L$23</c:f>
              <c:numCache>
                <c:formatCode>General</c:formatCode>
                <c:ptCount val="7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40-154E-86E1-AC9640E826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795297216"/>
        <c:axId val="1795308864"/>
      </c:barChart>
      <c:catAx>
        <c:axId val="179529721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50" b="0" i="0" u="none" strike="noStrike" kern="1200" baseline="0">
                <a:solidFill>
                  <a:srgbClr val="25342A"/>
                </a:solidFill>
                <a:latin typeface="Roboto"/>
                <a:ea typeface="Roboto"/>
                <a:cs typeface="Roboto"/>
              </a:defRPr>
            </a:pPr>
            <a:endParaRPr lang="en-US"/>
          </a:p>
        </c:txPr>
        <c:crossAx val="1795308864"/>
        <c:crosses val="autoZero"/>
        <c:auto val="1"/>
        <c:lblAlgn val="ctr"/>
        <c:lblOffset val="100"/>
        <c:noMultiLvlLbl val="0"/>
      </c:catAx>
      <c:valAx>
        <c:axId val="1795308864"/>
        <c:scaling>
          <c:orientation val="minMax"/>
          <c:min val="0"/>
        </c:scaling>
        <c:delete val="1"/>
        <c:axPos val="t"/>
        <c:numFmt formatCode="General" sourceLinked="1"/>
        <c:majorTickMark val="none"/>
        <c:minorTickMark val="none"/>
        <c:tickLblPos val="nextTo"/>
        <c:crossAx val="1795297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750">
          <a:solidFill>
            <a:srgbClr val="25342A"/>
          </a:solidFill>
          <a:latin typeface="Roboto"/>
          <a:ea typeface="Roboto"/>
          <a:cs typeface="Robot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v>Answered %</c:v>
          </c:tx>
          <c:spPr>
            <a:solidFill>
              <a:srgbClr val="0E9F6E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50" b="0" i="0" u="none" strike="noStrike" kern="1200" baseline="0">
                    <a:solidFill>
                      <a:srgbClr val="25342A"/>
                    </a:solidFill>
                    <a:latin typeface="Roboto"/>
                    <a:ea typeface="Roboto"/>
                    <a:cs typeface="Roboto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Report!$K$17:$K$23</c:f>
              <c:strCache>
                <c:ptCount val="1"/>
                <c:pt idx="0">
                  <c:v>{{hours.label}}</c:v>
                </c:pt>
              </c:strCache>
            </c:strRef>
          </c:cat>
          <c:val>
            <c:numRef>
              <c:f>Report!$M$17:$M$23</c:f>
              <c:numCache>
                <c:formatCode>0.0%</c:formatCode>
                <c:ptCount val="7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A-5F4C-B20A-C878FC5AED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784763200"/>
        <c:axId val="1784759168"/>
      </c:barChart>
      <c:catAx>
        <c:axId val="178476320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2540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50" b="0" i="0" u="none" strike="noStrike" kern="1200" baseline="0">
                <a:solidFill>
                  <a:srgbClr val="25342A"/>
                </a:solidFill>
                <a:latin typeface="Roboto"/>
                <a:ea typeface="Roboto"/>
                <a:cs typeface="Roboto"/>
              </a:defRPr>
            </a:pPr>
            <a:endParaRPr lang="en-US"/>
          </a:p>
        </c:txPr>
        <c:crossAx val="1784759168"/>
        <c:crosses val="autoZero"/>
        <c:auto val="1"/>
        <c:lblAlgn val="ctr"/>
        <c:lblOffset val="100"/>
        <c:noMultiLvlLbl val="0"/>
      </c:catAx>
      <c:valAx>
        <c:axId val="1784759168"/>
        <c:scaling>
          <c:orientation val="minMax"/>
          <c:max val="1"/>
          <c:min val="0"/>
        </c:scaling>
        <c:delete val="1"/>
        <c:axPos val="t"/>
        <c:numFmt formatCode="0.0%" sourceLinked="1"/>
        <c:majorTickMark val="none"/>
        <c:minorTickMark val="none"/>
        <c:tickLblPos val="nextTo"/>
        <c:crossAx val="1784763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750">
          <a:solidFill>
            <a:srgbClr val="25342A"/>
          </a:solidFill>
          <a:latin typeface="Roboto"/>
          <a:ea typeface="Roboto"/>
          <a:cs typeface="Robot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Calls</c:v>
          </c:tx>
          <c:spPr>
            <a:solidFill>
              <a:srgbClr val="0E9F6E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50" b="0" i="0" u="none" strike="noStrike" kern="1200" baseline="0">
                    <a:solidFill>
                      <a:srgbClr val="25342A"/>
                    </a:solidFill>
                    <a:latin typeface="Roboto"/>
                    <a:ea typeface="Roboto"/>
                    <a:cs typeface="Roboto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Report!$K$58:$K$81</c:f>
              <c:strCache>
                <c:ptCount val="1"/>
                <c:pt idx="0">
                  <c:v>{{months.label}}</c:v>
                </c:pt>
              </c:strCache>
            </c:strRef>
          </c:cat>
          <c:val>
            <c:numRef>
              <c:f>Report!$L$58:$L$81</c:f>
              <c:numCache>
                <c:formatCode>General</c:formatCode>
                <c:ptCount val="24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A3-EF42-9BD7-B93E08F58B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-27"/>
        <c:axId val="1823820864"/>
        <c:axId val="1823827136"/>
      </c:barChart>
      <c:catAx>
        <c:axId val="1823820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DCE8DC"/>
            </a:solidFill>
            <a:prstDash val="solid"/>
            <a:round/>
            <a:headEnd type="none" w="med" len="med"/>
            <a:tailEnd type="none" w="med" len="me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rgbClr val="5F6F63"/>
                </a:solidFill>
                <a:latin typeface="Roboto"/>
                <a:ea typeface="Roboto"/>
                <a:cs typeface="Roboto"/>
              </a:defRPr>
            </a:pPr>
            <a:endParaRPr lang="en-US"/>
          </a:p>
        </c:txPr>
        <c:crossAx val="1823827136"/>
        <c:crosses val="autoZero"/>
        <c:auto val="1"/>
        <c:lblAlgn val="ctr"/>
        <c:lblOffset val="100"/>
        <c:noMultiLvlLbl val="0"/>
      </c:catAx>
      <c:valAx>
        <c:axId val="1823827136"/>
        <c:scaling>
          <c:orientation val="minMax"/>
          <c:min val="0"/>
        </c:scaling>
        <c:delete val="1"/>
        <c:axPos val="l"/>
        <c:numFmt formatCode="General" sourceLinked="1"/>
        <c:majorTickMark val="none"/>
        <c:minorTickMark val="none"/>
        <c:tickLblPos val="nextTo"/>
        <c:crossAx val="1823820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750">
          <a:solidFill>
            <a:srgbClr val="25342A"/>
          </a:solidFill>
          <a:latin typeface="Roboto"/>
          <a:ea typeface="Roboto"/>
          <a:cs typeface="Robot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Answered while staffed</c:v>
          </c:tx>
          <c:spPr>
            <a:ln w="22225" cap="rnd" cmpd="sng" algn="ctr">
              <a:solidFill>
                <a:srgbClr val="0E9F6E"/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  <c:marker>
            <c:symbol val="circle"/>
            <c:size val="4"/>
            <c:spPr>
              <a:solidFill>
                <a:srgbClr val="0E9F6E"/>
              </a:solidFill>
              <a:ln w="9525">
                <a:solidFill>
                  <a:srgbClr val="0E9F6E"/>
                </a:solidFill>
                <a:prstDash val="solid"/>
              </a:ln>
              <a:effectLst/>
            </c:spPr>
          </c:marker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50" b="0" i="0" u="none" strike="noStrike" kern="1200" baseline="0">
                    <a:solidFill>
                      <a:srgbClr val="25342A"/>
                    </a:solidFill>
                    <a:latin typeface="Roboto"/>
                    <a:ea typeface="Roboto"/>
                    <a:cs typeface="Roboto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Report!$K$58:$K$81</c:f>
              <c:strCache>
                <c:ptCount val="1"/>
                <c:pt idx="0">
                  <c:v>{{months.label}}</c:v>
                </c:pt>
              </c:strCache>
            </c:strRef>
          </c:cat>
          <c:val>
            <c:numRef>
              <c:f>Report!$M$58:$M$81</c:f>
              <c:numCache>
                <c:formatCode>0.0%</c:formatCode>
                <c:ptCount val="24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96-6C46-8134-2A2FE5A768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9129344"/>
        <c:axId val="1779131136"/>
      </c:lineChart>
      <c:catAx>
        <c:axId val="1779129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DCE8DC"/>
            </a:solidFill>
            <a:prstDash val="solid"/>
            <a:round/>
            <a:headEnd type="none" w="med" len="med"/>
            <a:tailEnd type="none" w="med" len="me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rgbClr val="5F6F63"/>
                </a:solidFill>
                <a:latin typeface="Roboto"/>
                <a:ea typeface="Roboto"/>
                <a:cs typeface="Roboto"/>
              </a:defRPr>
            </a:pPr>
            <a:endParaRPr lang="en-US"/>
          </a:p>
        </c:txPr>
        <c:crossAx val="1779131136"/>
        <c:crosses val="autoZero"/>
        <c:auto val="1"/>
        <c:lblAlgn val="ctr"/>
        <c:lblOffset val="100"/>
        <c:noMultiLvlLbl val="0"/>
      </c:catAx>
      <c:valAx>
        <c:axId val="1779131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DCE8DC"/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 w="25400"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rgbClr val="5F6F63"/>
                </a:solidFill>
                <a:latin typeface="Roboto"/>
                <a:ea typeface="Roboto"/>
                <a:cs typeface="Roboto"/>
              </a:defRPr>
            </a:pPr>
            <a:endParaRPr lang="en-US"/>
          </a:p>
        </c:txPr>
        <c:crossAx val="1779129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25400" cap="flat" cmpd="sng" algn="ctr">
      <a:noFill/>
      <a:round/>
    </a:ln>
    <a:effectLst/>
  </c:spPr>
  <c:txPr>
    <a:bodyPr/>
    <a:lstStyle/>
    <a:p>
      <a:pPr>
        <a:defRPr sz="750">
          <a:solidFill>
            <a:srgbClr val="25342A"/>
          </a:solidFill>
          <a:latin typeface="Roboto"/>
          <a:ea typeface="Roboto"/>
          <a:cs typeface="Roboto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3</xdr:col>
      <xdr:colOff>0</xdr:colOff>
      <xdr:row>26</xdr:row>
      <xdr:rowOff>0</xdr:rowOff>
    </xdr:to>
    <xdr:graphicFrame macro="">
      <xdr:nvGraphicFramePr>
        <xdr:cNvPr id="5" name="HoursCalls">
          <a:extLst>
            <a:ext uri="{FF2B5EF4-FFF2-40B4-BE49-F238E27FC236}">
              <a16:creationId xmlns:a16="http://schemas.microsoft.com/office/drawing/2014/main" id="{BC76B41B-532E-7441-B92D-662EB225BE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16</xdr:row>
      <xdr:rowOff>0</xdr:rowOff>
    </xdr:from>
    <xdr:to>
      <xdr:col>9</xdr:col>
      <xdr:colOff>0</xdr:colOff>
      <xdr:row>26</xdr:row>
      <xdr:rowOff>0</xdr:rowOff>
    </xdr:to>
    <xdr:graphicFrame macro="">
      <xdr:nvGraphicFramePr>
        <xdr:cNvPr id="6" name="HoursRate">
          <a:extLst>
            <a:ext uri="{FF2B5EF4-FFF2-40B4-BE49-F238E27FC236}">
              <a16:creationId xmlns:a16="http://schemas.microsoft.com/office/drawing/2014/main" id="{F20983AE-C184-FC23-F128-8564D54775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37</xdr:row>
      <xdr:rowOff>0</xdr:rowOff>
    </xdr:from>
    <xdr:to>
      <xdr:col>9</xdr:col>
      <xdr:colOff>0</xdr:colOff>
      <xdr:row>45</xdr:row>
      <xdr:rowOff>0</xdr:rowOff>
    </xdr:to>
    <xdr:graphicFrame macro="">
      <xdr:nvGraphicFramePr>
        <xdr:cNvPr id="7" name="MonthsCalls">
          <a:extLst>
            <a:ext uri="{FF2B5EF4-FFF2-40B4-BE49-F238E27FC236}">
              <a16:creationId xmlns:a16="http://schemas.microsoft.com/office/drawing/2014/main" id="{46A78E43-59C9-A890-1A0F-99FECB2CCE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47</xdr:row>
      <xdr:rowOff>0</xdr:rowOff>
    </xdr:from>
    <xdr:to>
      <xdr:col>9</xdr:col>
      <xdr:colOff>0</xdr:colOff>
      <xdr:row>55</xdr:row>
      <xdr:rowOff>0</xdr:rowOff>
    </xdr:to>
    <xdr:graphicFrame macro="">
      <xdr:nvGraphicFramePr>
        <xdr:cNvPr id="8" name="MonthsRate">
          <a:extLst>
            <a:ext uri="{FF2B5EF4-FFF2-40B4-BE49-F238E27FC236}">
              <a16:creationId xmlns:a16="http://schemas.microsoft.com/office/drawing/2014/main" id="{382B6EF4-5248-0231-7C48-AB88DC1DF3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0F5E1C8-09AA-4F45-8B76-9EF2D68B8A4C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ee3c47bd-78f4-4506-ad9f-582787cc49c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120"/>
  <sheetViews>
    <sheetView showGridLines="0" tabSelected="1" topLeftCell="A11" workbookViewId="0">
      <selection activeCell="O30" sqref="O30"/>
    </sheetView>
  </sheetViews>
  <sheetFormatPr baseColWidth="10" defaultColWidth="8.83203125" defaultRowHeight="15" x14ac:dyDescent="0.2"/>
  <cols>
    <col min="1" max="1" width="4.33203125" customWidth="1"/>
    <col min="2" max="2" width="17.1640625" customWidth="1"/>
    <col min="3" max="3" width="20.1640625" customWidth="1"/>
    <col min="4" max="4" width="1.33203125" customWidth="1"/>
    <col min="5" max="5" width="1.1640625" customWidth="1"/>
    <col min="6" max="6" width="10" customWidth="1"/>
    <col min="7" max="7" width="10.1640625" customWidth="1"/>
    <col min="8" max="8" width="10.6640625" customWidth="1"/>
    <col min="9" max="9" width="10.83203125" customWidth="1"/>
    <col min="10" max="10" width="3.33203125" customWidth="1"/>
    <col min="11" max="11" width="13.33203125" customWidth="1"/>
    <col min="12" max="13" width="10" customWidth="1"/>
  </cols>
  <sheetData>
    <row r="1" spans="1:16" ht="26" customHeight="1" x14ac:dyDescent="0.2">
      <c r="A1" s="26" t="s">
        <v>67</v>
      </c>
      <c r="B1" s="72" t="s">
        <v>68</v>
      </c>
      <c r="C1" s="72"/>
      <c r="D1" s="72"/>
      <c r="E1" s="72"/>
      <c r="F1" s="72"/>
      <c r="G1" s="73" t="s">
        <v>56</v>
      </c>
      <c r="H1" s="73"/>
      <c r="I1" s="73"/>
      <c r="J1" s="2"/>
      <c r="K1" s="2"/>
      <c r="L1" s="2"/>
      <c r="M1" s="2"/>
      <c r="N1" s="2"/>
      <c r="O1" s="2"/>
      <c r="P1" s="2"/>
    </row>
    <row r="2" spans="1:16" ht="12" customHeight="1" x14ac:dyDescent="0.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4" customHeight="1" x14ac:dyDescent="0.2">
      <c r="A3" s="74" t="s">
        <v>57</v>
      </c>
      <c r="B3" s="74"/>
      <c r="C3" s="74"/>
      <c r="D3" s="74"/>
      <c r="E3" s="74"/>
      <c r="F3" s="74"/>
      <c r="G3" s="74"/>
      <c r="H3" s="74"/>
      <c r="I3" s="74"/>
      <c r="J3" s="2"/>
      <c r="K3" s="2"/>
      <c r="L3" s="2"/>
      <c r="M3" s="2"/>
      <c r="N3" s="2"/>
      <c r="O3" s="2"/>
      <c r="P3" s="2"/>
    </row>
    <row r="4" spans="1:16" ht="46" customHeight="1" x14ac:dyDescent="0.2">
      <c r="A4" s="75" t="s">
        <v>0</v>
      </c>
      <c r="B4" s="75"/>
      <c r="C4" s="75"/>
      <c r="D4" s="75"/>
      <c r="E4" s="75"/>
      <c r="F4" s="75"/>
      <c r="G4" s="75"/>
      <c r="H4" s="75"/>
      <c r="I4" s="75"/>
      <c r="J4" s="2"/>
      <c r="K4" s="2"/>
      <c r="L4" s="2"/>
      <c r="M4" s="2"/>
      <c r="N4" s="2"/>
      <c r="O4" s="2"/>
      <c r="P4" s="2"/>
    </row>
    <row r="5" spans="1:16" ht="18" customHeight="1" x14ac:dyDescent="0.2">
      <c r="A5" s="54" t="s">
        <v>58</v>
      </c>
      <c r="B5" s="54"/>
      <c r="C5" s="54"/>
      <c r="D5" s="54"/>
      <c r="E5" s="54"/>
      <c r="F5" s="54"/>
      <c r="G5" s="54"/>
      <c r="H5" s="54"/>
      <c r="I5" s="54"/>
      <c r="J5" s="2"/>
      <c r="K5" s="2"/>
      <c r="L5" s="2"/>
      <c r="M5" s="2"/>
      <c r="N5" s="2"/>
      <c r="O5" s="2"/>
      <c r="P5" s="2"/>
    </row>
    <row r="6" spans="1:16" ht="28" customHeight="1" x14ac:dyDescent="0.2">
      <c r="A6" s="76" t="s">
        <v>4</v>
      </c>
      <c r="B6" s="76"/>
      <c r="C6" s="76"/>
      <c r="D6" s="76"/>
      <c r="E6" s="76"/>
      <c r="F6" s="76"/>
      <c r="G6" s="76"/>
      <c r="H6" s="76"/>
      <c r="I6" s="76"/>
      <c r="J6" s="2"/>
      <c r="K6" s="2"/>
      <c r="L6" s="2"/>
      <c r="M6" s="2"/>
      <c r="N6" s="2"/>
      <c r="O6" s="2"/>
      <c r="P6" s="2"/>
    </row>
    <row r="7" spans="1:16" ht="13" customHeight="1" x14ac:dyDescent="0.2">
      <c r="A7" s="77" t="s">
        <v>5</v>
      </c>
      <c r="B7" s="77"/>
      <c r="C7" s="77"/>
      <c r="D7" s="77"/>
      <c r="E7" s="77"/>
      <c r="F7" s="77"/>
      <c r="G7" s="77"/>
      <c r="H7" s="77"/>
      <c r="I7" s="77"/>
      <c r="J7" s="2"/>
      <c r="K7" s="2"/>
      <c r="L7" s="2"/>
      <c r="M7" s="2"/>
      <c r="N7" s="2"/>
      <c r="O7" s="2"/>
      <c r="P7" s="2"/>
    </row>
    <row r="8" spans="1:16" ht="10" customHeight="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ht="50" customHeight="1" x14ac:dyDescent="0.2">
      <c r="A9" s="78" t="s">
        <v>3</v>
      </c>
      <c r="B9" s="78"/>
      <c r="C9" s="78"/>
      <c r="D9" s="78"/>
      <c r="E9" s="78"/>
      <c r="F9" s="78"/>
      <c r="G9" s="78"/>
      <c r="H9" s="78"/>
      <c r="I9" s="78"/>
      <c r="J9" s="2"/>
      <c r="K9" s="2"/>
      <c r="L9" s="2"/>
      <c r="M9" s="2"/>
      <c r="N9" s="2"/>
      <c r="O9" s="2"/>
      <c r="P9" s="2"/>
    </row>
    <row r="10" spans="1:16" ht="12" customHeight="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ht="30" customHeight="1" x14ac:dyDescent="0.2">
      <c r="A11" s="62" t="s">
        <v>6</v>
      </c>
      <c r="B11" s="63"/>
      <c r="C11" s="62" t="s">
        <v>8</v>
      </c>
      <c r="D11" s="63"/>
      <c r="E11" s="62" t="s">
        <v>10</v>
      </c>
      <c r="F11" s="63"/>
      <c r="G11" s="63"/>
      <c r="H11" s="62" t="s">
        <v>12</v>
      </c>
      <c r="I11" s="68"/>
      <c r="J11" s="2"/>
      <c r="K11" s="27" t="s">
        <v>73</v>
      </c>
      <c r="L11" s="2"/>
      <c r="M11" s="2"/>
      <c r="N11" s="2"/>
      <c r="O11" s="2"/>
      <c r="P11" s="2"/>
    </row>
    <row r="12" spans="1:16" ht="30" customHeight="1" x14ac:dyDescent="0.25">
      <c r="A12" s="79" t="str">
        <f>Workings!B8</f>
        <v>{{n:w.calls}}</v>
      </c>
      <c r="B12" s="80"/>
      <c r="C12" s="64" t="e">
        <f>Workings!B11</f>
        <v>#VALUE!</v>
      </c>
      <c r="D12" s="65"/>
      <c r="E12" s="64" t="e">
        <f>Workings!B12</f>
        <v>#VALUE!</v>
      </c>
      <c r="F12" s="65"/>
      <c r="G12" s="65"/>
      <c r="H12" s="69" t="str">
        <f>Workings!B18</f>
        <v>{{n:w.median}}</v>
      </c>
      <c r="I12" s="70"/>
      <c r="J12" s="2"/>
      <c r="K12" s="5" t="s">
        <v>69</v>
      </c>
      <c r="L12" s="5" t="s">
        <v>70</v>
      </c>
      <c r="M12" s="5" t="s">
        <v>71</v>
      </c>
      <c r="N12" s="5" t="s">
        <v>72</v>
      </c>
      <c r="O12" s="2"/>
      <c r="P12" s="2"/>
    </row>
    <row r="13" spans="1:16" ht="30" customHeight="1" x14ac:dyDescent="0.2">
      <c r="A13" s="66" t="s">
        <v>7</v>
      </c>
      <c r="B13" s="67"/>
      <c r="C13" s="66" t="s">
        <v>9</v>
      </c>
      <c r="D13" s="67"/>
      <c r="E13" s="66" t="s">
        <v>11</v>
      </c>
      <c r="F13" s="67"/>
      <c r="G13" s="67"/>
      <c r="H13" s="66" t="s">
        <v>13</v>
      </c>
      <c r="I13" s="71"/>
      <c r="J13" s="2"/>
      <c r="K13" s="2"/>
      <c r="L13" s="2"/>
      <c r="M13" s="2"/>
      <c r="N13" s="2"/>
      <c r="O13" s="2"/>
      <c r="P13" s="2"/>
    </row>
    <row r="14" spans="1:16" ht="20" customHeight="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ht="22" customHeight="1" x14ac:dyDescent="0.2">
      <c r="A15" s="48" t="s">
        <v>41</v>
      </c>
      <c r="B15" s="48"/>
      <c r="C15" s="48"/>
      <c r="D15" s="48"/>
      <c r="E15" s="48"/>
      <c r="F15" s="48"/>
      <c r="G15" s="48"/>
      <c r="H15" s="48"/>
      <c r="I15" s="48"/>
      <c r="J15" s="2"/>
      <c r="K15" s="2"/>
      <c r="L15" s="2"/>
      <c r="M15" s="2"/>
      <c r="N15" s="2"/>
      <c r="O15" s="2"/>
      <c r="P15" s="2"/>
    </row>
    <row r="16" spans="1:16" ht="14" customHeight="1" x14ac:dyDescent="0.2">
      <c r="A16" s="47" t="s">
        <v>59</v>
      </c>
      <c r="B16" s="47"/>
      <c r="C16" s="47"/>
      <c r="D16" s="2"/>
      <c r="E16" s="2"/>
      <c r="F16" s="47" t="s">
        <v>60</v>
      </c>
      <c r="G16" s="47"/>
      <c r="H16" s="47"/>
      <c r="I16" s="47"/>
      <c r="J16" s="2"/>
      <c r="K16" s="6" t="s">
        <v>75</v>
      </c>
      <c r="L16" s="2"/>
      <c r="M16" s="2"/>
      <c r="N16" s="2"/>
      <c r="O16" s="2"/>
      <c r="P16" s="2"/>
    </row>
    <row r="17" spans="1:16" ht="15" customHeight="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5" t="str">
        <f>IF(ISBLANK(INDEX(Hours!$A:$A,6)),"",INDEX(Hours!$A:$A,6))</f>
        <v>{{hours.label}}</v>
      </c>
      <c r="L17" s="5" t="str">
        <f>IF(K17="",NA(),INDEX(Hours!$B:$B,6))</f>
        <v>{{n:hours.calls}}</v>
      </c>
      <c r="M17" s="29" t="e">
        <f>IF(K17="",NA(),INDEX(Hours!$D:$D,6))</f>
        <v>#VALUE!</v>
      </c>
      <c r="N17" s="2"/>
      <c r="O17" s="2"/>
      <c r="P17" s="2"/>
    </row>
    <row r="18" spans="1:16" ht="15" customHeight="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5" t="str">
        <f>IF(ISBLANK(INDEX(Hours!$A:$A,7)),"",INDEX(Hours!$A:$A,7))</f>
        <v/>
      </c>
      <c r="L18" s="5" t="e">
        <f>IF(K18="",NA(),INDEX(Hours!$B:$B,7))</f>
        <v>#N/A</v>
      </c>
      <c r="M18" s="29" t="e">
        <f>IF(K18="",NA(),INDEX(Hours!$D:$D,7))</f>
        <v>#N/A</v>
      </c>
      <c r="N18" s="2"/>
      <c r="O18" s="2"/>
      <c r="P18" s="2"/>
    </row>
    <row r="19" spans="1:16" ht="15" customHeight="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5" t="str">
        <f>IF(ISBLANK(INDEX(Hours!$A:$A,8)),"",INDEX(Hours!$A:$A,8))</f>
        <v/>
      </c>
      <c r="L19" s="5" t="e">
        <f>IF(K19="",NA(),INDEX(Hours!$B:$B,8))</f>
        <v>#N/A</v>
      </c>
      <c r="M19" s="29" t="e">
        <f>IF(K19="",NA(),INDEX(Hours!$D:$D,8))</f>
        <v>#N/A</v>
      </c>
      <c r="N19" s="2"/>
      <c r="O19" s="2"/>
      <c r="P19" s="2"/>
    </row>
    <row r="20" spans="1:16" ht="15" customHeight="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5" t="str">
        <f>IF(ISBLANK(INDEX(Hours!$A:$A,9)),"",INDEX(Hours!$A:$A,9))</f>
        <v/>
      </c>
      <c r="L20" s="5" t="e">
        <f>IF(K20="",NA(),INDEX(Hours!$B:$B,9))</f>
        <v>#N/A</v>
      </c>
      <c r="M20" s="29" t="e">
        <f>IF(K20="",NA(),INDEX(Hours!$D:$D,9))</f>
        <v>#N/A</v>
      </c>
      <c r="N20" s="2"/>
      <c r="O20" s="2"/>
      <c r="P20" s="2"/>
    </row>
    <row r="21" spans="1:16" ht="15" customHeight="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5" t="str">
        <f>IF(ISBLANK(INDEX(Hours!$A:$A,10)),"",INDEX(Hours!$A:$A,10))</f>
        <v/>
      </c>
      <c r="L21" s="5" t="e">
        <f>IF(K21="",NA(),INDEX(Hours!$B:$B,10))</f>
        <v>#N/A</v>
      </c>
      <c r="M21" s="29" t="e">
        <f>IF(K21="",NA(),INDEX(Hours!$D:$D,10))</f>
        <v>#N/A</v>
      </c>
      <c r="N21" s="2"/>
      <c r="O21" s="2"/>
      <c r="P21" s="2"/>
    </row>
    <row r="22" spans="1:16" ht="15" customHeight="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5" t="str">
        <f>IF(ISBLANK(INDEX(Hours!$A:$A,11)),"",INDEX(Hours!$A:$A,11))</f>
        <v/>
      </c>
      <c r="L22" s="5" t="e">
        <f>IF(K22="",NA(),INDEX(Hours!$B:$B,11))</f>
        <v>#N/A</v>
      </c>
      <c r="M22" s="29" t="e">
        <f>IF(K22="",NA(),INDEX(Hours!$D:$D,11))</f>
        <v>#N/A</v>
      </c>
      <c r="N22" s="2"/>
      <c r="O22" s="2"/>
      <c r="P22" s="2"/>
    </row>
    <row r="23" spans="1:16" ht="15" customHeight="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5" t="str">
        <f>IF(ISBLANK(INDEX(Hours!$A:$A,12)),"",INDEX(Hours!$A:$A,12))</f>
        <v/>
      </c>
      <c r="L23" s="5" t="e">
        <f>IF(K23="",NA(),INDEX(Hours!$B:$B,12))</f>
        <v>#N/A</v>
      </c>
      <c r="M23" s="29" t="e">
        <f>IF(K23="",NA(),INDEX(Hours!$D:$D,12))</f>
        <v>#N/A</v>
      </c>
      <c r="N23" s="2"/>
      <c r="O23" s="2"/>
      <c r="P23" s="2"/>
    </row>
    <row r="24" spans="1:16" ht="15" customHeight="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5" t="str">
        <f>IF(ISBLANK(INDEX(Hours!$A:$A,13)),"",INDEX(Hours!$A:$A,13))</f>
        <v/>
      </c>
      <c r="L24" s="5" t="e">
        <f>IF(K24="",NA(),INDEX(Hours!$B:$B,13))</f>
        <v>#N/A</v>
      </c>
      <c r="M24" s="29" t="e">
        <f>IF(K24="",NA(),INDEX(Hours!$D:$D,13))</f>
        <v>#N/A</v>
      </c>
      <c r="N24" s="2"/>
      <c r="O24" s="2"/>
      <c r="P24" s="2"/>
    </row>
    <row r="25" spans="1:16" ht="15" customHeight="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ht="1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ht="16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ht="18" customHeight="1" x14ac:dyDescent="0.2">
      <c r="A28" s="81" t="s">
        <v>61</v>
      </c>
      <c r="B28" s="82"/>
      <c r="C28" s="83"/>
      <c r="D28" s="2"/>
      <c r="E28" s="2"/>
      <c r="F28" s="55" t="s">
        <v>62</v>
      </c>
      <c r="G28" s="55"/>
      <c r="H28" s="55"/>
      <c r="I28" s="55"/>
      <c r="J28" s="2"/>
      <c r="K28" s="2"/>
      <c r="L28" s="2"/>
      <c r="M28" s="2"/>
      <c r="N28" s="2"/>
      <c r="O28" s="2"/>
      <c r="P28" s="2"/>
    </row>
    <row r="29" spans="1:16" ht="86" customHeight="1" x14ac:dyDescent="0.2">
      <c r="A29" s="56" t="s">
        <v>14</v>
      </c>
      <c r="B29" s="57"/>
      <c r="C29" s="58"/>
      <c r="D29" s="2"/>
      <c r="E29" s="2"/>
      <c r="F29" s="59" t="s">
        <v>15</v>
      </c>
      <c r="G29" s="59"/>
      <c r="H29" s="59"/>
      <c r="I29" s="59"/>
      <c r="J29" s="2"/>
      <c r="K29" s="2"/>
      <c r="L29" s="2"/>
      <c r="M29" s="2"/>
      <c r="N29" s="2"/>
      <c r="O29" s="2"/>
      <c r="P29" s="2"/>
    </row>
    <row r="30" spans="1:16" ht="18" customHeight="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ht="22" customHeight="1" x14ac:dyDescent="0.2">
      <c r="A31" s="48" t="s">
        <v>63</v>
      </c>
      <c r="B31" s="48"/>
      <c r="C31" s="48"/>
      <c r="D31" s="48"/>
      <c r="E31" s="48"/>
      <c r="F31" s="48"/>
      <c r="G31" s="48"/>
      <c r="H31" s="48"/>
      <c r="I31" s="48"/>
      <c r="J31" s="2"/>
      <c r="K31" s="2"/>
      <c r="L31" s="2"/>
      <c r="M31" s="2"/>
      <c r="N31" s="2"/>
      <c r="O31" s="2"/>
      <c r="P31" s="2"/>
    </row>
    <row r="32" spans="1:16" ht="18" customHeight="1" x14ac:dyDescent="0.2">
      <c r="A32" s="60" t="s">
        <v>64</v>
      </c>
      <c r="B32" s="60"/>
      <c r="C32" s="28" t="s">
        <v>65</v>
      </c>
      <c r="D32" s="61" t="s">
        <v>74</v>
      </c>
      <c r="E32" s="61"/>
      <c r="F32" s="61"/>
      <c r="G32" s="61"/>
      <c r="H32" s="61"/>
      <c r="I32" s="61"/>
      <c r="J32" s="2"/>
      <c r="K32" s="2"/>
      <c r="L32" s="2"/>
      <c r="M32" s="2"/>
      <c r="N32" s="2"/>
      <c r="O32" s="2"/>
      <c r="P32" s="2"/>
    </row>
    <row r="33" spans="1:16" ht="24" customHeight="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ht="15" customHeight="1" x14ac:dyDescent="0.2">
      <c r="A34" s="46" t="s">
        <v>66</v>
      </c>
      <c r="B34" s="46"/>
      <c r="C34" s="46"/>
      <c r="D34" s="46"/>
      <c r="E34" s="46"/>
      <c r="F34" s="46"/>
      <c r="G34" s="41" t="s">
        <v>80</v>
      </c>
      <c r="H34" s="41"/>
      <c r="I34" s="41"/>
      <c r="J34" s="2"/>
      <c r="K34" s="2"/>
      <c r="L34" s="2"/>
      <c r="M34" s="2"/>
      <c r="N34" s="2"/>
      <c r="O34" s="2"/>
      <c r="P34" s="2"/>
    </row>
    <row r="35" spans="1:16" ht="24" customHeight="1" x14ac:dyDescent="0.25">
      <c r="A35" s="53" t="s">
        <v>47</v>
      </c>
      <c r="B35" s="53"/>
      <c r="C35" s="53"/>
      <c r="D35" s="53"/>
      <c r="E35" s="53"/>
      <c r="F35" s="53"/>
      <c r="G35" s="53"/>
      <c r="H35" s="53"/>
      <c r="I35" s="53"/>
      <c r="J35" s="2"/>
      <c r="K35" s="2"/>
      <c r="L35" s="2"/>
      <c r="M35" s="2"/>
      <c r="N35" s="2"/>
      <c r="O35" s="2"/>
      <c r="P35" s="2"/>
    </row>
    <row r="36" spans="1:16" ht="18" customHeight="1" x14ac:dyDescent="0.2">
      <c r="A36" s="54" t="s">
        <v>76</v>
      </c>
      <c r="B36" s="54"/>
      <c r="C36" s="54"/>
      <c r="D36" s="54"/>
      <c r="E36" s="54"/>
      <c r="F36" s="54"/>
      <c r="G36" s="54"/>
      <c r="H36" s="54"/>
      <c r="I36" s="54"/>
      <c r="J36" s="2"/>
      <c r="K36" s="2"/>
      <c r="L36" s="2"/>
      <c r="M36" s="2"/>
      <c r="N36" s="2"/>
      <c r="O36" s="2"/>
      <c r="P36" s="2"/>
    </row>
    <row r="37" spans="1:16" ht="14" customHeight="1" x14ac:dyDescent="0.2">
      <c r="A37" s="47" t="s">
        <v>59</v>
      </c>
      <c r="B37" s="47"/>
      <c r="C37" s="47"/>
      <c r="D37" s="47"/>
      <c r="E37" s="47"/>
      <c r="F37" s="47"/>
      <c r="G37" s="47"/>
      <c r="H37" s="47"/>
      <c r="I37" s="47"/>
      <c r="J37" s="2"/>
      <c r="K37" s="2"/>
      <c r="L37" s="2"/>
      <c r="M37" s="2"/>
      <c r="N37" s="2"/>
      <c r="O37" s="2"/>
      <c r="P37" s="2"/>
    </row>
    <row r="38" spans="1:16" ht="15" customHeight="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ht="15" customHeight="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ht="15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ht="15" customHeight="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ht="15" customHeight="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ht="15" customHeight="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ht="15" customHeight="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ht="15" customHeight="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ht="12" customHeight="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ht="14" customHeight="1" x14ac:dyDescent="0.2">
      <c r="A47" s="47" t="s">
        <v>77</v>
      </c>
      <c r="B47" s="47"/>
      <c r="C47" s="47"/>
      <c r="D47" s="47"/>
      <c r="E47" s="47"/>
      <c r="F47" s="47"/>
      <c r="G47" s="47"/>
      <c r="H47" s="47"/>
      <c r="I47" s="47"/>
      <c r="J47" s="2"/>
      <c r="K47" s="2"/>
      <c r="L47" s="2"/>
      <c r="M47" s="2"/>
      <c r="N47" s="2"/>
      <c r="O47" s="2"/>
      <c r="P47" s="2"/>
    </row>
    <row r="48" spans="1:16" ht="15" customHeight="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ht="15" customHeight="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ht="15" customHeight="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ht="15" customHeight="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ht="15" customHeight="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ht="15" customHeight="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ht="15" customHeight="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ht="15" customHeight="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ht="26" customHeight="1" x14ac:dyDescent="0.2">
      <c r="A56" s="48" t="s">
        <v>78</v>
      </c>
      <c r="B56" s="48"/>
      <c r="C56" s="48"/>
      <c r="D56" s="48"/>
      <c r="E56" s="48"/>
      <c r="F56" s="48"/>
      <c r="G56" s="48"/>
      <c r="H56" s="48"/>
      <c r="I56" s="48"/>
      <c r="J56" s="2"/>
      <c r="K56" s="2"/>
      <c r="L56" s="2"/>
      <c r="M56" s="2"/>
      <c r="N56" s="2"/>
      <c r="O56" s="2"/>
      <c r="P56" s="2"/>
    </row>
    <row r="57" spans="1:16" ht="26" customHeight="1" x14ac:dyDescent="0.2">
      <c r="A57" s="49" t="s">
        <v>48</v>
      </c>
      <c r="B57" s="49"/>
      <c r="C57" s="9" t="s">
        <v>49</v>
      </c>
      <c r="D57" s="50" t="s">
        <v>21</v>
      </c>
      <c r="E57" s="50"/>
      <c r="F57" s="50"/>
      <c r="G57" s="10" t="s">
        <v>50</v>
      </c>
      <c r="H57" s="10" t="s">
        <v>27</v>
      </c>
      <c r="I57" s="10" t="s">
        <v>30</v>
      </c>
      <c r="J57" s="2"/>
      <c r="K57" s="6" t="s">
        <v>79</v>
      </c>
      <c r="L57" s="2"/>
      <c r="M57" s="2"/>
      <c r="N57" s="2"/>
      <c r="O57" s="2"/>
      <c r="P57" s="2"/>
    </row>
    <row r="58" spans="1:16" ht="15" customHeight="1" x14ac:dyDescent="0.2">
      <c r="A58" s="51" t="str">
        <f>IF(ISBLANK(INDEX(Data!$A:$A,6)),"",INDEX(Data!$A:$A,6))</f>
        <v>{{months.label}}</v>
      </c>
      <c r="B58" s="51"/>
      <c r="C58" s="30" t="str">
        <f>IF($A58="","",INDEX(Data!$B:$B,6))</f>
        <v>{{months.status}}</v>
      </c>
      <c r="D58" s="52" t="str">
        <f>IF($A58="","",INDEX(Data!$C:$C,6))</f>
        <v>{{n:months.calls}}</v>
      </c>
      <c r="E58" s="52"/>
      <c r="F58" s="52"/>
      <c r="G58" s="31" t="str">
        <f>IF($A58="","",INDEX(Data!$D:$D,6))</f>
        <v>{{n:months.staffed}}</v>
      </c>
      <c r="H58" s="31" t="str">
        <f>IF($A58="","",INDEX(Data!$E:$E,6))</f>
        <v>{{n:months.answered}}</v>
      </c>
      <c r="I58" s="32" t="e">
        <f>IF($A58="","",INDEX(Data!$F:$F,6))</f>
        <v>#VALUE!</v>
      </c>
      <c r="J58" s="2"/>
      <c r="K58" s="39" t="str">
        <f t="shared" ref="K58:K81" si="0">A58</f>
        <v>{{months.label}}</v>
      </c>
      <c r="L58" s="39" t="str">
        <f t="shared" ref="L58:L81" si="1">IF(A58="",NA(),D58)</f>
        <v>{{n:months.calls}}</v>
      </c>
      <c r="M58" s="40" t="e">
        <f t="shared" ref="M58:M81" si="2">IF(A58="",NA(),I58)</f>
        <v>#VALUE!</v>
      </c>
      <c r="N58" s="2"/>
      <c r="O58" s="2"/>
      <c r="P58" s="2"/>
    </row>
    <row r="59" spans="1:16" ht="15" customHeight="1" x14ac:dyDescent="0.2">
      <c r="A59" s="44" t="str">
        <f>IF(ISBLANK(INDEX(Data!$A:$A,7)),"",INDEX(Data!$A:$A,7))</f>
        <v/>
      </c>
      <c r="B59" s="44"/>
      <c r="C59" s="33" t="str">
        <f>IF($A59="","",INDEX(Data!$B:$B,7))</f>
        <v/>
      </c>
      <c r="D59" s="45" t="str">
        <f>IF($A59="","",INDEX(Data!$C:$C,7))</f>
        <v/>
      </c>
      <c r="E59" s="45"/>
      <c r="F59" s="45"/>
      <c r="G59" s="34" t="str">
        <f>IF($A59="","",INDEX(Data!$D:$D,7))</f>
        <v/>
      </c>
      <c r="H59" s="34" t="str">
        <f>IF($A59="","",INDEX(Data!$E:$E,7))</f>
        <v/>
      </c>
      <c r="I59" s="35" t="str">
        <f>IF($A59="","",INDEX(Data!$F:$F,7))</f>
        <v/>
      </c>
      <c r="J59" s="2"/>
      <c r="K59" s="39" t="str">
        <f t="shared" si="0"/>
        <v/>
      </c>
      <c r="L59" s="39" t="e">
        <f t="shared" si="1"/>
        <v>#N/A</v>
      </c>
      <c r="M59" s="40" t="e">
        <f t="shared" si="2"/>
        <v>#N/A</v>
      </c>
      <c r="N59" s="2"/>
      <c r="O59" s="2"/>
      <c r="P59" s="2"/>
    </row>
    <row r="60" spans="1:16" ht="15" customHeight="1" x14ac:dyDescent="0.2">
      <c r="A60" s="44" t="str">
        <f>IF(ISBLANK(INDEX(Data!$A:$A,8)),"",INDEX(Data!$A:$A,8))</f>
        <v/>
      </c>
      <c r="B60" s="44"/>
      <c r="C60" s="33" t="str">
        <f>IF($A60="","",INDEX(Data!$B:$B,8))</f>
        <v/>
      </c>
      <c r="D60" s="45" t="str">
        <f>IF($A60="","",INDEX(Data!$C:$C,8))</f>
        <v/>
      </c>
      <c r="E60" s="45"/>
      <c r="F60" s="45"/>
      <c r="G60" s="34" t="str">
        <f>IF($A60="","",INDEX(Data!$D:$D,8))</f>
        <v/>
      </c>
      <c r="H60" s="34" t="str">
        <f>IF($A60="","",INDEX(Data!$E:$E,8))</f>
        <v/>
      </c>
      <c r="I60" s="35" t="str">
        <f>IF($A60="","",INDEX(Data!$F:$F,8))</f>
        <v/>
      </c>
      <c r="J60" s="2"/>
      <c r="K60" s="39" t="str">
        <f t="shared" si="0"/>
        <v/>
      </c>
      <c r="L60" s="39" t="e">
        <f t="shared" si="1"/>
        <v>#N/A</v>
      </c>
      <c r="M60" s="40" t="e">
        <f t="shared" si="2"/>
        <v>#N/A</v>
      </c>
      <c r="N60" s="2"/>
      <c r="O60" s="2"/>
      <c r="P60" s="2"/>
    </row>
    <row r="61" spans="1:16" ht="15" customHeight="1" x14ac:dyDescent="0.2">
      <c r="A61" s="44" t="str">
        <f>IF(ISBLANK(INDEX(Data!$A:$A,9)),"",INDEX(Data!$A:$A,9))</f>
        <v/>
      </c>
      <c r="B61" s="44"/>
      <c r="C61" s="33" t="str">
        <f>IF($A61="","",INDEX(Data!$B:$B,9))</f>
        <v/>
      </c>
      <c r="D61" s="45" t="str">
        <f>IF($A61="","",INDEX(Data!$C:$C,9))</f>
        <v/>
      </c>
      <c r="E61" s="45"/>
      <c r="F61" s="45"/>
      <c r="G61" s="34" t="str">
        <f>IF($A61="","",INDEX(Data!$D:$D,9))</f>
        <v/>
      </c>
      <c r="H61" s="34" t="str">
        <f>IF($A61="","",INDEX(Data!$E:$E,9))</f>
        <v/>
      </c>
      <c r="I61" s="35" t="str">
        <f>IF($A61="","",INDEX(Data!$F:$F,9))</f>
        <v/>
      </c>
      <c r="J61" s="2"/>
      <c r="K61" s="39" t="str">
        <f t="shared" si="0"/>
        <v/>
      </c>
      <c r="L61" s="39" t="e">
        <f t="shared" si="1"/>
        <v>#N/A</v>
      </c>
      <c r="M61" s="40" t="e">
        <f t="shared" si="2"/>
        <v>#N/A</v>
      </c>
      <c r="N61" s="2"/>
      <c r="O61" s="2"/>
      <c r="P61" s="2"/>
    </row>
    <row r="62" spans="1:16" ht="15" customHeight="1" x14ac:dyDescent="0.2">
      <c r="A62" s="44" t="str">
        <f>IF(ISBLANK(INDEX(Data!$A:$A,10)),"",INDEX(Data!$A:$A,10))</f>
        <v/>
      </c>
      <c r="B62" s="44"/>
      <c r="C62" s="33" t="str">
        <f>IF($A62="","",INDEX(Data!$B:$B,10))</f>
        <v/>
      </c>
      <c r="D62" s="45" t="str">
        <f>IF($A62="","",INDEX(Data!$C:$C,10))</f>
        <v/>
      </c>
      <c r="E62" s="45"/>
      <c r="F62" s="45"/>
      <c r="G62" s="34" t="str">
        <f>IF($A62="","",INDEX(Data!$D:$D,10))</f>
        <v/>
      </c>
      <c r="H62" s="34" t="str">
        <f>IF($A62="","",INDEX(Data!$E:$E,10))</f>
        <v/>
      </c>
      <c r="I62" s="35" t="str">
        <f>IF($A62="","",INDEX(Data!$F:$F,10))</f>
        <v/>
      </c>
      <c r="J62" s="2"/>
      <c r="K62" s="39" t="str">
        <f t="shared" si="0"/>
        <v/>
      </c>
      <c r="L62" s="39" t="e">
        <f t="shared" si="1"/>
        <v>#N/A</v>
      </c>
      <c r="M62" s="40" t="e">
        <f t="shared" si="2"/>
        <v>#N/A</v>
      </c>
      <c r="N62" s="2"/>
      <c r="O62" s="2"/>
      <c r="P62" s="2"/>
    </row>
    <row r="63" spans="1:16" ht="15" customHeight="1" x14ac:dyDescent="0.2">
      <c r="A63" s="44" t="str">
        <f>IF(ISBLANK(INDEX(Data!$A:$A,11)),"",INDEX(Data!$A:$A,11))</f>
        <v/>
      </c>
      <c r="B63" s="44"/>
      <c r="C63" s="33" t="str">
        <f>IF($A63="","",INDEX(Data!$B:$B,11))</f>
        <v/>
      </c>
      <c r="D63" s="45" t="str">
        <f>IF($A63="","",INDEX(Data!$C:$C,11))</f>
        <v/>
      </c>
      <c r="E63" s="45"/>
      <c r="F63" s="45"/>
      <c r="G63" s="34" t="str">
        <f>IF($A63="","",INDEX(Data!$D:$D,11))</f>
        <v/>
      </c>
      <c r="H63" s="34" t="str">
        <f>IF($A63="","",INDEX(Data!$E:$E,11))</f>
        <v/>
      </c>
      <c r="I63" s="35" t="str">
        <f>IF($A63="","",INDEX(Data!$F:$F,11))</f>
        <v/>
      </c>
      <c r="J63" s="2"/>
      <c r="K63" s="39" t="str">
        <f t="shared" si="0"/>
        <v/>
      </c>
      <c r="L63" s="39" t="e">
        <f t="shared" si="1"/>
        <v>#N/A</v>
      </c>
      <c r="M63" s="40" t="e">
        <f t="shared" si="2"/>
        <v>#N/A</v>
      </c>
      <c r="N63" s="2"/>
      <c r="O63" s="2"/>
      <c r="P63" s="2"/>
    </row>
    <row r="64" spans="1:16" ht="15" customHeight="1" x14ac:dyDescent="0.2">
      <c r="A64" s="44" t="str">
        <f>IF(ISBLANK(INDEX(Data!$A:$A,12)),"",INDEX(Data!$A:$A,12))</f>
        <v/>
      </c>
      <c r="B64" s="44"/>
      <c r="C64" s="33" t="str">
        <f>IF($A64="","",INDEX(Data!$B:$B,12))</f>
        <v/>
      </c>
      <c r="D64" s="45" t="str">
        <f>IF($A64="","",INDEX(Data!$C:$C,12))</f>
        <v/>
      </c>
      <c r="E64" s="45"/>
      <c r="F64" s="45"/>
      <c r="G64" s="34" t="str">
        <f>IF($A64="","",INDEX(Data!$D:$D,12))</f>
        <v/>
      </c>
      <c r="H64" s="34" t="str">
        <f>IF($A64="","",INDEX(Data!$E:$E,12))</f>
        <v/>
      </c>
      <c r="I64" s="35" t="str">
        <f>IF($A64="","",INDEX(Data!$F:$F,12))</f>
        <v/>
      </c>
      <c r="J64" s="2"/>
      <c r="K64" s="39" t="str">
        <f t="shared" si="0"/>
        <v/>
      </c>
      <c r="L64" s="39" t="e">
        <f t="shared" si="1"/>
        <v>#N/A</v>
      </c>
      <c r="M64" s="40" t="e">
        <f t="shared" si="2"/>
        <v>#N/A</v>
      </c>
      <c r="N64" s="2"/>
      <c r="O64" s="2"/>
      <c r="P64" s="2"/>
    </row>
    <row r="65" spans="1:16" ht="15" customHeight="1" x14ac:dyDescent="0.2">
      <c r="A65" s="44" t="str">
        <f>IF(ISBLANK(INDEX(Data!$A:$A,13)),"",INDEX(Data!$A:$A,13))</f>
        <v/>
      </c>
      <c r="B65" s="44"/>
      <c r="C65" s="33" t="str">
        <f>IF($A65="","",INDEX(Data!$B:$B,13))</f>
        <v/>
      </c>
      <c r="D65" s="45" t="str">
        <f>IF($A65="","",INDEX(Data!$C:$C,13))</f>
        <v/>
      </c>
      <c r="E65" s="45"/>
      <c r="F65" s="45"/>
      <c r="G65" s="34" t="str">
        <f>IF($A65="","",INDEX(Data!$D:$D,13))</f>
        <v/>
      </c>
      <c r="H65" s="34" t="str">
        <f>IF($A65="","",INDEX(Data!$E:$E,13))</f>
        <v/>
      </c>
      <c r="I65" s="35" t="str">
        <f>IF($A65="","",INDEX(Data!$F:$F,13))</f>
        <v/>
      </c>
      <c r="J65" s="2"/>
      <c r="K65" s="39" t="str">
        <f t="shared" si="0"/>
        <v/>
      </c>
      <c r="L65" s="39" t="e">
        <f t="shared" si="1"/>
        <v>#N/A</v>
      </c>
      <c r="M65" s="40" t="e">
        <f t="shared" si="2"/>
        <v>#N/A</v>
      </c>
      <c r="N65" s="2"/>
      <c r="O65" s="2"/>
      <c r="P65" s="2"/>
    </row>
    <row r="66" spans="1:16" ht="15" customHeight="1" x14ac:dyDescent="0.2">
      <c r="A66" s="44" t="str">
        <f>IF(ISBLANK(INDEX(Data!$A:$A,14)),"",INDEX(Data!$A:$A,14))</f>
        <v/>
      </c>
      <c r="B66" s="44"/>
      <c r="C66" s="33" t="str">
        <f>IF($A66="","",INDEX(Data!$B:$B,14))</f>
        <v/>
      </c>
      <c r="D66" s="45" t="str">
        <f>IF($A66="","",INDEX(Data!$C:$C,14))</f>
        <v/>
      </c>
      <c r="E66" s="45"/>
      <c r="F66" s="45"/>
      <c r="G66" s="34" t="str">
        <f>IF($A66="","",INDEX(Data!$D:$D,14))</f>
        <v/>
      </c>
      <c r="H66" s="34" t="str">
        <f>IF($A66="","",INDEX(Data!$E:$E,14))</f>
        <v/>
      </c>
      <c r="I66" s="35" t="str">
        <f>IF($A66="","",INDEX(Data!$F:$F,14))</f>
        <v/>
      </c>
      <c r="J66" s="2"/>
      <c r="K66" s="39" t="str">
        <f t="shared" si="0"/>
        <v/>
      </c>
      <c r="L66" s="39" t="e">
        <f t="shared" si="1"/>
        <v>#N/A</v>
      </c>
      <c r="M66" s="40" t="e">
        <f t="shared" si="2"/>
        <v>#N/A</v>
      </c>
      <c r="N66" s="2"/>
      <c r="O66" s="2"/>
      <c r="P66" s="2"/>
    </row>
    <row r="67" spans="1:16" ht="15" customHeight="1" x14ac:dyDescent="0.2">
      <c r="A67" s="44" t="str">
        <f>IF(ISBLANK(INDEX(Data!$A:$A,15)),"",INDEX(Data!$A:$A,15))</f>
        <v/>
      </c>
      <c r="B67" s="44"/>
      <c r="C67" s="33" t="str">
        <f>IF($A67="","",INDEX(Data!$B:$B,15))</f>
        <v/>
      </c>
      <c r="D67" s="45" t="str">
        <f>IF($A67="","",INDEX(Data!$C:$C,15))</f>
        <v/>
      </c>
      <c r="E67" s="45"/>
      <c r="F67" s="45"/>
      <c r="G67" s="34" t="str">
        <f>IF($A67="","",INDEX(Data!$D:$D,15))</f>
        <v/>
      </c>
      <c r="H67" s="34" t="str">
        <f>IF($A67="","",INDEX(Data!$E:$E,15))</f>
        <v/>
      </c>
      <c r="I67" s="35" t="str">
        <f>IF($A67="","",INDEX(Data!$F:$F,15))</f>
        <v/>
      </c>
      <c r="J67" s="2"/>
      <c r="K67" s="39" t="str">
        <f t="shared" si="0"/>
        <v/>
      </c>
      <c r="L67" s="39" t="e">
        <f t="shared" si="1"/>
        <v>#N/A</v>
      </c>
      <c r="M67" s="40" t="e">
        <f t="shared" si="2"/>
        <v>#N/A</v>
      </c>
      <c r="N67" s="2"/>
      <c r="O67" s="2"/>
      <c r="P67" s="2"/>
    </row>
    <row r="68" spans="1:16" ht="15" customHeight="1" x14ac:dyDescent="0.2">
      <c r="A68" s="44" t="str">
        <f>IF(ISBLANK(INDEX(Data!$A:$A,16)),"",INDEX(Data!$A:$A,16))</f>
        <v/>
      </c>
      <c r="B68" s="44"/>
      <c r="C68" s="33" t="str">
        <f>IF($A68="","",INDEX(Data!$B:$B,16))</f>
        <v/>
      </c>
      <c r="D68" s="45" t="str">
        <f>IF($A68="","",INDEX(Data!$C:$C,16))</f>
        <v/>
      </c>
      <c r="E68" s="45"/>
      <c r="F68" s="45"/>
      <c r="G68" s="34" t="str">
        <f>IF($A68="","",INDEX(Data!$D:$D,16))</f>
        <v/>
      </c>
      <c r="H68" s="34" t="str">
        <f>IF($A68="","",INDEX(Data!$E:$E,16))</f>
        <v/>
      </c>
      <c r="I68" s="35" t="str">
        <f>IF($A68="","",INDEX(Data!$F:$F,16))</f>
        <v/>
      </c>
      <c r="J68" s="2"/>
      <c r="K68" s="39" t="str">
        <f t="shared" si="0"/>
        <v/>
      </c>
      <c r="L68" s="39" t="e">
        <f t="shared" si="1"/>
        <v>#N/A</v>
      </c>
      <c r="M68" s="40" t="e">
        <f t="shared" si="2"/>
        <v>#N/A</v>
      </c>
      <c r="N68" s="2"/>
      <c r="O68" s="2"/>
      <c r="P68" s="2"/>
    </row>
    <row r="69" spans="1:16" ht="15" customHeight="1" x14ac:dyDescent="0.2">
      <c r="A69" s="44" t="str">
        <f>IF(ISBLANK(INDEX(Data!$A:$A,17)),"",INDEX(Data!$A:$A,17))</f>
        <v/>
      </c>
      <c r="B69" s="44"/>
      <c r="C69" s="33" t="str">
        <f>IF($A69="","",INDEX(Data!$B:$B,17))</f>
        <v/>
      </c>
      <c r="D69" s="45" t="str">
        <f>IF($A69="","",INDEX(Data!$C:$C,17))</f>
        <v/>
      </c>
      <c r="E69" s="45"/>
      <c r="F69" s="45"/>
      <c r="G69" s="34" t="str">
        <f>IF($A69="","",INDEX(Data!$D:$D,17))</f>
        <v/>
      </c>
      <c r="H69" s="34" t="str">
        <f>IF($A69="","",INDEX(Data!$E:$E,17))</f>
        <v/>
      </c>
      <c r="I69" s="35" t="str">
        <f>IF($A69="","",INDEX(Data!$F:$F,17))</f>
        <v/>
      </c>
      <c r="J69" s="2"/>
      <c r="K69" s="39" t="str">
        <f t="shared" si="0"/>
        <v/>
      </c>
      <c r="L69" s="39" t="e">
        <f t="shared" si="1"/>
        <v>#N/A</v>
      </c>
      <c r="M69" s="40" t="e">
        <f t="shared" si="2"/>
        <v>#N/A</v>
      </c>
      <c r="N69" s="2"/>
      <c r="O69" s="2"/>
      <c r="P69" s="2"/>
    </row>
    <row r="70" spans="1:16" ht="15" customHeight="1" x14ac:dyDescent="0.2">
      <c r="A70" s="44" t="str">
        <f>IF(ISBLANK(INDEX(Data!$A:$A,18)),"",INDEX(Data!$A:$A,18))</f>
        <v/>
      </c>
      <c r="B70" s="44"/>
      <c r="C70" s="33" t="str">
        <f>IF($A70="","",INDEX(Data!$B:$B,18))</f>
        <v/>
      </c>
      <c r="D70" s="45" t="str">
        <f>IF($A70="","",INDEX(Data!$C:$C,18))</f>
        <v/>
      </c>
      <c r="E70" s="45"/>
      <c r="F70" s="45"/>
      <c r="G70" s="34" t="str">
        <f>IF($A70="","",INDEX(Data!$D:$D,18))</f>
        <v/>
      </c>
      <c r="H70" s="34" t="str">
        <f>IF($A70="","",INDEX(Data!$E:$E,18))</f>
        <v/>
      </c>
      <c r="I70" s="35" t="str">
        <f>IF($A70="","",INDEX(Data!$F:$F,18))</f>
        <v/>
      </c>
      <c r="J70" s="2"/>
      <c r="K70" s="39" t="str">
        <f t="shared" si="0"/>
        <v/>
      </c>
      <c r="L70" s="39" t="e">
        <f t="shared" si="1"/>
        <v>#N/A</v>
      </c>
      <c r="M70" s="40" t="e">
        <f t="shared" si="2"/>
        <v>#N/A</v>
      </c>
      <c r="N70" s="2"/>
      <c r="O70" s="2"/>
      <c r="P70" s="2"/>
    </row>
    <row r="71" spans="1:16" ht="15" customHeight="1" x14ac:dyDescent="0.2">
      <c r="A71" s="44" t="str">
        <f>IF(ISBLANK(INDEX(Data!$A:$A,19)),"",INDEX(Data!$A:$A,19))</f>
        <v/>
      </c>
      <c r="B71" s="44"/>
      <c r="C71" s="33" t="str">
        <f>IF($A71="","",INDEX(Data!$B:$B,19))</f>
        <v/>
      </c>
      <c r="D71" s="45" t="str">
        <f>IF($A71="","",INDEX(Data!$C:$C,19))</f>
        <v/>
      </c>
      <c r="E71" s="45"/>
      <c r="F71" s="45"/>
      <c r="G71" s="34" t="str">
        <f>IF($A71="","",INDEX(Data!$D:$D,19))</f>
        <v/>
      </c>
      <c r="H71" s="34" t="str">
        <f>IF($A71="","",INDEX(Data!$E:$E,19))</f>
        <v/>
      </c>
      <c r="I71" s="35" t="str">
        <f>IF($A71="","",INDEX(Data!$F:$F,19))</f>
        <v/>
      </c>
      <c r="J71" s="2"/>
      <c r="K71" s="39" t="str">
        <f t="shared" si="0"/>
        <v/>
      </c>
      <c r="L71" s="39" t="e">
        <f t="shared" si="1"/>
        <v>#N/A</v>
      </c>
      <c r="M71" s="40" t="e">
        <f t="shared" si="2"/>
        <v>#N/A</v>
      </c>
      <c r="N71" s="2"/>
      <c r="O71" s="2"/>
      <c r="P71" s="2"/>
    </row>
    <row r="72" spans="1:16" ht="15" customHeight="1" x14ac:dyDescent="0.2">
      <c r="A72" s="44" t="str">
        <f>IF(ISBLANK(INDEX(Data!$A:$A,20)),"",INDEX(Data!$A:$A,20))</f>
        <v/>
      </c>
      <c r="B72" s="44"/>
      <c r="C72" s="33" t="str">
        <f>IF($A72="","",INDEX(Data!$B:$B,20))</f>
        <v/>
      </c>
      <c r="D72" s="45" t="str">
        <f>IF($A72="","",INDEX(Data!$C:$C,20))</f>
        <v/>
      </c>
      <c r="E72" s="45"/>
      <c r="F72" s="45"/>
      <c r="G72" s="34" t="str">
        <f>IF($A72="","",INDEX(Data!$D:$D,20))</f>
        <v/>
      </c>
      <c r="H72" s="34" t="str">
        <f>IF($A72="","",INDEX(Data!$E:$E,20))</f>
        <v/>
      </c>
      <c r="I72" s="35" t="str">
        <f>IF($A72="","",INDEX(Data!$F:$F,20))</f>
        <v/>
      </c>
      <c r="J72" s="2"/>
      <c r="K72" s="39" t="str">
        <f t="shared" si="0"/>
        <v/>
      </c>
      <c r="L72" s="39" t="e">
        <f t="shared" si="1"/>
        <v>#N/A</v>
      </c>
      <c r="M72" s="40" t="e">
        <f t="shared" si="2"/>
        <v>#N/A</v>
      </c>
      <c r="N72" s="2"/>
      <c r="O72" s="2"/>
      <c r="P72" s="2"/>
    </row>
    <row r="73" spans="1:16" ht="15" customHeight="1" x14ac:dyDescent="0.2">
      <c r="A73" s="44" t="str">
        <f>IF(ISBLANK(INDEX(Data!$A:$A,21)),"",INDEX(Data!$A:$A,21))</f>
        <v/>
      </c>
      <c r="B73" s="44"/>
      <c r="C73" s="33" t="str">
        <f>IF($A73="","",INDEX(Data!$B:$B,21))</f>
        <v/>
      </c>
      <c r="D73" s="45" t="str">
        <f>IF($A73="","",INDEX(Data!$C:$C,21))</f>
        <v/>
      </c>
      <c r="E73" s="45"/>
      <c r="F73" s="45"/>
      <c r="G73" s="34" t="str">
        <f>IF($A73="","",INDEX(Data!$D:$D,21))</f>
        <v/>
      </c>
      <c r="H73" s="34" t="str">
        <f>IF($A73="","",INDEX(Data!$E:$E,21))</f>
        <v/>
      </c>
      <c r="I73" s="35" t="str">
        <f>IF($A73="","",INDEX(Data!$F:$F,21))</f>
        <v/>
      </c>
      <c r="J73" s="2"/>
      <c r="K73" s="39" t="str">
        <f t="shared" si="0"/>
        <v/>
      </c>
      <c r="L73" s="39" t="e">
        <f t="shared" si="1"/>
        <v>#N/A</v>
      </c>
      <c r="M73" s="40" t="e">
        <f t="shared" si="2"/>
        <v>#N/A</v>
      </c>
      <c r="N73" s="2"/>
      <c r="O73" s="2"/>
      <c r="P73" s="2"/>
    </row>
    <row r="74" spans="1:16" ht="15" customHeight="1" x14ac:dyDescent="0.2">
      <c r="A74" s="44" t="str">
        <f>IF(ISBLANK(INDEX(Data!$A:$A,22)),"",INDEX(Data!$A:$A,22))</f>
        <v/>
      </c>
      <c r="B74" s="44"/>
      <c r="C74" s="33" t="str">
        <f>IF($A74="","",INDEX(Data!$B:$B,22))</f>
        <v/>
      </c>
      <c r="D74" s="45" t="str">
        <f>IF($A74="","",INDEX(Data!$C:$C,22))</f>
        <v/>
      </c>
      <c r="E74" s="45"/>
      <c r="F74" s="45"/>
      <c r="G74" s="34" t="str">
        <f>IF($A74="","",INDEX(Data!$D:$D,22))</f>
        <v/>
      </c>
      <c r="H74" s="34" t="str">
        <f>IF($A74="","",INDEX(Data!$E:$E,22))</f>
        <v/>
      </c>
      <c r="I74" s="35" t="str">
        <f>IF($A74="","",INDEX(Data!$F:$F,22))</f>
        <v/>
      </c>
      <c r="J74" s="2"/>
      <c r="K74" s="39" t="str">
        <f t="shared" si="0"/>
        <v/>
      </c>
      <c r="L74" s="39" t="e">
        <f t="shared" si="1"/>
        <v>#N/A</v>
      </c>
      <c r="M74" s="40" t="e">
        <f t="shared" si="2"/>
        <v>#N/A</v>
      </c>
      <c r="N74" s="2"/>
      <c r="O74" s="2"/>
      <c r="P74" s="2"/>
    </row>
    <row r="75" spans="1:16" ht="15" customHeight="1" x14ac:dyDescent="0.2">
      <c r="A75" s="44" t="str">
        <f>IF(ISBLANK(INDEX(Data!$A:$A,23)),"",INDEX(Data!$A:$A,23))</f>
        <v/>
      </c>
      <c r="B75" s="44"/>
      <c r="C75" s="33" t="str">
        <f>IF($A75="","",INDEX(Data!$B:$B,23))</f>
        <v/>
      </c>
      <c r="D75" s="45" t="str">
        <f>IF($A75="","",INDEX(Data!$C:$C,23))</f>
        <v/>
      </c>
      <c r="E75" s="45"/>
      <c r="F75" s="45"/>
      <c r="G75" s="34" t="str">
        <f>IF($A75="","",INDEX(Data!$D:$D,23))</f>
        <v/>
      </c>
      <c r="H75" s="34" t="str">
        <f>IF($A75="","",INDEX(Data!$E:$E,23))</f>
        <v/>
      </c>
      <c r="I75" s="35" t="str">
        <f>IF($A75="","",INDEX(Data!$F:$F,23))</f>
        <v/>
      </c>
      <c r="J75" s="2"/>
      <c r="K75" s="39" t="str">
        <f t="shared" si="0"/>
        <v/>
      </c>
      <c r="L75" s="39" t="e">
        <f t="shared" si="1"/>
        <v>#N/A</v>
      </c>
      <c r="M75" s="40" t="e">
        <f t="shared" si="2"/>
        <v>#N/A</v>
      </c>
      <c r="N75" s="2"/>
      <c r="O75" s="2"/>
      <c r="P75" s="2"/>
    </row>
    <row r="76" spans="1:16" ht="15" customHeight="1" x14ac:dyDescent="0.2">
      <c r="A76" s="44" t="str">
        <f>IF(ISBLANK(INDEX(Data!$A:$A,24)),"",INDEX(Data!$A:$A,24))</f>
        <v/>
      </c>
      <c r="B76" s="44"/>
      <c r="C76" s="33" t="str">
        <f>IF($A76="","",INDEX(Data!$B:$B,24))</f>
        <v/>
      </c>
      <c r="D76" s="45" t="str">
        <f>IF($A76="","",INDEX(Data!$C:$C,24))</f>
        <v/>
      </c>
      <c r="E76" s="45"/>
      <c r="F76" s="45"/>
      <c r="G76" s="34" t="str">
        <f>IF($A76="","",INDEX(Data!$D:$D,24))</f>
        <v/>
      </c>
      <c r="H76" s="34" t="str">
        <f>IF($A76="","",INDEX(Data!$E:$E,24))</f>
        <v/>
      </c>
      <c r="I76" s="35" t="str">
        <f>IF($A76="","",INDEX(Data!$F:$F,24))</f>
        <v/>
      </c>
      <c r="J76" s="2"/>
      <c r="K76" s="39" t="str">
        <f t="shared" si="0"/>
        <v/>
      </c>
      <c r="L76" s="39" t="e">
        <f t="shared" si="1"/>
        <v>#N/A</v>
      </c>
      <c r="M76" s="40" t="e">
        <f t="shared" si="2"/>
        <v>#N/A</v>
      </c>
      <c r="N76" s="2"/>
      <c r="O76" s="2"/>
      <c r="P76" s="2"/>
    </row>
    <row r="77" spans="1:16" ht="15" customHeight="1" x14ac:dyDescent="0.2">
      <c r="A77" s="44" t="str">
        <f>IF(ISBLANK(INDEX(Data!$A:$A,25)),"",INDEX(Data!$A:$A,25))</f>
        <v/>
      </c>
      <c r="B77" s="44"/>
      <c r="C77" s="33" t="str">
        <f>IF($A77="","",INDEX(Data!$B:$B,25))</f>
        <v/>
      </c>
      <c r="D77" s="45" t="str">
        <f>IF($A77="","",INDEX(Data!$C:$C,25))</f>
        <v/>
      </c>
      <c r="E77" s="45"/>
      <c r="F77" s="45"/>
      <c r="G77" s="34" t="str">
        <f>IF($A77="","",INDEX(Data!$D:$D,25))</f>
        <v/>
      </c>
      <c r="H77" s="34" t="str">
        <f>IF($A77="","",INDEX(Data!$E:$E,25))</f>
        <v/>
      </c>
      <c r="I77" s="35" t="str">
        <f>IF($A77="","",INDEX(Data!$F:$F,25))</f>
        <v/>
      </c>
      <c r="J77" s="2"/>
      <c r="K77" s="39" t="str">
        <f t="shared" si="0"/>
        <v/>
      </c>
      <c r="L77" s="39" t="e">
        <f t="shared" si="1"/>
        <v>#N/A</v>
      </c>
      <c r="M77" s="40" t="e">
        <f t="shared" si="2"/>
        <v>#N/A</v>
      </c>
      <c r="N77" s="2"/>
      <c r="O77" s="2"/>
      <c r="P77" s="2"/>
    </row>
    <row r="78" spans="1:16" ht="15" customHeight="1" x14ac:dyDescent="0.2">
      <c r="A78" s="44" t="str">
        <f>IF(ISBLANK(INDEX(Data!$A:$A,26)),"",INDEX(Data!$A:$A,26))</f>
        <v/>
      </c>
      <c r="B78" s="44"/>
      <c r="C78" s="33" t="str">
        <f>IF($A78="","",INDEX(Data!$B:$B,26))</f>
        <v/>
      </c>
      <c r="D78" s="45" t="str">
        <f>IF($A78="","",INDEX(Data!$C:$C,26))</f>
        <v/>
      </c>
      <c r="E78" s="45"/>
      <c r="F78" s="45"/>
      <c r="G78" s="34" t="str">
        <f>IF($A78="","",INDEX(Data!$D:$D,26))</f>
        <v/>
      </c>
      <c r="H78" s="34" t="str">
        <f>IF($A78="","",INDEX(Data!$E:$E,26))</f>
        <v/>
      </c>
      <c r="I78" s="35" t="str">
        <f>IF($A78="","",INDEX(Data!$F:$F,26))</f>
        <v/>
      </c>
      <c r="J78" s="2"/>
      <c r="K78" s="39" t="str">
        <f t="shared" si="0"/>
        <v/>
      </c>
      <c r="L78" s="39" t="e">
        <f t="shared" si="1"/>
        <v>#N/A</v>
      </c>
      <c r="M78" s="40" t="e">
        <f t="shared" si="2"/>
        <v>#N/A</v>
      </c>
      <c r="N78" s="2"/>
      <c r="O78" s="2"/>
      <c r="P78" s="2"/>
    </row>
    <row r="79" spans="1:16" ht="15" customHeight="1" x14ac:dyDescent="0.2">
      <c r="A79" s="44" t="str">
        <f>IF(ISBLANK(INDEX(Data!$A:$A,27)),"",INDEX(Data!$A:$A,27))</f>
        <v/>
      </c>
      <c r="B79" s="44"/>
      <c r="C79" s="33" t="str">
        <f>IF($A79="","",INDEX(Data!$B:$B,27))</f>
        <v/>
      </c>
      <c r="D79" s="45" t="str">
        <f>IF($A79="","",INDEX(Data!$C:$C,27))</f>
        <v/>
      </c>
      <c r="E79" s="45"/>
      <c r="F79" s="45"/>
      <c r="G79" s="34" t="str">
        <f>IF($A79="","",INDEX(Data!$D:$D,27))</f>
        <v/>
      </c>
      <c r="H79" s="34" t="str">
        <f>IF($A79="","",INDEX(Data!$E:$E,27))</f>
        <v/>
      </c>
      <c r="I79" s="35" t="str">
        <f>IF($A79="","",INDEX(Data!$F:$F,27))</f>
        <v/>
      </c>
      <c r="J79" s="2"/>
      <c r="K79" s="39" t="str">
        <f t="shared" si="0"/>
        <v/>
      </c>
      <c r="L79" s="39" t="e">
        <f t="shared" si="1"/>
        <v>#N/A</v>
      </c>
      <c r="M79" s="40" t="e">
        <f t="shared" si="2"/>
        <v>#N/A</v>
      </c>
      <c r="N79" s="2"/>
      <c r="O79" s="2"/>
      <c r="P79" s="2"/>
    </row>
    <row r="80" spans="1:16" ht="15" customHeight="1" x14ac:dyDescent="0.2">
      <c r="A80" s="42" t="str">
        <f>IF(ISBLANK(INDEX(Data!$A:$A,28)),"",INDEX(Data!$A:$A,28))</f>
        <v/>
      </c>
      <c r="B80" s="42"/>
      <c r="C80" s="36" t="str">
        <f>IF($A80="","",INDEX(Data!$B:$B,28))</f>
        <v/>
      </c>
      <c r="D80" s="43" t="str">
        <f>IF($A80="","",INDEX(Data!$C:$C,28))</f>
        <v/>
      </c>
      <c r="E80" s="43"/>
      <c r="F80" s="43"/>
      <c r="G80" s="37" t="str">
        <f>IF($A80="","",INDEX(Data!$D:$D,28))</f>
        <v/>
      </c>
      <c r="H80" s="37" t="str">
        <f>IF($A80="","",INDEX(Data!$E:$E,28))</f>
        <v/>
      </c>
      <c r="I80" s="38" t="str">
        <f>IF($A80="","",INDEX(Data!$F:$F,28))</f>
        <v/>
      </c>
      <c r="J80" s="2"/>
      <c r="K80" s="39" t="str">
        <f t="shared" si="0"/>
        <v/>
      </c>
      <c r="L80" s="39" t="e">
        <f t="shared" si="1"/>
        <v>#N/A</v>
      </c>
      <c r="M80" s="40" t="e">
        <f t="shared" si="2"/>
        <v>#N/A</v>
      </c>
      <c r="N80" s="2"/>
      <c r="O80" s="2"/>
      <c r="P80" s="2"/>
    </row>
    <row r="81" spans="1:16" ht="15" customHeight="1" x14ac:dyDescent="0.2">
      <c r="A81" s="44" t="str">
        <f>IF(ISBLANK(INDEX(Data!$A:$A,29)),"",INDEX(Data!$A:$A,29))</f>
        <v/>
      </c>
      <c r="B81" s="44"/>
      <c r="C81" s="33" t="str">
        <f>IF($A81="","",INDEX(Data!$B:$B,29))</f>
        <v/>
      </c>
      <c r="D81" s="45" t="str">
        <f>IF($A81="","",INDEX(Data!$C:$C,29))</f>
        <v/>
      </c>
      <c r="E81" s="45"/>
      <c r="F81" s="45"/>
      <c r="G81" s="34" t="str">
        <f>IF($A81="","",INDEX(Data!$D:$D,29))</f>
        <v/>
      </c>
      <c r="H81" s="34" t="str">
        <f>IF($A81="","",INDEX(Data!$E:$E,29))</f>
        <v/>
      </c>
      <c r="I81" s="35" t="str">
        <f>IF($A81="","",INDEX(Data!$F:$F,29))</f>
        <v/>
      </c>
      <c r="J81" s="2"/>
      <c r="K81" s="39" t="str">
        <f t="shared" si="0"/>
        <v/>
      </c>
      <c r="L81" s="39" t="e">
        <f t="shared" si="1"/>
        <v>#N/A</v>
      </c>
      <c r="M81" s="40" t="e">
        <f t="shared" si="2"/>
        <v>#N/A</v>
      </c>
      <c r="N81" s="2"/>
      <c r="O81" s="2"/>
      <c r="P81" s="2"/>
    </row>
    <row r="82" spans="1:16" ht="14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ht="15" customHeight="1" x14ac:dyDescent="0.2">
      <c r="A83" s="46" t="s">
        <v>66</v>
      </c>
      <c r="B83" s="46"/>
      <c r="C83" s="46"/>
      <c r="D83" s="46"/>
      <c r="E83" s="46"/>
      <c r="F83" s="46"/>
      <c r="G83" s="41" t="s">
        <v>80</v>
      </c>
      <c r="H83" s="41"/>
      <c r="I83" s="41"/>
      <c r="J83" s="2"/>
      <c r="K83" s="2"/>
      <c r="L83" s="2"/>
      <c r="M83" s="2"/>
      <c r="N83" s="2"/>
      <c r="O83" s="2"/>
      <c r="P83" s="2"/>
    </row>
    <row r="84" spans="1:16" ht="1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ht="1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ht="1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ht="1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ht="1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ht="1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ht="1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ht="1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ht="1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ht="1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ht="1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ht="1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ht="1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ht="1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ht="1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ht="1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ht="1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ht="1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ht="1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ht="1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ht="1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ht="1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ht="1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ht="1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ht="1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ht="1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ht="1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ht="1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ht="1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ht="1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ht="1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ht="1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ht="1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ht="1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ht="1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ht="1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ht="1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</sheetData>
  <mergeCells count="89">
    <mergeCell ref="A13:B13"/>
    <mergeCell ref="C11:D11"/>
    <mergeCell ref="C12:D12"/>
    <mergeCell ref="A28:C28"/>
    <mergeCell ref="C13:D13"/>
    <mergeCell ref="A15:I15"/>
    <mergeCell ref="A16:C16"/>
    <mergeCell ref="F16:I16"/>
    <mergeCell ref="A6:I6"/>
    <mergeCell ref="A7:I7"/>
    <mergeCell ref="A9:I9"/>
    <mergeCell ref="A11:B11"/>
    <mergeCell ref="A12:B12"/>
    <mergeCell ref="B1:F1"/>
    <mergeCell ref="G1:I1"/>
    <mergeCell ref="A3:I3"/>
    <mergeCell ref="A4:I4"/>
    <mergeCell ref="A5:I5"/>
    <mergeCell ref="E11:G11"/>
    <mergeCell ref="E12:G12"/>
    <mergeCell ref="E13:G13"/>
    <mergeCell ref="H11:I11"/>
    <mergeCell ref="H12:I12"/>
    <mergeCell ref="H13:I13"/>
    <mergeCell ref="F28:I28"/>
    <mergeCell ref="A29:C29"/>
    <mergeCell ref="F29:I29"/>
    <mergeCell ref="A31:I31"/>
    <mergeCell ref="A32:B32"/>
    <mergeCell ref="D32:I32"/>
    <mergeCell ref="A34:F34"/>
    <mergeCell ref="G34:I34"/>
    <mergeCell ref="A35:I35"/>
    <mergeCell ref="A36:I36"/>
    <mergeCell ref="A37:I37"/>
    <mergeCell ref="A47:I47"/>
    <mergeCell ref="A56:I56"/>
    <mergeCell ref="A57:B57"/>
    <mergeCell ref="D57:F57"/>
    <mergeCell ref="A58:B58"/>
    <mergeCell ref="D58:F58"/>
    <mergeCell ref="A59:B59"/>
    <mergeCell ref="D59:F59"/>
    <mergeCell ref="A60:B60"/>
    <mergeCell ref="D60:F60"/>
    <mergeCell ref="A61:B61"/>
    <mergeCell ref="D61:F61"/>
    <mergeCell ref="A62:B62"/>
    <mergeCell ref="D62:F62"/>
    <mergeCell ref="A63:B63"/>
    <mergeCell ref="D63:F63"/>
    <mergeCell ref="A64:B64"/>
    <mergeCell ref="D64:F64"/>
    <mergeCell ref="A65:B65"/>
    <mergeCell ref="D65:F65"/>
    <mergeCell ref="A66:B66"/>
    <mergeCell ref="D66:F66"/>
    <mergeCell ref="A67:B67"/>
    <mergeCell ref="D67:F67"/>
    <mergeCell ref="A68:B68"/>
    <mergeCell ref="D68:F68"/>
    <mergeCell ref="A69:B69"/>
    <mergeCell ref="D69:F69"/>
    <mergeCell ref="A70:B70"/>
    <mergeCell ref="D70:F70"/>
    <mergeCell ref="A71:B71"/>
    <mergeCell ref="D71:F71"/>
    <mergeCell ref="A72:B72"/>
    <mergeCell ref="D72:F72"/>
    <mergeCell ref="A73:B73"/>
    <mergeCell ref="D73:F73"/>
    <mergeCell ref="A74:B74"/>
    <mergeCell ref="D74:F74"/>
    <mergeCell ref="A75:B75"/>
    <mergeCell ref="D75:F75"/>
    <mergeCell ref="A76:B76"/>
    <mergeCell ref="D76:F76"/>
    <mergeCell ref="A77:B77"/>
    <mergeCell ref="D77:F77"/>
    <mergeCell ref="A78:B78"/>
    <mergeCell ref="D78:F78"/>
    <mergeCell ref="A79:B79"/>
    <mergeCell ref="D79:F79"/>
    <mergeCell ref="G83:I83"/>
    <mergeCell ref="A80:B80"/>
    <mergeCell ref="D80:F80"/>
    <mergeCell ref="A81:B81"/>
    <mergeCell ref="D81:F81"/>
    <mergeCell ref="A83:F83"/>
  </mergeCells>
  <conditionalFormatting sqref="A12:B12">
    <cfRule type="expression" dxfId="5" priority="1">
      <formula>UPPER($K$12)="#B42318"</formula>
    </cfRule>
  </conditionalFormatting>
  <conditionalFormatting sqref="A58:I81">
    <cfRule type="expression" dxfId="4" priority="5">
      <formula>AND($C58&lt;&gt;"",$C58&lt;&gt;"Locked",LEFT($C58,2)&lt;&gt;"{{")</formula>
    </cfRule>
  </conditionalFormatting>
  <conditionalFormatting sqref="C12:D12">
    <cfRule type="expression" dxfId="3" priority="2">
      <formula>UPPER($L$12)="#B42318"</formula>
    </cfRule>
  </conditionalFormatting>
  <conditionalFormatting sqref="E12:G12">
    <cfRule type="expression" dxfId="2" priority="3">
      <formula>UPPER($M$12)="#B42318"</formula>
    </cfRule>
  </conditionalFormatting>
  <conditionalFormatting sqref="H12:I12">
    <cfRule type="expression" dxfId="1" priority="4">
      <formula>UPPER($N$12)="#B42318"</formula>
    </cfRule>
  </conditionalFormatting>
  <pageMargins left="0.55555555555555558" right="0.55555555555555558" top="0.55555555555555558" bottom="0.55555555555555558" header="0" footer="0"/>
  <pageSetup paperSize="9" scale="99" fitToHeight="0" orientation="portrait"/>
  <headerFooter>
    <oddHeader>&amp;R&amp;"Roboto,Regular"&amp;8 {{generated}}</oddHeader>
    <oddFooter>&amp;L&amp;"Roboto,Regular"&amp;8 {{business}} · {{question}}&amp;R&amp;"Roboto,Regular"&amp;8 Page &amp;P of &amp;N</oddFooter>
  </headerFooter>
  <rowBreaks count="1" manualBreakCount="1">
    <brk id="34" max="8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C80"/>
  <sheetViews>
    <sheetView showGridLines="0" workbookViewId="0">
      <selection activeCell="B8" sqref="B8"/>
    </sheetView>
  </sheetViews>
  <sheetFormatPr baseColWidth="10" defaultColWidth="8.83203125" defaultRowHeight="15" x14ac:dyDescent="0.2"/>
  <cols>
    <col min="1" max="1" width="38.33203125" customWidth="1"/>
    <col min="2" max="3" width="15" customWidth="1"/>
  </cols>
  <sheetData>
    <row r="1" spans="1:3" ht="26" customHeight="1" x14ac:dyDescent="0.25">
      <c r="A1" s="7" t="s">
        <v>16</v>
      </c>
      <c r="B1" s="1"/>
      <c r="C1" s="1"/>
    </row>
    <row r="2" spans="1:3" x14ac:dyDescent="0.2">
      <c r="A2" s="3" t="s">
        <v>1</v>
      </c>
      <c r="B2" s="1"/>
      <c r="C2" s="1"/>
    </row>
    <row r="3" spans="1:3" x14ac:dyDescent="0.2">
      <c r="A3" s="4" t="s">
        <v>2</v>
      </c>
      <c r="B3" s="1"/>
      <c r="C3" s="1"/>
    </row>
    <row r="4" spans="1:3" x14ac:dyDescent="0.2">
      <c r="A4" s="1"/>
      <c r="B4" s="1"/>
      <c r="C4" s="1"/>
    </row>
    <row r="5" spans="1:3" ht="24" customHeight="1" x14ac:dyDescent="0.2">
      <c r="A5" s="15" t="s">
        <v>17</v>
      </c>
      <c r="B5" s="1"/>
      <c r="C5" s="1"/>
    </row>
    <row r="6" spans="1:3" x14ac:dyDescent="0.2">
      <c r="A6" s="8" t="s">
        <v>18</v>
      </c>
      <c r="B6" s="1"/>
      <c r="C6" s="1"/>
    </row>
    <row r="7" spans="1:3" ht="20" customHeight="1" x14ac:dyDescent="0.2">
      <c r="A7" s="9"/>
      <c r="B7" s="10" t="s">
        <v>19</v>
      </c>
      <c r="C7" s="10" t="s">
        <v>20</v>
      </c>
    </row>
    <row r="8" spans="1:3" ht="17" customHeight="1" x14ac:dyDescent="0.2">
      <c r="A8" s="16" t="s">
        <v>21</v>
      </c>
      <c r="B8" s="20" t="s">
        <v>22</v>
      </c>
      <c r="C8" s="20" t="s">
        <v>23</v>
      </c>
    </row>
    <row r="9" spans="1:3" ht="17" customHeight="1" x14ac:dyDescent="0.2">
      <c r="A9" s="17" t="s">
        <v>24</v>
      </c>
      <c r="B9" s="21" t="s">
        <v>25</v>
      </c>
      <c r="C9" s="21" t="s">
        <v>26</v>
      </c>
    </row>
    <row r="10" spans="1:3" ht="17" customHeight="1" x14ac:dyDescent="0.2">
      <c r="A10" s="17" t="s">
        <v>27</v>
      </c>
      <c r="B10" s="21" t="s">
        <v>28</v>
      </c>
      <c r="C10" s="21" t="s">
        <v>29</v>
      </c>
    </row>
    <row r="11" spans="1:3" ht="17" customHeight="1" x14ac:dyDescent="0.2">
      <c r="A11" s="18" t="s">
        <v>30</v>
      </c>
      <c r="B11" s="22" t="e">
        <f>IF(B9=0,"",B10/B9)</f>
        <v>#VALUE!</v>
      </c>
      <c r="C11" s="22" t="e">
        <f>IF(C9=0,"",C10/C9)</f>
        <v>#VALUE!</v>
      </c>
    </row>
    <row r="12" spans="1:3" ht="17" customHeight="1" x14ac:dyDescent="0.2">
      <c r="A12" s="19" t="s">
        <v>31</v>
      </c>
      <c r="B12" s="23" t="e">
        <f>IF(B8=0,"",(B8-B9)/B8)</f>
        <v>#VALUE!</v>
      </c>
      <c r="C12" s="23" t="e">
        <f>IF(C8=0,"",(C8-C9)/C8)</f>
        <v>#VALUE!</v>
      </c>
    </row>
    <row r="13" spans="1:3" x14ac:dyDescent="0.2">
      <c r="A13" s="1"/>
      <c r="B13" s="24"/>
      <c r="C13" s="24"/>
    </row>
    <row r="14" spans="1:3" ht="24" customHeight="1" x14ac:dyDescent="0.2">
      <c r="A14" s="15" t="s">
        <v>32</v>
      </c>
      <c r="B14" s="24"/>
      <c r="C14" s="24"/>
    </row>
    <row r="15" spans="1:3" x14ac:dyDescent="0.2">
      <c r="A15" s="8" t="s">
        <v>33</v>
      </c>
      <c r="B15" s="24"/>
      <c r="C15" s="24"/>
    </row>
    <row r="16" spans="1:3" ht="20" customHeight="1" x14ac:dyDescent="0.2">
      <c r="A16" s="9"/>
      <c r="B16" s="10" t="s">
        <v>19</v>
      </c>
      <c r="C16" s="10" t="s">
        <v>20</v>
      </c>
    </row>
    <row r="17" spans="1:3" ht="17" customHeight="1" x14ac:dyDescent="0.2">
      <c r="A17" s="16" t="s">
        <v>34</v>
      </c>
      <c r="B17" s="20" t="s">
        <v>35</v>
      </c>
      <c r="C17" s="20" t="s">
        <v>36</v>
      </c>
    </row>
    <row r="18" spans="1:3" ht="17" customHeight="1" x14ac:dyDescent="0.2">
      <c r="A18" s="19" t="s">
        <v>37</v>
      </c>
      <c r="B18" s="25" t="s">
        <v>38</v>
      </c>
      <c r="C18" s="25" t="s">
        <v>39</v>
      </c>
    </row>
    <row r="19" spans="1:3" ht="32" customHeight="1" x14ac:dyDescent="0.2">
      <c r="A19" s="84" t="s">
        <v>40</v>
      </c>
      <c r="B19" s="85"/>
      <c r="C19" s="85"/>
    </row>
    <row r="20" spans="1:3" x14ac:dyDescent="0.2">
      <c r="A20" s="1"/>
      <c r="B20" s="1"/>
      <c r="C20" s="1"/>
    </row>
    <row r="21" spans="1:3" x14ac:dyDescent="0.2">
      <c r="A21" s="1"/>
      <c r="B21" s="1"/>
      <c r="C21" s="1"/>
    </row>
    <row r="22" spans="1:3" x14ac:dyDescent="0.2">
      <c r="A22" s="1"/>
      <c r="B22" s="1"/>
      <c r="C22" s="1"/>
    </row>
    <row r="23" spans="1:3" x14ac:dyDescent="0.2">
      <c r="A23" s="1"/>
      <c r="B23" s="1"/>
      <c r="C23" s="1"/>
    </row>
    <row r="24" spans="1:3" x14ac:dyDescent="0.2">
      <c r="A24" s="1"/>
      <c r="B24" s="1"/>
      <c r="C24" s="1"/>
    </row>
    <row r="25" spans="1:3" x14ac:dyDescent="0.2">
      <c r="A25" s="1"/>
      <c r="B25" s="1"/>
      <c r="C25" s="1"/>
    </row>
    <row r="26" spans="1:3" x14ac:dyDescent="0.2">
      <c r="A26" s="1"/>
      <c r="B26" s="1"/>
      <c r="C26" s="1"/>
    </row>
    <row r="27" spans="1:3" x14ac:dyDescent="0.2">
      <c r="A27" s="1"/>
      <c r="B27" s="1"/>
      <c r="C27" s="1"/>
    </row>
    <row r="28" spans="1:3" x14ac:dyDescent="0.2">
      <c r="A28" s="1"/>
      <c r="B28" s="1"/>
      <c r="C28" s="1"/>
    </row>
    <row r="29" spans="1:3" x14ac:dyDescent="0.2">
      <c r="A29" s="1"/>
      <c r="B29" s="1"/>
      <c r="C29" s="1"/>
    </row>
    <row r="30" spans="1:3" x14ac:dyDescent="0.2">
      <c r="A30" s="1"/>
      <c r="B30" s="1"/>
      <c r="C30" s="1"/>
    </row>
    <row r="31" spans="1:3" x14ac:dyDescent="0.2">
      <c r="A31" s="1"/>
      <c r="B31" s="1"/>
      <c r="C31" s="1"/>
    </row>
    <row r="32" spans="1:3" x14ac:dyDescent="0.2">
      <c r="A32" s="1"/>
      <c r="B32" s="1"/>
      <c r="C32" s="1"/>
    </row>
    <row r="33" spans="1:3" x14ac:dyDescent="0.2">
      <c r="A33" s="1"/>
      <c r="B33" s="1"/>
      <c r="C33" s="1"/>
    </row>
    <row r="34" spans="1:3" x14ac:dyDescent="0.2">
      <c r="A34" s="1"/>
      <c r="B34" s="1"/>
      <c r="C34" s="1"/>
    </row>
    <row r="35" spans="1:3" x14ac:dyDescent="0.2">
      <c r="A35" s="1"/>
      <c r="B35" s="1"/>
      <c r="C35" s="1"/>
    </row>
    <row r="36" spans="1:3" x14ac:dyDescent="0.2">
      <c r="A36" s="1"/>
      <c r="B36" s="1"/>
      <c r="C36" s="1"/>
    </row>
    <row r="37" spans="1:3" x14ac:dyDescent="0.2">
      <c r="A37" s="1"/>
      <c r="B37" s="1"/>
      <c r="C37" s="1"/>
    </row>
    <row r="38" spans="1:3" x14ac:dyDescent="0.2">
      <c r="A38" s="1"/>
      <c r="B38" s="1"/>
      <c r="C38" s="1"/>
    </row>
    <row r="39" spans="1:3" x14ac:dyDescent="0.2">
      <c r="A39" s="1"/>
      <c r="B39" s="1"/>
      <c r="C39" s="1"/>
    </row>
    <row r="40" spans="1:3" x14ac:dyDescent="0.2">
      <c r="A40" s="1"/>
      <c r="B40" s="1"/>
      <c r="C40" s="1"/>
    </row>
    <row r="41" spans="1:3" x14ac:dyDescent="0.2">
      <c r="A41" s="1"/>
      <c r="B41" s="1"/>
      <c r="C41" s="1"/>
    </row>
    <row r="42" spans="1:3" x14ac:dyDescent="0.2">
      <c r="A42" s="1"/>
      <c r="B42" s="1"/>
      <c r="C42" s="1"/>
    </row>
    <row r="43" spans="1:3" x14ac:dyDescent="0.2">
      <c r="A43" s="1"/>
      <c r="B43" s="1"/>
      <c r="C43" s="1"/>
    </row>
    <row r="44" spans="1:3" x14ac:dyDescent="0.2">
      <c r="A44" s="1"/>
      <c r="B44" s="1"/>
      <c r="C44" s="1"/>
    </row>
    <row r="45" spans="1:3" x14ac:dyDescent="0.2">
      <c r="A45" s="1"/>
      <c r="B45" s="1"/>
      <c r="C45" s="1"/>
    </row>
    <row r="46" spans="1:3" x14ac:dyDescent="0.2">
      <c r="A46" s="1"/>
      <c r="B46" s="1"/>
      <c r="C46" s="1"/>
    </row>
    <row r="47" spans="1:3" x14ac:dyDescent="0.2">
      <c r="A47" s="1"/>
      <c r="B47" s="1"/>
      <c r="C47" s="1"/>
    </row>
    <row r="48" spans="1:3" x14ac:dyDescent="0.2">
      <c r="A48" s="1"/>
      <c r="B48" s="1"/>
      <c r="C48" s="1"/>
    </row>
    <row r="49" spans="1:3" x14ac:dyDescent="0.2">
      <c r="A49" s="1"/>
      <c r="B49" s="1"/>
      <c r="C49" s="1"/>
    </row>
    <row r="50" spans="1:3" x14ac:dyDescent="0.2">
      <c r="A50" s="1"/>
      <c r="B50" s="1"/>
      <c r="C50" s="1"/>
    </row>
    <row r="51" spans="1:3" x14ac:dyDescent="0.2">
      <c r="A51" s="1"/>
      <c r="B51" s="1"/>
      <c r="C51" s="1"/>
    </row>
    <row r="52" spans="1:3" x14ac:dyDescent="0.2">
      <c r="A52" s="1"/>
      <c r="B52" s="1"/>
      <c r="C52" s="1"/>
    </row>
    <row r="53" spans="1:3" x14ac:dyDescent="0.2">
      <c r="A53" s="1"/>
      <c r="B53" s="1"/>
      <c r="C53" s="1"/>
    </row>
    <row r="54" spans="1:3" x14ac:dyDescent="0.2">
      <c r="A54" s="1"/>
      <c r="B54" s="1"/>
      <c r="C54" s="1"/>
    </row>
    <row r="55" spans="1:3" x14ac:dyDescent="0.2">
      <c r="A55" s="1"/>
      <c r="B55" s="1"/>
      <c r="C55" s="1"/>
    </row>
    <row r="56" spans="1:3" x14ac:dyDescent="0.2">
      <c r="A56" s="1"/>
      <c r="B56" s="1"/>
      <c r="C56" s="1"/>
    </row>
    <row r="57" spans="1:3" x14ac:dyDescent="0.2">
      <c r="A57" s="1"/>
      <c r="B57" s="1"/>
      <c r="C57" s="1"/>
    </row>
    <row r="58" spans="1:3" x14ac:dyDescent="0.2">
      <c r="A58" s="1"/>
      <c r="B58" s="1"/>
      <c r="C58" s="1"/>
    </row>
    <row r="59" spans="1:3" x14ac:dyDescent="0.2">
      <c r="A59" s="1"/>
      <c r="B59" s="1"/>
      <c r="C59" s="1"/>
    </row>
    <row r="60" spans="1:3" x14ac:dyDescent="0.2">
      <c r="A60" s="1"/>
      <c r="B60" s="1"/>
      <c r="C60" s="1"/>
    </row>
    <row r="61" spans="1:3" x14ac:dyDescent="0.2">
      <c r="A61" s="1"/>
      <c r="B61" s="1"/>
      <c r="C61" s="1"/>
    </row>
    <row r="62" spans="1:3" x14ac:dyDescent="0.2">
      <c r="A62" s="1"/>
      <c r="B62" s="1"/>
      <c r="C62" s="1"/>
    </row>
    <row r="63" spans="1:3" x14ac:dyDescent="0.2">
      <c r="A63" s="1"/>
      <c r="B63" s="1"/>
      <c r="C63" s="1"/>
    </row>
    <row r="64" spans="1:3" x14ac:dyDescent="0.2">
      <c r="A64" s="1"/>
      <c r="B64" s="1"/>
      <c r="C64" s="1"/>
    </row>
    <row r="65" spans="1:3" x14ac:dyDescent="0.2">
      <c r="A65" s="1"/>
      <c r="B65" s="1"/>
      <c r="C65" s="1"/>
    </row>
    <row r="66" spans="1:3" x14ac:dyDescent="0.2">
      <c r="A66" s="1"/>
      <c r="B66" s="1"/>
      <c r="C66" s="1"/>
    </row>
    <row r="67" spans="1:3" x14ac:dyDescent="0.2">
      <c r="A67" s="1"/>
      <c r="B67" s="1"/>
      <c r="C67" s="1"/>
    </row>
    <row r="68" spans="1:3" x14ac:dyDescent="0.2">
      <c r="A68" s="1"/>
      <c r="B68" s="1"/>
      <c r="C68" s="1"/>
    </row>
    <row r="69" spans="1:3" x14ac:dyDescent="0.2">
      <c r="A69" s="1"/>
      <c r="B69" s="1"/>
      <c r="C69" s="1"/>
    </row>
    <row r="70" spans="1:3" x14ac:dyDescent="0.2">
      <c r="A70" s="1"/>
      <c r="B70" s="1"/>
      <c r="C70" s="1"/>
    </row>
    <row r="71" spans="1:3" x14ac:dyDescent="0.2">
      <c r="A71" s="1"/>
      <c r="B71" s="1"/>
      <c r="C71" s="1"/>
    </row>
    <row r="72" spans="1:3" x14ac:dyDescent="0.2">
      <c r="A72" s="1"/>
      <c r="B72" s="1"/>
      <c r="C72" s="1"/>
    </row>
    <row r="73" spans="1:3" x14ac:dyDescent="0.2">
      <c r="A73" s="1"/>
      <c r="B73" s="1"/>
      <c r="C73" s="1"/>
    </row>
    <row r="74" spans="1:3" x14ac:dyDescent="0.2">
      <c r="A74" s="1"/>
      <c r="B74" s="1"/>
      <c r="C74" s="1"/>
    </row>
    <row r="75" spans="1:3" x14ac:dyDescent="0.2">
      <c r="A75" s="1"/>
      <c r="B75" s="1"/>
      <c r="C75" s="1"/>
    </row>
    <row r="76" spans="1:3" x14ac:dyDescent="0.2">
      <c r="A76" s="1"/>
      <c r="B76" s="1"/>
      <c r="C76" s="1"/>
    </row>
    <row r="77" spans="1:3" x14ac:dyDescent="0.2">
      <c r="A77" s="1"/>
      <c r="B77" s="1"/>
      <c r="C77" s="1"/>
    </row>
    <row r="78" spans="1:3" x14ac:dyDescent="0.2">
      <c r="A78" s="1"/>
      <c r="B78" s="1"/>
      <c r="C78" s="1"/>
    </row>
    <row r="79" spans="1:3" x14ac:dyDescent="0.2">
      <c r="A79" s="1"/>
      <c r="B79" s="1"/>
      <c r="C79" s="1"/>
    </row>
    <row r="80" spans="1:3" x14ac:dyDescent="0.2">
      <c r="A80" s="1"/>
      <c r="B80" s="1"/>
      <c r="C80" s="1"/>
    </row>
  </sheetData>
  <mergeCells count="1">
    <mergeCell ref="A19:C19"/>
  </mergeCells>
  <printOptions horizontalCentered="1"/>
  <pageMargins left="0.5" right="0.5" top="0.6" bottom="0.6" header="0.5" footer="0.5"/>
  <pageSetup paperSize="9" fitToHeight="0" orientation="portrait"/>
  <headerFooter>
    <oddHeader>&amp;R&amp;"Roboto,Regular"&amp;8 {{generated}}</oddHeader>
    <oddFooter>&amp;L&amp;"Roboto,Regular"&amp;8 {{business}} · {{question}}&amp;R&amp;"Roboto,Regular"&amp;8 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D80"/>
  <sheetViews>
    <sheetView showGridLines="0" workbookViewId="0">
      <pane ySplit="5" topLeftCell="A6" activePane="bottomLeft" state="frozen"/>
      <selection pane="bottomLeft"/>
    </sheetView>
  </sheetViews>
  <sheetFormatPr baseColWidth="10" defaultColWidth="8.83203125" defaultRowHeight="15" x14ac:dyDescent="0.2"/>
  <cols>
    <col min="1" max="1" width="18.33203125" customWidth="1"/>
    <col min="2" max="4" width="15.83203125" customWidth="1"/>
  </cols>
  <sheetData>
    <row r="1" spans="1:4" ht="26" customHeight="1" x14ac:dyDescent="0.25">
      <c r="A1" s="7" t="s">
        <v>41</v>
      </c>
      <c r="B1" s="1"/>
      <c r="C1" s="1"/>
      <c r="D1" s="1"/>
    </row>
    <row r="2" spans="1:4" x14ac:dyDescent="0.2">
      <c r="A2" s="3" t="s">
        <v>1</v>
      </c>
      <c r="B2" s="1"/>
      <c r="C2" s="1"/>
      <c r="D2" s="1"/>
    </row>
    <row r="3" spans="1:4" x14ac:dyDescent="0.2">
      <c r="A3" s="4" t="s">
        <v>2</v>
      </c>
      <c r="B3" s="1"/>
      <c r="C3" s="1"/>
      <c r="D3" s="1"/>
    </row>
    <row r="4" spans="1:4" x14ac:dyDescent="0.2">
      <c r="A4" s="1"/>
      <c r="B4" s="1"/>
      <c r="C4" s="1"/>
      <c r="D4" s="1"/>
    </row>
    <row r="5" spans="1:4" ht="20" customHeight="1" x14ac:dyDescent="0.2">
      <c r="A5" s="9" t="s">
        <v>42</v>
      </c>
      <c r="B5" s="10" t="s">
        <v>21</v>
      </c>
      <c r="C5" s="10" t="s">
        <v>27</v>
      </c>
      <c r="D5" s="10" t="s">
        <v>43</v>
      </c>
    </row>
    <row r="6" spans="1:4" ht="17" customHeight="1" x14ac:dyDescent="0.2">
      <c r="A6" s="11" t="s">
        <v>44</v>
      </c>
      <c r="B6" s="12" t="s">
        <v>45</v>
      </c>
      <c r="C6" s="12" t="s">
        <v>46</v>
      </c>
      <c r="D6" s="13" t="e">
        <f>IF(B6=0,0,C6/B6)</f>
        <v>#VALUE!</v>
      </c>
    </row>
    <row r="7" spans="1:4" x14ac:dyDescent="0.2">
      <c r="A7" s="1"/>
      <c r="B7" s="1"/>
      <c r="C7" s="1"/>
      <c r="D7" s="1"/>
    </row>
    <row r="8" spans="1:4" x14ac:dyDescent="0.2">
      <c r="A8" s="1"/>
      <c r="B8" s="1"/>
      <c r="C8" s="1"/>
      <c r="D8" s="1"/>
    </row>
    <row r="9" spans="1:4" x14ac:dyDescent="0.2">
      <c r="A9" s="1"/>
      <c r="B9" s="1"/>
      <c r="C9" s="1"/>
      <c r="D9" s="1"/>
    </row>
    <row r="10" spans="1:4" x14ac:dyDescent="0.2">
      <c r="A10" s="1"/>
      <c r="B10" s="1"/>
      <c r="C10" s="1"/>
      <c r="D10" s="1"/>
    </row>
    <row r="11" spans="1:4" x14ac:dyDescent="0.2">
      <c r="A11" s="1"/>
      <c r="B11" s="1"/>
      <c r="C11" s="1"/>
      <c r="D11" s="1"/>
    </row>
    <row r="12" spans="1:4" x14ac:dyDescent="0.2">
      <c r="A12" s="1"/>
      <c r="B12" s="1"/>
      <c r="C12" s="1"/>
      <c r="D12" s="1"/>
    </row>
    <row r="13" spans="1:4" x14ac:dyDescent="0.2">
      <c r="A13" s="1"/>
      <c r="B13" s="1"/>
      <c r="C13" s="1"/>
      <c r="D13" s="1"/>
    </row>
    <row r="14" spans="1:4" x14ac:dyDescent="0.2">
      <c r="A14" s="1"/>
      <c r="B14" s="1"/>
      <c r="C14" s="1"/>
      <c r="D14" s="1"/>
    </row>
    <row r="15" spans="1:4" x14ac:dyDescent="0.2">
      <c r="A15" s="1"/>
      <c r="B15" s="1"/>
      <c r="C15" s="1"/>
      <c r="D15" s="1"/>
    </row>
    <row r="16" spans="1:4" x14ac:dyDescent="0.2">
      <c r="A16" s="1"/>
      <c r="B16" s="1"/>
      <c r="C16" s="1"/>
      <c r="D16" s="1"/>
    </row>
    <row r="17" spans="1:4" x14ac:dyDescent="0.2">
      <c r="A17" s="1"/>
      <c r="B17" s="1"/>
      <c r="C17" s="1"/>
      <c r="D17" s="1"/>
    </row>
    <row r="18" spans="1:4" x14ac:dyDescent="0.2">
      <c r="A18" s="1"/>
      <c r="B18" s="1"/>
      <c r="C18" s="1"/>
      <c r="D18" s="1"/>
    </row>
    <row r="19" spans="1:4" x14ac:dyDescent="0.2">
      <c r="A19" s="1"/>
      <c r="B19" s="1"/>
      <c r="C19" s="1"/>
      <c r="D19" s="1"/>
    </row>
    <row r="20" spans="1:4" x14ac:dyDescent="0.2">
      <c r="A20" s="1"/>
      <c r="B20" s="1"/>
      <c r="C20" s="1"/>
      <c r="D20" s="1"/>
    </row>
    <row r="21" spans="1:4" x14ac:dyDescent="0.2">
      <c r="A21" s="1"/>
      <c r="B21" s="1"/>
      <c r="C21" s="1"/>
      <c r="D21" s="1"/>
    </row>
    <row r="22" spans="1:4" x14ac:dyDescent="0.2">
      <c r="A22" s="1"/>
      <c r="B22" s="1"/>
      <c r="C22" s="1"/>
      <c r="D22" s="1"/>
    </row>
    <row r="23" spans="1:4" x14ac:dyDescent="0.2">
      <c r="A23" s="1"/>
      <c r="B23" s="1"/>
      <c r="C23" s="1"/>
      <c r="D23" s="1"/>
    </row>
    <row r="24" spans="1:4" x14ac:dyDescent="0.2">
      <c r="A24" s="1"/>
      <c r="B24" s="1"/>
      <c r="C24" s="1"/>
      <c r="D24" s="1"/>
    </row>
    <row r="25" spans="1:4" x14ac:dyDescent="0.2">
      <c r="A25" s="1"/>
      <c r="B25" s="1"/>
      <c r="C25" s="1"/>
      <c r="D25" s="1"/>
    </row>
    <row r="26" spans="1:4" x14ac:dyDescent="0.2">
      <c r="A26" s="1"/>
      <c r="B26" s="1"/>
      <c r="C26" s="1"/>
      <c r="D26" s="1"/>
    </row>
    <row r="27" spans="1:4" x14ac:dyDescent="0.2">
      <c r="A27" s="1"/>
      <c r="B27" s="1"/>
      <c r="C27" s="1"/>
      <c r="D27" s="1"/>
    </row>
    <row r="28" spans="1:4" x14ac:dyDescent="0.2">
      <c r="A28" s="1"/>
      <c r="B28" s="1"/>
      <c r="C28" s="1"/>
      <c r="D28" s="1"/>
    </row>
    <row r="29" spans="1:4" x14ac:dyDescent="0.2">
      <c r="A29" s="1"/>
      <c r="B29" s="1"/>
      <c r="C29" s="1"/>
      <c r="D29" s="1"/>
    </row>
    <row r="30" spans="1:4" x14ac:dyDescent="0.2">
      <c r="A30" s="1"/>
      <c r="B30" s="1"/>
      <c r="C30" s="1"/>
      <c r="D30" s="1"/>
    </row>
    <row r="31" spans="1:4" x14ac:dyDescent="0.2">
      <c r="A31" s="1"/>
      <c r="B31" s="1"/>
      <c r="C31" s="1"/>
      <c r="D31" s="1"/>
    </row>
    <row r="32" spans="1:4" x14ac:dyDescent="0.2">
      <c r="A32" s="1"/>
      <c r="B32" s="1"/>
      <c r="C32" s="1"/>
      <c r="D32" s="1"/>
    </row>
    <row r="33" spans="1:4" x14ac:dyDescent="0.2">
      <c r="A33" s="1"/>
      <c r="B33" s="1"/>
      <c r="C33" s="1"/>
      <c r="D33" s="1"/>
    </row>
    <row r="34" spans="1:4" x14ac:dyDescent="0.2">
      <c r="A34" s="1"/>
      <c r="B34" s="1"/>
      <c r="C34" s="1"/>
      <c r="D34" s="1"/>
    </row>
    <row r="35" spans="1:4" x14ac:dyDescent="0.2">
      <c r="A35" s="1"/>
      <c r="B35" s="1"/>
      <c r="C35" s="1"/>
      <c r="D35" s="1"/>
    </row>
    <row r="36" spans="1:4" x14ac:dyDescent="0.2">
      <c r="A36" s="1"/>
      <c r="B36" s="1"/>
      <c r="C36" s="1"/>
      <c r="D36" s="1"/>
    </row>
    <row r="37" spans="1:4" x14ac:dyDescent="0.2">
      <c r="A37" s="1"/>
      <c r="B37" s="1"/>
      <c r="C37" s="1"/>
      <c r="D37" s="1"/>
    </row>
    <row r="38" spans="1:4" x14ac:dyDescent="0.2">
      <c r="A38" s="1"/>
      <c r="B38" s="1"/>
      <c r="C38" s="1"/>
      <c r="D38" s="1"/>
    </row>
    <row r="39" spans="1:4" x14ac:dyDescent="0.2">
      <c r="A39" s="1"/>
      <c r="B39" s="1"/>
      <c r="C39" s="1"/>
      <c r="D39" s="1"/>
    </row>
    <row r="40" spans="1:4" x14ac:dyDescent="0.2">
      <c r="A40" s="1"/>
      <c r="B40" s="1"/>
      <c r="C40" s="1"/>
      <c r="D40" s="1"/>
    </row>
    <row r="41" spans="1:4" x14ac:dyDescent="0.2">
      <c r="A41" s="1"/>
      <c r="B41" s="1"/>
      <c r="C41" s="1"/>
      <c r="D41" s="1"/>
    </row>
    <row r="42" spans="1:4" x14ac:dyDescent="0.2">
      <c r="A42" s="1"/>
      <c r="B42" s="1"/>
      <c r="C42" s="1"/>
      <c r="D42" s="1"/>
    </row>
    <row r="43" spans="1:4" x14ac:dyDescent="0.2">
      <c r="A43" s="1"/>
      <c r="B43" s="1"/>
      <c r="C43" s="1"/>
      <c r="D43" s="1"/>
    </row>
    <row r="44" spans="1:4" x14ac:dyDescent="0.2">
      <c r="A44" s="1"/>
      <c r="B44" s="1"/>
      <c r="C44" s="1"/>
      <c r="D44" s="1"/>
    </row>
    <row r="45" spans="1:4" x14ac:dyDescent="0.2">
      <c r="A45" s="1"/>
      <c r="B45" s="1"/>
      <c r="C45" s="1"/>
      <c r="D45" s="1"/>
    </row>
    <row r="46" spans="1:4" x14ac:dyDescent="0.2">
      <c r="A46" s="1"/>
      <c r="B46" s="1"/>
      <c r="C46" s="1"/>
      <c r="D46" s="1"/>
    </row>
    <row r="47" spans="1:4" x14ac:dyDescent="0.2">
      <c r="A47" s="1"/>
      <c r="B47" s="1"/>
      <c r="C47" s="1"/>
      <c r="D47" s="1"/>
    </row>
    <row r="48" spans="1:4" x14ac:dyDescent="0.2">
      <c r="A48" s="1"/>
      <c r="B48" s="1"/>
      <c r="C48" s="1"/>
      <c r="D48" s="1"/>
    </row>
    <row r="49" spans="1:4" x14ac:dyDescent="0.2">
      <c r="A49" s="1"/>
      <c r="B49" s="1"/>
      <c r="C49" s="1"/>
      <c r="D49" s="1"/>
    </row>
    <row r="50" spans="1:4" x14ac:dyDescent="0.2">
      <c r="A50" s="1"/>
      <c r="B50" s="1"/>
      <c r="C50" s="1"/>
      <c r="D50" s="1"/>
    </row>
    <row r="51" spans="1:4" x14ac:dyDescent="0.2">
      <c r="A51" s="1"/>
      <c r="B51" s="1"/>
      <c r="C51" s="1"/>
      <c r="D51" s="1"/>
    </row>
    <row r="52" spans="1:4" x14ac:dyDescent="0.2">
      <c r="A52" s="1"/>
      <c r="B52" s="1"/>
      <c r="C52" s="1"/>
      <c r="D52" s="1"/>
    </row>
    <row r="53" spans="1:4" x14ac:dyDescent="0.2">
      <c r="A53" s="1"/>
      <c r="B53" s="1"/>
      <c r="C53" s="1"/>
      <c r="D53" s="1"/>
    </row>
    <row r="54" spans="1:4" x14ac:dyDescent="0.2">
      <c r="A54" s="1"/>
      <c r="B54" s="1"/>
      <c r="C54" s="1"/>
      <c r="D54" s="1"/>
    </row>
    <row r="55" spans="1:4" x14ac:dyDescent="0.2">
      <c r="A55" s="1"/>
      <c r="B55" s="1"/>
      <c r="C55" s="1"/>
      <c r="D55" s="1"/>
    </row>
    <row r="56" spans="1:4" x14ac:dyDescent="0.2">
      <c r="A56" s="1"/>
      <c r="B56" s="1"/>
      <c r="C56" s="1"/>
      <c r="D56" s="1"/>
    </row>
    <row r="57" spans="1:4" x14ac:dyDescent="0.2">
      <c r="A57" s="1"/>
      <c r="B57" s="1"/>
      <c r="C57" s="1"/>
      <c r="D57" s="1"/>
    </row>
    <row r="58" spans="1:4" x14ac:dyDescent="0.2">
      <c r="A58" s="1"/>
      <c r="B58" s="1"/>
      <c r="C58" s="1"/>
      <c r="D58" s="1"/>
    </row>
    <row r="59" spans="1:4" x14ac:dyDescent="0.2">
      <c r="A59" s="1"/>
      <c r="B59" s="1"/>
      <c r="C59" s="1"/>
      <c r="D59" s="1"/>
    </row>
    <row r="60" spans="1:4" x14ac:dyDescent="0.2">
      <c r="A60" s="1"/>
      <c r="B60" s="1"/>
      <c r="C60" s="1"/>
      <c r="D60" s="1"/>
    </row>
    <row r="61" spans="1:4" x14ac:dyDescent="0.2">
      <c r="A61" s="1"/>
      <c r="B61" s="1"/>
      <c r="C61" s="1"/>
      <c r="D61" s="1"/>
    </row>
    <row r="62" spans="1:4" x14ac:dyDescent="0.2">
      <c r="A62" s="1"/>
      <c r="B62" s="1"/>
      <c r="C62" s="1"/>
      <c r="D62" s="1"/>
    </row>
    <row r="63" spans="1:4" x14ac:dyDescent="0.2">
      <c r="A63" s="1"/>
      <c r="B63" s="1"/>
      <c r="C63" s="1"/>
      <c r="D63" s="1"/>
    </row>
    <row r="64" spans="1:4" x14ac:dyDescent="0.2">
      <c r="A64" s="1"/>
      <c r="B64" s="1"/>
      <c r="C64" s="1"/>
      <c r="D64" s="1"/>
    </row>
    <row r="65" spans="1:4" x14ac:dyDescent="0.2">
      <c r="A65" s="1"/>
      <c r="B65" s="1"/>
      <c r="C65" s="1"/>
      <c r="D65" s="1"/>
    </row>
    <row r="66" spans="1:4" x14ac:dyDescent="0.2">
      <c r="A66" s="1"/>
      <c r="B66" s="1"/>
      <c r="C66" s="1"/>
      <c r="D66" s="1"/>
    </row>
    <row r="67" spans="1:4" x14ac:dyDescent="0.2">
      <c r="A67" s="1"/>
      <c r="B67" s="1"/>
      <c r="C67" s="1"/>
      <c r="D67" s="1"/>
    </row>
    <row r="68" spans="1:4" x14ac:dyDescent="0.2">
      <c r="A68" s="1"/>
      <c r="B68" s="1"/>
      <c r="C68" s="1"/>
      <c r="D68" s="1"/>
    </row>
    <row r="69" spans="1:4" x14ac:dyDescent="0.2">
      <c r="A69" s="1"/>
      <c r="B69" s="1"/>
      <c r="C69" s="1"/>
      <c r="D69" s="1"/>
    </row>
    <row r="70" spans="1:4" x14ac:dyDescent="0.2">
      <c r="A70" s="1"/>
      <c r="B70" s="1"/>
      <c r="C70" s="1"/>
      <c r="D70" s="1"/>
    </row>
    <row r="71" spans="1:4" x14ac:dyDescent="0.2">
      <c r="A71" s="1"/>
      <c r="B71" s="1"/>
      <c r="C71" s="1"/>
      <c r="D71" s="1"/>
    </row>
    <row r="72" spans="1:4" x14ac:dyDescent="0.2">
      <c r="A72" s="1"/>
      <c r="B72" s="1"/>
      <c r="C72" s="1"/>
      <c r="D72" s="1"/>
    </row>
    <row r="73" spans="1:4" x14ac:dyDescent="0.2">
      <c r="A73" s="1"/>
      <c r="B73" s="1"/>
      <c r="C73" s="1"/>
      <c r="D73" s="1"/>
    </row>
    <row r="74" spans="1:4" x14ac:dyDescent="0.2">
      <c r="A74" s="1"/>
      <c r="B74" s="1"/>
      <c r="C74" s="1"/>
      <c r="D74" s="1"/>
    </row>
    <row r="75" spans="1:4" x14ac:dyDescent="0.2">
      <c r="A75" s="1"/>
      <c r="B75" s="1"/>
      <c r="C75" s="1"/>
      <c r="D75" s="1"/>
    </row>
    <row r="76" spans="1:4" x14ac:dyDescent="0.2">
      <c r="A76" s="1"/>
      <c r="B76" s="1"/>
      <c r="C76" s="1"/>
      <c r="D76" s="1"/>
    </row>
    <row r="77" spans="1:4" x14ac:dyDescent="0.2">
      <c r="A77" s="1"/>
      <c r="B77" s="1"/>
      <c r="C77" s="1"/>
      <c r="D77" s="1"/>
    </row>
    <row r="78" spans="1:4" x14ac:dyDescent="0.2">
      <c r="A78" s="1"/>
      <c r="B78" s="1"/>
      <c r="C78" s="1"/>
      <c r="D78" s="1"/>
    </row>
    <row r="79" spans="1:4" x14ac:dyDescent="0.2">
      <c r="A79" s="1"/>
      <c r="B79" s="1"/>
      <c r="C79" s="1"/>
      <c r="D79" s="1"/>
    </row>
    <row r="80" spans="1:4" x14ac:dyDescent="0.2">
      <c r="A80" s="1"/>
      <c r="B80" s="1"/>
      <c r="C80" s="1"/>
      <c r="D80" s="1"/>
    </row>
  </sheetData>
  <conditionalFormatting sqref="B6:B60">
    <cfRule type="dataBar" priority="1">
      <dataBar>
        <cfvo type="num" val="0"/>
        <cfvo type="max"/>
        <color rgb="FF2F7A5D"/>
      </dataBar>
      <extLst>
        <ext xmlns:x14="http://schemas.microsoft.com/office/spreadsheetml/2009/9/main" uri="{B025F937-C7B1-47D3-B67F-A62EFF666E3E}">
          <x14:id>{8B9B28A2-1DF6-BF40-AF11-C9136FBE8199}</x14:id>
        </ext>
      </extLst>
    </cfRule>
  </conditionalFormatting>
  <conditionalFormatting sqref="D6:D60">
    <cfRule type="dataBar" priority="2">
      <dataBar>
        <cfvo type="num" val="0"/>
        <cfvo type="num" val="1"/>
        <color rgb="FF7FB59C"/>
      </dataBar>
      <extLst>
        <ext xmlns:x14="http://schemas.microsoft.com/office/spreadsheetml/2009/9/main" uri="{B025F937-C7B1-47D3-B67F-A62EFF666E3E}">
          <x14:id>{476A77E2-7A36-394F-B486-3DB696FDCBFD}</x14:id>
        </ext>
      </extLst>
    </cfRule>
  </conditionalFormatting>
  <printOptions horizontalCentered="1"/>
  <pageMargins left="0.5" right="0.5" top="0.6" bottom="0.6" header="0.5" footer="0.5"/>
  <pageSetup paperSize="9" fitToHeight="0" orientation="portrait"/>
  <headerFooter>
    <oddHeader>&amp;R&amp;"Roboto,Regular"&amp;8 {{generated}}</oddHeader>
    <oddFooter>&amp;L&amp;"Roboto,Regular"&amp;8 {{business}} · {{question}}&amp;R&amp;"Roboto,Regular"&amp;8 Page &amp;P of &amp;N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B9B28A2-1DF6-BF40-AF11-C9136FBE8199}">
            <x14:dataBar minLength="0" maxLength="100" gradient="0" negativeBarColorSameAsPositive="1" axisPosition="none">
              <x14:cfvo type="num">
                <xm:f>0</xm:f>
              </x14:cfvo>
              <x14:cfvo type="max"/>
            </x14:dataBar>
          </x14:cfRule>
          <xm:sqref>B6:B60</xm:sqref>
        </x14:conditionalFormatting>
        <x14:conditionalFormatting xmlns:xm="http://schemas.microsoft.com/office/excel/2006/main">
          <x14:cfRule type="dataBar" id="{476A77E2-7A36-394F-B486-3DB696FDCBFD}">
            <x14:dataBar minLength="0" maxLength="100" gradient="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D6:D60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80"/>
  <sheetViews>
    <sheetView showGridLines="0" workbookViewId="0">
      <pane ySplit="5" topLeftCell="A6" activePane="bottomLeft" state="frozen"/>
      <selection pane="bottomLeft" activeCell="A6" sqref="A6"/>
    </sheetView>
  </sheetViews>
  <sheetFormatPr baseColWidth="10" defaultColWidth="8.83203125" defaultRowHeight="15" x14ac:dyDescent="0.2"/>
  <cols>
    <col min="1" max="2" width="13.33203125" customWidth="1"/>
    <col min="3" max="5" width="12.5" customWidth="1"/>
    <col min="6" max="6" width="20" customWidth="1"/>
  </cols>
  <sheetData>
    <row r="1" spans="1:6" ht="26" customHeight="1" x14ac:dyDescent="0.25">
      <c r="A1" s="7" t="s">
        <v>47</v>
      </c>
      <c r="B1" s="1"/>
      <c r="C1" s="1"/>
      <c r="D1" s="1"/>
      <c r="E1" s="1"/>
      <c r="F1" s="1"/>
    </row>
    <row r="2" spans="1:6" x14ac:dyDescent="0.2">
      <c r="A2" s="3" t="s">
        <v>1</v>
      </c>
      <c r="B2" s="1"/>
      <c r="C2" s="1"/>
      <c r="D2" s="1"/>
      <c r="E2" s="1"/>
      <c r="F2" s="1"/>
    </row>
    <row r="3" spans="1:6" x14ac:dyDescent="0.2">
      <c r="A3" s="4" t="s">
        <v>2</v>
      </c>
      <c r="B3" s="1"/>
      <c r="C3" s="1"/>
      <c r="D3" s="1"/>
      <c r="E3" s="1"/>
      <c r="F3" s="1"/>
    </row>
    <row r="4" spans="1:6" x14ac:dyDescent="0.2">
      <c r="A4" s="1"/>
      <c r="B4" s="1"/>
      <c r="C4" s="1"/>
      <c r="D4" s="1"/>
      <c r="E4" s="1"/>
      <c r="F4" s="1"/>
    </row>
    <row r="5" spans="1:6" ht="20" customHeight="1" x14ac:dyDescent="0.2">
      <c r="A5" s="9" t="s">
        <v>48</v>
      </c>
      <c r="B5" s="10" t="s">
        <v>49</v>
      </c>
      <c r="C5" s="10" t="s">
        <v>21</v>
      </c>
      <c r="D5" s="10" t="s">
        <v>50</v>
      </c>
      <c r="E5" s="10" t="s">
        <v>27</v>
      </c>
      <c r="F5" s="10" t="s">
        <v>30</v>
      </c>
    </row>
    <row r="6" spans="1:6" ht="17" customHeight="1" x14ac:dyDescent="0.2">
      <c r="A6" s="11" t="s">
        <v>51</v>
      </c>
      <c r="B6" s="14" t="s">
        <v>52</v>
      </c>
      <c r="C6" s="12" t="s">
        <v>53</v>
      </c>
      <c r="D6" s="12" t="s">
        <v>54</v>
      </c>
      <c r="E6" s="12" t="s">
        <v>55</v>
      </c>
      <c r="F6" s="13" t="e">
        <f>IF(D6=0,"",E6/D6)</f>
        <v>#VALUE!</v>
      </c>
    </row>
    <row r="7" spans="1:6" x14ac:dyDescent="0.2">
      <c r="A7" s="1"/>
      <c r="B7" s="1"/>
      <c r="C7" s="1"/>
      <c r="D7" s="1"/>
      <c r="E7" s="1"/>
      <c r="F7" s="1"/>
    </row>
    <row r="8" spans="1:6" x14ac:dyDescent="0.2">
      <c r="A8" s="1"/>
      <c r="B8" s="1"/>
      <c r="C8" s="1"/>
      <c r="D8" s="1"/>
      <c r="E8" s="1"/>
      <c r="F8" s="1"/>
    </row>
    <row r="9" spans="1:6" x14ac:dyDescent="0.2">
      <c r="A9" s="1"/>
      <c r="B9" s="1"/>
      <c r="C9" s="1"/>
      <c r="D9" s="1"/>
      <c r="E9" s="1"/>
      <c r="F9" s="1"/>
    </row>
    <row r="10" spans="1:6" x14ac:dyDescent="0.2">
      <c r="A10" s="1"/>
      <c r="B10" s="1"/>
      <c r="C10" s="1"/>
      <c r="D10" s="1"/>
      <c r="E10" s="1"/>
      <c r="F10" s="1"/>
    </row>
    <row r="11" spans="1:6" x14ac:dyDescent="0.2">
      <c r="A11" s="1"/>
      <c r="B11" s="1"/>
      <c r="C11" s="1"/>
      <c r="D11" s="1"/>
      <c r="E11" s="1"/>
      <c r="F11" s="1"/>
    </row>
    <row r="12" spans="1:6" x14ac:dyDescent="0.2">
      <c r="A12" s="1"/>
      <c r="B12" s="1"/>
      <c r="C12" s="1"/>
      <c r="D12" s="1"/>
      <c r="E12" s="1"/>
      <c r="F12" s="1"/>
    </row>
    <row r="13" spans="1:6" x14ac:dyDescent="0.2">
      <c r="A13" s="1"/>
      <c r="B13" s="1"/>
      <c r="C13" s="1"/>
      <c r="D13" s="1"/>
      <c r="E13" s="1"/>
      <c r="F13" s="1"/>
    </row>
    <row r="14" spans="1:6" x14ac:dyDescent="0.2">
      <c r="A14" s="1"/>
      <c r="B14" s="1"/>
      <c r="C14" s="1"/>
      <c r="D14" s="1"/>
      <c r="E14" s="1"/>
      <c r="F14" s="1"/>
    </row>
    <row r="15" spans="1:6" x14ac:dyDescent="0.2">
      <c r="A15" s="1"/>
      <c r="B15" s="1"/>
      <c r="C15" s="1"/>
      <c r="D15" s="1"/>
      <c r="E15" s="1"/>
      <c r="F15" s="1"/>
    </row>
    <row r="16" spans="1:6" x14ac:dyDescent="0.2">
      <c r="A16" s="1"/>
      <c r="B16" s="1"/>
      <c r="C16" s="1"/>
      <c r="D16" s="1"/>
      <c r="E16" s="1"/>
      <c r="F16" s="1"/>
    </row>
    <row r="17" spans="1:6" x14ac:dyDescent="0.2">
      <c r="A17" s="1"/>
      <c r="B17" s="1"/>
      <c r="C17" s="1"/>
      <c r="D17" s="1"/>
      <c r="E17" s="1"/>
      <c r="F17" s="1"/>
    </row>
    <row r="18" spans="1:6" x14ac:dyDescent="0.2">
      <c r="A18" s="1"/>
      <c r="B18" s="1"/>
      <c r="C18" s="1"/>
      <c r="D18" s="1"/>
      <c r="E18" s="1"/>
      <c r="F18" s="1"/>
    </row>
    <row r="19" spans="1:6" x14ac:dyDescent="0.2">
      <c r="A19" s="1"/>
      <c r="B19" s="1"/>
      <c r="C19" s="1"/>
      <c r="D19" s="1"/>
      <c r="E19" s="1"/>
      <c r="F19" s="1"/>
    </row>
    <row r="20" spans="1:6" x14ac:dyDescent="0.2">
      <c r="A20" s="1"/>
      <c r="B20" s="1"/>
      <c r="C20" s="1"/>
      <c r="D20" s="1"/>
      <c r="E20" s="1"/>
      <c r="F20" s="1"/>
    </row>
    <row r="21" spans="1:6" x14ac:dyDescent="0.2">
      <c r="A21" s="1"/>
      <c r="B21" s="1"/>
      <c r="C21" s="1"/>
      <c r="D21" s="1"/>
      <c r="E21" s="1"/>
      <c r="F21" s="1"/>
    </row>
    <row r="22" spans="1:6" x14ac:dyDescent="0.2">
      <c r="A22" s="1"/>
      <c r="B22" s="1"/>
      <c r="C22" s="1"/>
      <c r="D22" s="1"/>
      <c r="E22" s="1"/>
      <c r="F22" s="1"/>
    </row>
    <row r="23" spans="1:6" x14ac:dyDescent="0.2">
      <c r="A23" s="1"/>
      <c r="B23" s="1"/>
      <c r="C23" s="1"/>
      <c r="D23" s="1"/>
      <c r="E23" s="1"/>
      <c r="F23" s="1"/>
    </row>
    <row r="24" spans="1:6" x14ac:dyDescent="0.2">
      <c r="A24" s="1"/>
      <c r="B24" s="1"/>
      <c r="C24" s="1"/>
      <c r="D24" s="1"/>
      <c r="E24" s="1"/>
      <c r="F24" s="1"/>
    </row>
    <row r="25" spans="1:6" x14ac:dyDescent="0.2">
      <c r="A25" s="1"/>
      <c r="B25" s="1"/>
      <c r="C25" s="1"/>
      <c r="D25" s="1"/>
      <c r="E25" s="1"/>
      <c r="F25" s="1"/>
    </row>
    <row r="26" spans="1:6" x14ac:dyDescent="0.2">
      <c r="A26" s="1"/>
      <c r="B26" s="1"/>
      <c r="C26" s="1"/>
      <c r="D26" s="1"/>
      <c r="E26" s="1"/>
      <c r="F26" s="1"/>
    </row>
    <row r="27" spans="1:6" x14ac:dyDescent="0.2">
      <c r="A27" s="1"/>
      <c r="B27" s="1"/>
      <c r="C27" s="1"/>
      <c r="D27" s="1"/>
      <c r="E27" s="1"/>
      <c r="F27" s="1"/>
    </row>
    <row r="28" spans="1:6" x14ac:dyDescent="0.2">
      <c r="A28" s="1"/>
      <c r="B28" s="1"/>
      <c r="C28" s="1"/>
      <c r="D28" s="1"/>
      <c r="E28" s="1"/>
      <c r="F28" s="1"/>
    </row>
    <row r="29" spans="1:6" x14ac:dyDescent="0.2">
      <c r="A29" s="1"/>
      <c r="B29" s="1"/>
      <c r="C29" s="1"/>
      <c r="D29" s="1"/>
      <c r="E29" s="1"/>
      <c r="F29" s="1"/>
    </row>
    <row r="30" spans="1:6" x14ac:dyDescent="0.2">
      <c r="A30" s="1"/>
      <c r="B30" s="1"/>
      <c r="C30" s="1"/>
      <c r="D30" s="1"/>
      <c r="E30" s="1"/>
      <c r="F30" s="1"/>
    </row>
    <row r="31" spans="1:6" x14ac:dyDescent="0.2">
      <c r="A31" s="1"/>
      <c r="B31" s="1"/>
      <c r="C31" s="1"/>
      <c r="D31" s="1"/>
      <c r="E31" s="1"/>
      <c r="F31" s="1"/>
    </row>
    <row r="32" spans="1:6" x14ac:dyDescent="0.2">
      <c r="A32" s="1"/>
      <c r="B32" s="1"/>
      <c r="C32" s="1"/>
      <c r="D32" s="1"/>
      <c r="E32" s="1"/>
      <c r="F32" s="1"/>
    </row>
    <row r="33" spans="1:6" x14ac:dyDescent="0.2">
      <c r="A33" s="1"/>
      <c r="B33" s="1"/>
      <c r="C33" s="1"/>
      <c r="D33" s="1"/>
      <c r="E33" s="1"/>
      <c r="F33" s="1"/>
    </row>
    <row r="34" spans="1:6" x14ac:dyDescent="0.2">
      <c r="A34" s="1"/>
      <c r="B34" s="1"/>
      <c r="C34" s="1"/>
      <c r="D34" s="1"/>
      <c r="E34" s="1"/>
      <c r="F34" s="1"/>
    </row>
    <row r="35" spans="1:6" x14ac:dyDescent="0.2">
      <c r="A35" s="1"/>
      <c r="B35" s="1"/>
      <c r="C35" s="1"/>
      <c r="D35" s="1"/>
      <c r="E35" s="1"/>
      <c r="F35" s="1"/>
    </row>
    <row r="36" spans="1:6" x14ac:dyDescent="0.2">
      <c r="A36" s="1"/>
      <c r="B36" s="1"/>
      <c r="C36" s="1"/>
      <c r="D36" s="1"/>
      <c r="E36" s="1"/>
      <c r="F36" s="1"/>
    </row>
    <row r="37" spans="1:6" x14ac:dyDescent="0.2">
      <c r="A37" s="1"/>
      <c r="B37" s="1"/>
      <c r="C37" s="1"/>
      <c r="D37" s="1"/>
      <c r="E37" s="1"/>
      <c r="F37" s="1"/>
    </row>
    <row r="38" spans="1:6" x14ac:dyDescent="0.2">
      <c r="A38" s="1"/>
      <c r="B38" s="1"/>
      <c r="C38" s="1"/>
      <c r="D38" s="1"/>
      <c r="E38" s="1"/>
      <c r="F38" s="1"/>
    </row>
    <row r="39" spans="1:6" x14ac:dyDescent="0.2">
      <c r="A39" s="1"/>
      <c r="B39" s="1"/>
      <c r="C39" s="1"/>
      <c r="D39" s="1"/>
      <c r="E39" s="1"/>
      <c r="F39" s="1"/>
    </row>
    <row r="40" spans="1:6" x14ac:dyDescent="0.2">
      <c r="A40" s="1"/>
      <c r="B40" s="1"/>
      <c r="C40" s="1"/>
      <c r="D40" s="1"/>
      <c r="E40" s="1"/>
      <c r="F40" s="1"/>
    </row>
    <row r="41" spans="1:6" x14ac:dyDescent="0.2">
      <c r="A41" s="1"/>
      <c r="B41" s="1"/>
      <c r="C41" s="1"/>
      <c r="D41" s="1"/>
      <c r="E41" s="1"/>
      <c r="F41" s="1"/>
    </row>
    <row r="42" spans="1:6" x14ac:dyDescent="0.2">
      <c r="A42" s="1"/>
      <c r="B42" s="1"/>
      <c r="C42" s="1"/>
      <c r="D42" s="1"/>
      <c r="E42" s="1"/>
      <c r="F42" s="1"/>
    </row>
    <row r="43" spans="1:6" x14ac:dyDescent="0.2">
      <c r="A43" s="1"/>
      <c r="B43" s="1"/>
      <c r="C43" s="1"/>
      <c r="D43" s="1"/>
      <c r="E43" s="1"/>
      <c r="F43" s="1"/>
    </row>
    <row r="44" spans="1:6" x14ac:dyDescent="0.2">
      <c r="A44" s="1"/>
      <c r="B44" s="1"/>
      <c r="C44" s="1"/>
      <c r="D44" s="1"/>
      <c r="E44" s="1"/>
      <c r="F44" s="1"/>
    </row>
    <row r="45" spans="1:6" x14ac:dyDescent="0.2">
      <c r="A45" s="1"/>
      <c r="B45" s="1"/>
      <c r="C45" s="1"/>
      <c r="D45" s="1"/>
      <c r="E45" s="1"/>
      <c r="F45" s="1"/>
    </row>
    <row r="46" spans="1:6" x14ac:dyDescent="0.2">
      <c r="A46" s="1"/>
      <c r="B46" s="1"/>
      <c r="C46" s="1"/>
      <c r="D46" s="1"/>
      <c r="E46" s="1"/>
      <c r="F46" s="1"/>
    </row>
    <row r="47" spans="1:6" x14ac:dyDescent="0.2">
      <c r="A47" s="1"/>
      <c r="B47" s="1"/>
      <c r="C47" s="1"/>
      <c r="D47" s="1"/>
      <c r="E47" s="1"/>
      <c r="F47" s="1"/>
    </row>
    <row r="48" spans="1:6" x14ac:dyDescent="0.2">
      <c r="A48" s="1"/>
      <c r="B48" s="1"/>
      <c r="C48" s="1"/>
      <c r="D48" s="1"/>
      <c r="E48" s="1"/>
      <c r="F48" s="1"/>
    </row>
    <row r="49" spans="1:6" x14ac:dyDescent="0.2">
      <c r="A49" s="1"/>
      <c r="B49" s="1"/>
      <c r="C49" s="1"/>
      <c r="D49" s="1"/>
      <c r="E49" s="1"/>
      <c r="F49" s="1"/>
    </row>
    <row r="50" spans="1:6" x14ac:dyDescent="0.2">
      <c r="A50" s="1"/>
      <c r="B50" s="1"/>
      <c r="C50" s="1"/>
      <c r="D50" s="1"/>
      <c r="E50" s="1"/>
      <c r="F50" s="1"/>
    </row>
    <row r="51" spans="1:6" x14ac:dyDescent="0.2">
      <c r="A51" s="1"/>
      <c r="B51" s="1"/>
      <c r="C51" s="1"/>
      <c r="D51" s="1"/>
      <c r="E51" s="1"/>
      <c r="F51" s="1"/>
    </row>
    <row r="52" spans="1:6" x14ac:dyDescent="0.2">
      <c r="A52" s="1"/>
      <c r="B52" s="1"/>
      <c r="C52" s="1"/>
      <c r="D52" s="1"/>
      <c r="E52" s="1"/>
      <c r="F52" s="1"/>
    </row>
    <row r="53" spans="1:6" x14ac:dyDescent="0.2">
      <c r="A53" s="1"/>
      <c r="B53" s="1"/>
      <c r="C53" s="1"/>
      <c r="D53" s="1"/>
      <c r="E53" s="1"/>
      <c r="F53" s="1"/>
    </row>
    <row r="54" spans="1:6" x14ac:dyDescent="0.2">
      <c r="A54" s="1"/>
      <c r="B54" s="1"/>
      <c r="C54" s="1"/>
      <c r="D54" s="1"/>
      <c r="E54" s="1"/>
      <c r="F54" s="1"/>
    </row>
    <row r="55" spans="1:6" x14ac:dyDescent="0.2">
      <c r="A55" s="1"/>
      <c r="B55" s="1"/>
      <c r="C55" s="1"/>
      <c r="D55" s="1"/>
      <c r="E55" s="1"/>
      <c r="F55" s="1"/>
    </row>
    <row r="56" spans="1:6" x14ac:dyDescent="0.2">
      <c r="A56" s="1"/>
      <c r="B56" s="1"/>
      <c r="C56" s="1"/>
      <c r="D56" s="1"/>
      <c r="E56" s="1"/>
      <c r="F56" s="1"/>
    </row>
    <row r="57" spans="1:6" x14ac:dyDescent="0.2">
      <c r="A57" s="1"/>
      <c r="B57" s="1"/>
      <c r="C57" s="1"/>
      <c r="D57" s="1"/>
      <c r="E57" s="1"/>
      <c r="F57" s="1"/>
    </row>
    <row r="58" spans="1:6" x14ac:dyDescent="0.2">
      <c r="A58" s="1"/>
      <c r="B58" s="1"/>
      <c r="C58" s="1"/>
      <c r="D58" s="1"/>
      <c r="E58" s="1"/>
      <c r="F58" s="1"/>
    </row>
    <row r="59" spans="1:6" x14ac:dyDescent="0.2">
      <c r="A59" s="1"/>
      <c r="B59" s="1"/>
      <c r="C59" s="1"/>
      <c r="D59" s="1"/>
      <c r="E59" s="1"/>
      <c r="F59" s="1"/>
    </row>
    <row r="60" spans="1:6" x14ac:dyDescent="0.2">
      <c r="A60" s="1"/>
      <c r="B60" s="1"/>
      <c r="C60" s="1"/>
      <c r="D60" s="1"/>
      <c r="E60" s="1"/>
      <c r="F60" s="1"/>
    </row>
    <row r="61" spans="1:6" x14ac:dyDescent="0.2">
      <c r="A61" s="1"/>
      <c r="B61" s="1"/>
      <c r="C61" s="1"/>
      <c r="D61" s="1"/>
      <c r="E61" s="1"/>
      <c r="F61" s="1"/>
    </row>
    <row r="62" spans="1:6" x14ac:dyDescent="0.2">
      <c r="A62" s="1"/>
      <c r="B62" s="1"/>
      <c r="C62" s="1"/>
      <c r="D62" s="1"/>
      <c r="E62" s="1"/>
      <c r="F62" s="1"/>
    </row>
    <row r="63" spans="1:6" x14ac:dyDescent="0.2">
      <c r="A63" s="1"/>
      <c r="B63" s="1"/>
      <c r="C63" s="1"/>
      <c r="D63" s="1"/>
      <c r="E63" s="1"/>
      <c r="F63" s="1"/>
    </row>
    <row r="64" spans="1:6" x14ac:dyDescent="0.2">
      <c r="A64" s="1"/>
      <c r="B64" s="1"/>
      <c r="C64" s="1"/>
      <c r="D64" s="1"/>
      <c r="E64" s="1"/>
      <c r="F64" s="1"/>
    </row>
    <row r="65" spans="1:6" x14ac:dyDescent="0.2">
      <c r="A65" s="1"/>
      <c r="B65" s="1"/>
      <c r="C65" s="1"/>
      <c r="D65" s="1"/>
      <c r="E65" s="1"/>
      <c r="F65" s="1"/>
    </row>
    <row r="66" spans="1:6" x14ac:dyDescent="0.2">
      <c r="A66" s="1"/>
      <c r="B66" s="1"/>
      <c r="C66" s="1"/>
      <c r="D66" s="1"/>
      <c r="E66" s="1"/>
      <c r="F66" s="1"/>
    </row>
    <row r="67" spans="1:6" x14ac:dyDescent="0.2">
      <c r="A67" s="1"/>
      <c r="B67" s="1"/>
      <c r="C67" s="1"/>
      <c r="D67" s="1"/>
      <c r="E67" s="1"/>
      <c r="F67" s="1"/>
    </row>
    <row r="68" spans="1:6" x14ac:dyDescent="0.2">
      <c r="A68" s="1"/>
      <c r="B68" s="1"/>
      <c r="C68" s="1"/>
      <c r="D68" s="1"/>
      <c r="E68" s="1"/>
      <c r="F68" s="1"/>
    </row>
    <row r="69" spans="1:6" x14ac:dyDescent="0.2">
      <c r="A69" s="1"/>
      <c r="B69" s="1"/>
      <c r="C69" s="1"/>
      <c r="D69" s="1"/>
      <c r="E69" s="1"/>
      <c r="F69" s="1"/>
    </row>
    <row r="70" spans="1:6" x14ac:dyDescent="0.2">
      <c r="A70" s="1"/>
      <c r="B70" s="1"/>
      <c r="C70" s="1"/>
      <c r="D70" s="1"/>
      <c r="E70" s="1"/>
      <c r="F70" s="1"/>
    </row>
    <row r="71" spans="1:6" x14ac:dyDescent="0.2">
      <c r="A71" s="1"/>
      <c r="B71" s="1"/>
      <c r="C71" s="1"/>
      <c r="D71" s="1"/>
      <c r="E71" s="1"/>
      <c r="F71" s="1"/>
    </row>
    <row r="72" spans="1:6" x14ac:dyDescent="0.2">
      <c r="A72" s="1"/>
      <c r="B72" s="1"/>
      <c r="C72" s="1"/>
      <c r="D72" s="1"/>
      <c r="E72" s="1"/>
      <c r="F72" s="1"/>
    </row>
    <row r="73" spans="1:6" x14ac:dyDescent="0.2">
      <c r="A73" s="1"/>
      <c r="B73" s="1"/>
      <c r="C73" s="1"/>
      <c r="D73" s="1"/>
      <c r="E73" s="1"/>
      <c r="F73" s="1"/>
    </row>
    <row r="74" spans="1:6" x14ac:dyDescent="0.2">
      <c r="A74" s="1"/>
      <c r="B74" s="1"/>
      <c r="C74" s="1"/>
      <c r="D74" s="1"/>
      <c r="E74" s="1"/>
      <c r="F74" s="1"/>
    </row>
    <row r="75" spans="1:6" x14ac:dyDescent="0.2">
      <c r="A75" s="1"/>
      <c r="B75" s="1"/>
      <c r="C75" s="1"/>
      <c r="D75" s="1"/>
      <c r="E75" s="1"/>
      <c r="F75" s="1"/>
    </row>
    <row r="76" spans="1:6" x14ac:dyDescent="0.2">
      <c r="A76" s="1"/>
      <c r="B76" s="1"/>
      <c r="C76" s="1"/>
      <c r="D76" s="1"/>
      <c r="E76" s="1"/>
      <c r="F76" s="1"/>
    </row>
    <row r="77" spans="1:6" x14ac:dyDescent="0.2">
      <c r="A77" s="1"/>
      <c r="B77" s="1"/>
      <c r="C77" s="1"/>
      <c r="D77" s="1"/>
      <c r="E77" s="1"/>
      <c r="F77" s="1"/>
    </row>
    <row r="78" spans="1:6" x14ac:dyDescent="0.2">
      <c r="A78" s="1"/>
      <c r="B78" s="1"/>
      <c r="C78" s="1"/>
      <c r="D78" s="1"/>
      <c r="E78" s="1"/>
      <c r="F78" s="1"/>
    </row>
    <row r="79" spans="1:6" x14ac:dyDescent="0.2">
      <c r="A79" s="1"/>
      <c r="B79" s="1"/>
      <c r="C79" s="1"/>
      <c r="D79" s="1"/>
      <c r="E79" s="1"/>
      <c r="F79" s="1"/>
    </row>
    <row r="80" spans="1:6" x14ac:dyDescent="0.2">
      <c r="A80" s="1"/>
      <c r="B80" s="1"/>
      <c r="C80" s="1"/>
      <c r="D80" s="1"/>
      <c r="E80" s="1"/>
      <c r="F80" s="1"/>
    </row>
  </sheetData>
  <conditionalFormatting sqref="A6:F80">
    <cfRule type="expression" dxfId="0" priority="2">
      <formula>AND($B6&lt;&gt;"",$B6&lt;&gt;"Locked",LEFT($B6,2)&lt;&gt;"{{")</formula>
    </cfRule>
  </conditionalFormatting>
  <conditionalFormatting sqref="C6:C80">
    <cfRule type="dataBar" priority="1">
      <dataBar>
        <cfvo type="num" val="0"/>
        <cfvo type="max"/>
        <color rgb="FF2F7A5D"/>
      </dataBar>
      <extLst>
        <ext xmlns:x14="http://schemas.microsoft.com/office/spreadsheetml/2009/9/main" uri="{B025F937-C7B1-47D3-B67F-A62EFF666E3E}">
          <x14:id>{E299409A-8B86-DE43-B1AC-AE0C1FEA9E05}</x14:id>
        </ext>
      </extLst>
    </cfRule>
  </conditionalFormatting>
  <printOptions horizontalCentered="1"/>
  <pageMargins left="0.5" right="0.5" top="0.6" bottom="0.6" header="0.5" footer="0.5"/>
  <pageSetup paperSize="9" fitToHeight="0" orientation="portrait"/>
  <headerFooter>
    <oddHeader>&amp;R&amp;"Roboto,Regular"&amp;8 {{generated}}</oddHeader>
    <oddFooter>&amp;L&amp;"Roboto,Regular"&amp;8 {{business}} · {{question}}&amp;R&amp;"Roboto,Regular"&amp;8 Page &amp;P of &amp;N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99409A-8B86-DE43-B1AC-AE0C1FEA9E05}">
            <x14:dataBar minLength="0" maxLength="100" gradient="0" negativeBarColorSameAsPositive="1" axisPosition="none">
              <x14:cfvo type="num">
                <xm:f>0</xm:f>
              </x14:cfvo>
              <x14:cfvo type="max"/>
            </x14:dataBar>
          </x14:cfRule>
          <xm:sqref>C6:C80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Report</vt:lpstr>
      <vt:lpstr>Workings</vt:lpstr>
      <vt:lpstr>Hours</vt:lpstr>
      <vt:lpstr>Data</vt:lpstr>
      <vt:lpstr>Report!Print_Area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{{question}}</dc:title>
  <dc:creator>The Fourth Sheet</dc:creator>
  <cp:lastModifiedBy>Nathan Booth</cp:lastModifiedBy>
  <dcterms:created xsi:type="dcterms:W3CDTF">2026-10-22T06:55:10Z</dcterms:created>
  <dcterms:modified xsi:type="dcterms:W3CDTF">2026-10-22T12:39:37Z</dcterms:modified>
</cp:coreProperties>
</file>